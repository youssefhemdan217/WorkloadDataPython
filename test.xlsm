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0730EB3F-75F1-03CD-C966-41DC9FD4AD36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Saipem\Workload Excel\pythonApp\WorkloadDataPython\"/>
    </mc:Choice>
  </mc:AlternateContent>
  <xr:revisionPtr revIDLastSave="0" documentId="13_ncr:1_{8DC78300-85EE-4145-8664-85298BD3BCC3}" xr6:coauthVersionLast="47" xr6:coauthVersionMax="47" xr10:uidLastSave="{00000000-0000-0000-0000-000000000000}"/>
  <bookViews>
    <workbookView xWindow="-108" yWindow="-108" windowWidth="23256" windowHeight="12456" tabRatio="807" activeTab="1" xr2:uid="{8A155B48-49B4-4F8B-AAF9-2F149A28BB92}"/>
  </bookViews>
  <sheets>
    <sheet name="List of Service" sheetId="1" r:id="rId1"/>
    <sheet name="BookingManHours" sheetId="9" r:id="rId2"/>
    <sheet name="Pivot_Booking Hours" sheetId="20" r:id="rId3"/>
    <sheet name="TemplateList" sheetId="2" r:id="rId4"/>
    <sheet name="General" sheetId="3" r:id="rId5"/>
    <sheet name="Anadarko" sheetId="5" r:id="rId6"/>
    <sheet name="Kutei" sheetId="6" r:id="rId7"/>
    <sheet name="Shah Gas" sheetId="7" r:id="rId8"/>
    <sheet name="Venezia" sheetId="8" r:id="rId9"/>
    <sheet name="Liverpool" sheetId="16" r:id="rId10"/>
    <sheet name="Canada" sheetId="17" r:id="rId11"/>
    <sheet name="Marjan" sheetId="19" r:id="rId12"/>
  </sheets>
  <externalReferences>
    <externalReference r:id="rId13"/>
  </externalReferences>
  <definedNames>
    <definedName name="_xlnm._FilterDatabase" localSheetId="5" hidden="1">Anadarko!$A$1:$O$47</definedName>
    <definedName name="_xlnm._FilterDatabase" localSheetId="1" hidden="1">BookingManHours!$A$1:$X$458</definedName>
    <definedName name="_xlnm._FilterDatabase" localSheetId="10" hidden="1">Canada!$A$1:$O$1</definedName>
    <definedName name="_xlnm._FilterDatabase" localSheetId="4" hidden="1">General!$A$1:$O$47</definedName>
    <definedName name="_xlnm._FilterDatabase" localSheetId="6" hidden="1">Kutei!$A$1:$M$37</definedName>
    <definedName name="_xlnm._FilterDatabase" localSheetId="0" hidden="1">'List of Service'!$C$17:$AI$65</definedName>
    <definedName name="_xlnm._FilterDatabase" localSheetId="9" hidden="1">Liverpool!$A$1:$O$1</definedName>
    <definedName name="_xlnm._FilterDatabase" localSheetId="11" hidden="1">Marjan!$A$1:$O$1</definedName>
    <definedName name="_xlnm._FilterDatabase" localSheetId="7" hidden="1">'Shah Gas'!$A$1:$M$46</definedName>
    <definedName name="_xlnm._FilterDatabase" localSheetId="8" hidden="1">Venezia!$A$1:$N$47</definedName>
    <definedName name="ProjectList">OFFSET(TemplateList!$Q$2,0,0,COUNTA(TemplateList!$Q:$Q)-1,1)</definedName>
  </definedNames>
  <calcPr calcId="191029"/>
  <pivotCaches>
    <pivotCache cacheId="0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459" i="9" l="1"/>
  <c r="V459" i="9"/>
  <c r="T459" i="9"/>
  <c r="S459" i="9"/>
  <c r="W436" i="9"/>
  <c r="V436" i="9"/>
  <c r="W435" i="9"/>
  <c r="V435" i="9"/>
  <c r="W433" i="9"/>
  <c r="V433" i="9"/>
  <c r="V432" i="9"/>
  <c r="W431" i="9"/>
  <c r="V431" i="9"/>
  <c r="W430" i="9"/>
  <c r="V430" i="9"/>
  <c r="W429" i="9"/>
  <c r="V429" i="9"/>
  <c r="W428" i="9"/>
  <c r="V428" i="9"/>
  <c r="W425" i="9"/>
  <c r="V425" i="9"/>
  <c r="W422" i="9"/>
  <c r="V422" i="9"/>
  <c r="W420" i="9"/>
  <c r="V420" i="9"/>
  <c r="W417" i="9"/>
  <c r="V417" i="9"/>
  <c r="W413" i="9"/>
  <c r="V413" i="9"/>
  <c r="W412" i="9"/>
  <c r="V412" i="9"/>
  <c r="W411" i="9"/>
  <c r="V411" i="9"/>
  <c r="W410" i="9"/>
  <c r="V410" i="9"/>
  <c r="W408" i="9"/>
  <c r="V408" i="9"/>
  <c r="W407" i="9"/>
  <c r="W406" i="9"/>
  <c r="V406" i="9"/>
  <c r="W403" i="9"/>
  <c r="V403" i="9"/>
  <c r="W402" i="9"/>
  <c r="V402" i="9"/>
  <c r="W398" i="9"/>
  <c r="V398" i="9"/>
  <c r="W393" i="9"/>
  <c r="V393" i="9"/>
  <c r="W389" i="9"/>
  <c r="V389" i="9"/>
  <c r="W386" i="9"/>
  <c r="V386" i="9"/>
  <c r="W383" i="9"/>
  <c r="V383" i="9"/>
  <c r="W382" i="9"/>
  <c r="V382" i="9"/>
  <c r="W379" i="9"/>
  <c r="V379" i="9"/>
  <c r="W378" i="9"/>
  <c r="V378" i="9"/>
  <c r="W375" i="9"/>
  <c r="V375" i="9"/>
  <c r="W374" i="9"/>
  <c r="V374" i="9"/>
  <c r="W371" i="9"/>
  <c r="V371" i="9"/>
  <c r="W370" i="9"/>
  <c r="V370" i="9"/>
  <c r="W367" i="9"/>
  <c r="V367" i="9"/>
  <c r="W363" i="9"/>
  <c r="V363" i="9"/>
  <c r="W359" i="9"/>
  <c r="V359" i="9"/>
  <c r="W358" i="9"/>
  <c r="V358" i="9"/>
  <c r="W355" i="9"/>
  <c r="V355" i="9"/>
  <c r="W354" i="9"/>
  <c r="V354" i="9"/>
  <c r="W353" i="9"/>
  <c r="V353" i="9"/>
  <c r="W351" i="9"/>
  <c r="V351" i="9"/>
  <c r="W350" i="9"/>
  <c r="V350" i="9"/>
  <c r="W349" i="9"/>
  <c r="V349" i="9"/>
  <c r="W346" i="9"/>
  <c r="V346" i="9"/>
  <c r="W345" i="9"/>
  <c r="V345" i="9"/>
  <c r="W343" i="9"/>
  <c r="V343" i="9"/>
  <c r="W342" i="9"/>
  <c r="V342" i="9"/>
  <c r="W339" i="9"/>
  <c r="V339" i="9"/>
  <c r="W338" i="9"/>
  <c r="V338" i="9"/>
  <c r="W337" i="9"/>
  <c r="V337" i="9"/>
  <c r="W334" i="9"/>
  <c r="V334" i="9"/>
  <c r="W333" i="9"/>
  <c r="V333" i="9"/>
  <c r="W332" i="9"/>
  <c r="V332" i="9"/>
  <c r="W328" i="9"/>
  <c r="V328" i="9"/>
  <c r="W326" i="9"/>
  <c r="V326" i="9"/>
  <c r="W325" i="9"/>
  <c r="V325" i="9"/>
  <c r="W324" i="9"/>
  <c r="V324" i="9"/>
  <c r="W323" i="9"/>
  <c r="V323" i="9"/>
  <c r="W321" i="9"/>
  <c r="V321" i="9"/>
  <c r="W319" i="9"/>
  <c r="V319" i="9"/>
  <c r="V318" i="9"/>
  <c r="W314" i="9"/>
  <c r="V314" i="9"/>
  <c r="W313" i="9"/>
  <c r="V313" i="9"/>
  <c r="W309" i="9"/>
  <c r="V309" i="9"/>
  <c r="W308" i="9"/>
  <c r="V308" i="9"/>
  <c r="W307" i="9"/>
  <c r="V307" i="9"/>
  <c r="W303" i="9"/>
  <c r="V303" i="9"/>
  <c r="W302" i="9"/>
  <c r="V302" i="9"/>
  <c r="W301" i="9"/>
  <c r="V301" i="9"/>
  <c r="W300" i="9"/>
  <c r="V300" i="9"/>
  <c r="W296" i="9"/>
  <c r="V296" i="9"/>
  <c r="W295" i="9"/>
  <c r="V295" i="9"/>
  <c r="W291" i="9"/>
  <c r="V291" i="9"/>
  <c r="W286" i="9"/>
  <c r="V286" i="9"/>
  <c r="W285" i="9"/>
  <c r="V285" i="9"/>
  <c r="W282" i="9"/>
  <c r="V282" i="9"/>
  <c r="W278" i="9"/>
  <c r="V278" i="9"/>
  <c r="W277" i="9"/>
  <c r="V277" i="9"/>
  <c r="W276" i="9"/>
  <c r="V276" i="9"/>
  <c r="W275" i="9"/>
  <c r="V275" i="9"/>
  <c r="W272" i="9"/>
  <c r="V272" i="9"/>
  <c r="W270" i="9"/>
  <c r="V270" i="9"/>
  <c r="W268" i="9"/>
  <c r="V268" i="9"/>
  <c r="V267" i="9"/>
  <c r="W265" i="9"/>
  <c r="V265" i="9"/>
  <c r="W264" i="9"/>
  <c r="V264" i="9"/>
  <c r="W263" i="9"/>
  <c r="V263" i="9"/>
  <c r="V262" i="9"/>
  <c r="W260" i="9"/>
  <c r="V260" i="9"/>
  <c r="W259" i="9"/>
  <c r="V259" i="9"/>
  <c r="W258" i="9"/>
  <c r="V258" i="9"/>
  <c r="W254" i="9"/>
  <c r="V254" i="9"/>
  <c r="W253" i="9"/>
  <c r="V253" i="9"/>
  <c r="W250" i="9"/>
  <c r="V250" i="9"/>
  <c r="W249" i="9"/>
  <c r="V249" i="9"/>
  <c r="W245" i="9"/>
  <c r="V245" i="9"/>
  <c r="W244" i="9"/>
  <c r="V244" i="9"/>
  <c r="W241" i="9"/>
  <c r="V241" i="9"/>
  <c r="W238" i="9"/>
  <c r="V238" i="9"/>
  <c r="W235" i="9"/>
  <c r="V235" i="9"/>
  <c r="W231" i="9"/>
  <c r="V231" i="9"/>
  <c r="W230" i="9"/>
  <c r="V230" i="9"/>
  <c r="W223" i="9"/>
  <c r="V223" i="9"/>
  <c r="W215" i="9"/>
  <c r="V215" i="9"/>
  <c r="W214" i="9"/>
  <c r="W211" i="9"/>
  <c r="V211" i="9"/>
  <c r="W210" i="9"/>
  <c r="V210" i="9"/>
  <c r="W208" i="9"/>
  <c r="V208" i="9"/>
  <c r="W204" i="9"/>
  <c r="V204" i="9"/>
  <c r="W203" i="9"/>
  <c r="V203" i="9"/>
  <c r="W202" i="9"/>
  <c r="V202" i="9"/>
  <c r="W201" i="9"/>
  <c r="V201" i="9"/>
  <c r="W199" i="9"/>
  <c r="V199" i="9"/>
  <c r="W194" i="9"/>
  <c r="V194" i="9"/>
  <c r="W191" i="9"/>
  <c r="V191" i="9"/>
  <c r="W189" i="9"/>
  <c r="V189" i="9"/>
  <c r="W186" i="9"/>
  <c r="V186" i="9"/>
  <c r="W181" i="9"/>
  <c r="V181" i="9"/>
  <c r="V180" i="9"/>
  <c r="W178" i="9"/>
  <c r="V178" i="9"/>
  <c r="W175" i="9"/>
  <c r="V175" i="9"/>
  <c r="W174" i="9"/>
  <c r="V174" i="9"/>
  <c r="W172" i="9"/>
  <c r="V172" i="9"/>
  <c r="V171" i="9"/>
  <c r="W168" i="9"/>
  <c r="V168" i="9"/>
  <c r="W165" i="9"/>
  <c r="V165" i="9"/>
  <c r="W162" i="9"/>
  <c r="V162" i="9"/>
  <c r="W161" i="9"/>
  <c r="V161" i="9"/>
  <c r="W157" i="9"/>
  <c r="V157" i="9"/>
  <c r="W156" i="9"/>
  <c r="V156" i="9"/>
  <c r="W154" i="9"/>
  <c r="V154" i="9"/>
  <c r="W152" i="9"/>
  <c r="V152" i="9"/>
  <c r="W151" i="9"/>
  <c r="V151" i="9"/>
  <c r="W148" i="9"/>
  <c r="V148" i="9"/>
  <c r="W147" i="9"/>
  <c r="V147" i="9"/>
  <c r="W146" i="9"/>
  <c r="V146" i="9"/>
  <c r="W143" i="9"/>
  <c r="V143" i="9"/>
  <c r="W140" i="9"/>
  <c r="V140" i="9"/>
  <c r="W139" i="9"/>
  <c r="V139" i="9"/>
  <c r="W135" i="9"/>
  <c r="V135" i="9"/>
  <c r="W129" i="9"/>
  <c r="V129" i="9"/>
  <c r="W128" i="9"/>
  <c r="V128" i="9"/>
  <c r="W127" i="9"/>
  <c r="V127" i="9"/>
  <c r="W126" i="9"/>
  <c r="W122" i="9"/>
  <c r="V122" i="9"/>
  <c r="W121" i="9"/>
  <c r="V121" i="9"/>
  <c r="W120" i="9"/>
  <c r="V120" i="9"/>
  <c r="W116" i="9"/>
  <c r="V116" i="9"/>
  <c r="W115" i="9"/>
  <c r="V115" i="9"/>
  <c r="W114" i="9"/>
  <c r="V114" i="9"/>
  <c r="W113" i="9"/>
  <c r="V113" i="9"/>
  <c r="W111" i="9"/>
  <c r="V111" i="9"/>
  <c r="W107" i="9"/>
  <c r="V107" i="9"/>
  <c r="W106" i="9"/>
  <c r="V106" i="9"/>
  <c r="W105" i="9"/>
  <c r="V105" i="9"/>
  <c r="W104" i="9"/>
  <c r="V104" i="9"/>
  <c r="W102" i="9"/>
  <c r="V102" i="9"/>
  <c r="W98" i="9"/>
  <c r="V98" i="9"/>
  <c r="W97" i="9"/>
  <c r="V97" i="9"/>
  <c r="W96" i="9"/>
  <c r="V96" i="9"/>
  <c r="W95" i="9"/>
  <c r="V95" i="9"/>
  <c r="W93" i="9"/>
  <c r="V93" i="9"/>
  <c r="W89" i="9"/>
  <c r="V89" i="9"/>
  <c r="W88" i="9"/>
  <c r="V88" i="9"/>
  <c r="W87" i="9"/>
  <c r="V87" i="9"/>
  <c r="W86" i="9"/>
  <c r="V86" i="9"/>
  <c r="W84" i="9"/>
  <c r="V84" i="9"/>
  <c r="W82" i="9"/>
  <c r="V82" i="9"/>
  <c r="W81" i="9"/>
  <c r="V81" i="9"/>
  <c r="W78" i="9"/>
  <c r="V78" i="9"/>
  <c r="W74" i="9"/>
  <c r="V74" i="9"/>
  <c r="W67" i="9"/>
  <c r="V67" i="9"/>
  <c r="W66" i="9"/>
  <c r="V66" i="9"/>
  <c r="W63" i="9"/>
  <c r="V63" i="9"/>
  <c r="W60" i="9"/>
  <c r="V60" i="9"/>
  <c r="W57" i="9"/>
  <c r="V57" i="9"/>
  <c r="W54" i="9"/>
  <c r="V54" i="9"/>
  <c r="W52" i="9"/>
  <c r="W49" i="9"/>
  <c r="V49" i="9"/>
  <c r="V48" i="9"/>
  <c r="W42" i="9"/>
  <c r="W41" i="9"/>
  <c r="V41" i="9"/>
  <c r="W40" i="9"/>
  <c r="V40" i="9"/>
  <c r="W38" i="9"/>
  <c r="V38" i="9"/>
  <c r="W37" i="9"/>
  <c r="V37" i="9"/>
  <c r="W35" i="9"/>
  <c r="W33" i="9"/>
  <c r="V33" i="9"/>
  <c r="W32" i="9"/>
  <c r="V32" i="9"/>
  <c r="W31" i="9"/>
  <c r="V31" i="9"/>
  <c r="W29" i="9"/>
  <c r="W27" i="9"/>
  <c r="V27" i="9"/>
  <c r="W26" i="9"/>
  <c r="V26" i="9"/>
  <c r="W25" i="9"/>
  <c r="V25" i="9"/>
  <c r="W24" i="9"/>
  <c r="V24" i="9"/>
  <c r="W22" i="9"/>
  <c r="V22" i="9"/>
  <c r="W20" i="9"/>
  <c r="W18" i="9"/>
  <c r="V18" i="9"/>
  <c r="W17" i="9"/>
  <c r="V17" i="9"/>
  <c r="W16" i="9"/>
  <c r="V16" i="9"/>
  <c r="W15" i="9"/>
  <c r="V15" i="9"/>
  <c r="W13" i="9"/>
  <c r="V13" i="9"/>
  <c r="W11" i="9"/>
  <c r="V11" i="9"/>
  <c r="W7" i="9"/>
  <c r="V7" i="9"/>
  <c r="N51" i="20" l="1"/>
  <c r="N48" i="20"/>
  <c r="N47" i="20"/>
  <c r="N46" i="20"/>
  <c r="N45" i="20"/>
  <c r="N44" i="20"/>
  <c r="N43" i="20"/>
  <c r="N42" i="20"/>
  <c r="N41" i="20"/>
  <c r="N40" i="20"/>
  <c r="N39" i="20"/>
  <c r="N38" i="20"/>
  <c r="N37" i="20"/>
  <c r="N36" i="20"/>
  <c r="N35" i="20"/>
  <c r="N34" i="20"/>
  <c r="N33" i="20"/>
  <c r="N32" i="20"/>
  <c r="N31" i="20"/>
  <c r="M26" i="20"/>
  <c r="N26" i="20" s="1"/>
  <c r="L26" i="20"/>
  <c r="K26" i="20"/>
  <c r="N25" i="20"/>
  <c r="N24" i="20"/>
  <c r="N23" i="20"/>
  <c r="N22" i="20"/>
  <c r="N21" i="20"/>
  <c r="N20" i="20"/>
  <c r="N19" i="20"/>
  <c r="N18" i="20"/>
  <c r="N17" i="20"/>
  <c r="N16" i="20"/>
  <c r="N11" i="20"/>
  <c r="M11" i="20"/>
  <c r="L11" i="20"/>
  <c r="K11" i="20"/>
  <c r="N10" i="20"/>
  <c r="N9" i="20"/>
  <c r="N8" i="20"/>
  <c r="N7" i="20"/>
  <c r="N6" i="20"/>
  <c r="O3" i="9"/>
  <c r="O4" i="9"/>
  <c r="O5" i="9"/>
  <c r="O9" i="9"/>
  <c r="O10" i="9"/>
  <c r="O12" i="9"/>
  <c r="O42" i="9"/>
  <c r="O43" i="9"/>
  <c r="O44" i="9"/>
  <c r="O45" i="9"/>
  <c r="O46" i="9"/>
  <c r="O47" i="9"/>
  <c r="O62" i="9"/>
  <c r="O65" i="9"/>
  <c r="O68" i="9"/>
  <c r="O69" i="9"/>
  <c r="O70" i="9"/>
  <c r="O71" i="9"/>
  <c r="O72" i="9"/>
  <c r="O73" i="9"/>
  <c r="O75" i="9"/>
  <c r="O76" i="9"/>
  <c r="O77" i="9"/>
  <c r="O79" i="9"/>
  <c r="O80" i="9"/>
  <c r="O83" i="9"/>
  <c r="O85" i="9"/>
  <c r="O90" i="9"/>
  <c r="O91" i="9"/>
  <c r="O92" i="9"/>
  <c r="O94" i="9"/>
  <c r="O99" i="9"/>
  <c r="O100" i="9"/>
  <c r="O101" i="9"/>
  <c r="O130" i="9"/>
  <c r="O131" i="9"/>
  <c r="O132" i="9"/>
  <c r="O133" i="9"/>
  <c r="O134" i="9"/>
  <c r="O136" i="9"/>
  <c r="O137" i="9"/>
  <c r="O138" i="9"/>
  <c r="O141" i="9"/>
  <c r="O142" i="9"/>
  <c r="O144" i="9"/>
  <c r="O145" i="9"/>
  <c r="O149" i="9"/>
  <c r="O150" i="9"/>
  <c r="O153" i="9"/>
  <c r="O155" i="9"/>
  <c r="O158" i="9"/>
  <c r="O159" i="9"/>
  <c r="O160" i="9"/>
  <c r="O163" i="9"/>
  <c r="O164" i="9"/>
  <c r="O166" i="9"/>
  <c r="O167" i="9"/>
  <c r="O169" i="9"/>
  <c r="O170" i="9"/>
  <c r="O173" i="9"/>
  <c r="O176" i="9"/>
  <c r="O177" i="9"/>
  <c r="O180" i="9"/>
  <c r="O182" i="9"/>
  <c r="O183" i="9"/>
  <c r="O184" i="9"/>
  <c r="O185" i="9"/>
  <c r="O187" i="9"/>
  <c r="O188" i="9"/>
  <c r="O190" i="9"/>
  <c r="O192" i="9"/>
  <c r="O193" i="9"/>
  <c r="O195" i="9"/>
  <c r="O222" i="9"/>
  <c r="O224" i="9"/>
  <c r="O225" i="9"/>
  <c r="O226" i="9"/>
  <c r="O246" i="9"/>
  <c r="O247" i="9"/>
  <c r="O248" i="9"/>
  <c r="O251" i="9"/>
  <c r="O252" i="9"/>
  <c r="O255" i="9"/>
  <c r="O256" i="9"/>
  <c r="O257" i="9"/>
  <c r="O261" i="9"/>
  <c r="O266" i="9"/>
  <c r="O271" i="9"/>
  <c r="N3" i="9"/>
  <c r="N4" i="9"/>
  <c r="N5" i="9"/>
  <c r="N9" i="9"/>
  <c r="N10" i="9"/>
  <c r="N11" i="9"/>
  <c r="N12" i="9"/>
  <c r="N13" i="9"/>
  <c r="N41" i="9"/>
  <c r="N42" i="9"/>
  <c r="N43" i="9"/>
  <c r="N44" i="9"/>
  <c r="N45" i="9"/>
  <c r="N46" i="9"/>
  <c r="N47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4" i="9"/>
  <c r="N145" i="9"/>
  <c r="N146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224" i="9"/>
  <c r="N225" i="9"/>
  <c r="N226" i="9"/>
  <c r="N246" i="9"/>
  <c r="N247" i="9"/>
  <c r="N248" i="9"/>
  <c r="N249" i="9"/>
  <c r="N250" i="9"/>
  <c r="N251" i="9"/>
  <c r="N252" i="9"/>
  <c r="N253" i="9"/>
  <c r="N254" i="9"/>
  <c r="N255" i="9"/>
  <c r="N256" i="9"/>
  <c r="N257" i="9"/>
  <c r="N258" i="9"/>
  <c r="N259" i="9"/>
  <c r="N260" i="9"/>
  <c r="N261" i="9"/>
  <c r="N262" i="9"/>
  <c r="N263" i="9"/>
  <c r="N264" i="9"/>
  <c r="N265" i="9"/>
  <c r="N266" i="9"/>
  <c r="N267" i="9"/>
  <c r="N268" i="9"/>
  <c r="N271" i="9"/>
  <c r="T458" i="9"/>
  <c r="T457" i="9"/>
  <c r="X453" i="9"/>
  <c r="O453" i="9" s="1"/>
  <c r="X446" i="9"/>
  <c r="O446" i="9" s="1"/>
  <c r="X438" i="9"/>
  <c r="S436" i="9"/>
  <c r="T436" i="9" s="1"/>
  <c r="S435" i="9"/>
  <c r="T435" i="9" s="1"/>
  <c r="S434" i="9"/>
  <c r="T434" i="9" s="1"/>
  <c r="S433" i="9"/>
  <c r="T433" i="9" s="1"/>
  <c r="S432" i="9"/>
  <c r="T432" i="9" s="1"/>
  <c r="S431" i="9"/>
  <c r="T431" i="9" s="1"/>
  <c r="S430" i="9"/>
  <c r="T430" i="9" s="1"/>
  <c r="S429" i="9"/>
  <c r="T429" i="9" s="1"/>
  <c r="S428" i="9"/>
  <c r="T428" i="9" s="1"/>
  <c r="T427" i="9"/>
  <c r="T426" i="9"/>
  <c r="T425" i="9"/>
  <c r="T424" i="9"/>
  <c r="T423" i="9"/>
  <c r="T422" i="9"/>
  <c r="T421" i="9"/>
  <c r="T420" i="9"/>
  <c r="T419" i="9"/>
  <c r="T418" i="9"/>
  <c r="T417" i="9"/>
  <c r="T416" i="9"/>
  <c r="T415" i="9"/>
  <c r="T414" i="9"/>
  <c r="T413" i="9"/>
  <c r="T412" i="9"/>
  <c r="T411" i="9"/>
  <c r="T410" i="9"/>
  <c r="T409" i="9"/>
  <c r="S408" i="9"/>
  <c r="T408" i="9" s="1"/>
  <c r="S407" i="9"/>
  <c r="T407" i="9" s="1"/>
  <c r="S406" i="9"/>
  <c r="T406" i="9" s="1"/>
  <c r="S405" i="9"/>
  <c r="T405" i="9" s="1"/>
  <c r="T404" i="9"/>
  <c r="S403" i="9"/>
  <c r="T403" i="9" s="1"/>
  <c r="S402" i="9"/>
  <c r="T402" i="9" s="1"/>
  <c r="S401" i="9"/>
  <c r="T401" i="9" s="1"/>
  <c r="S400" i="9"/>
  <c r="T400" i="9" s="1"/>
  <c r="T399" i="9"/>
  <c r="T398" i="9"/>
  <c r="S397" i="9"/>
  <c r="T397" i="9" s="1"/>
  <c r="T396" i="9"/>
  <c r="T395" i="9"/>
  <c r="S394" i="9"/>
  <c r="T394" i="9" s="1"/>
  <c r="S393" i="9"/>
  <c r="T393" i="9" s="1"/>
  <c r="S392" i="9"/>
  <c r="T392" i="9" s="1"/>
  <c r="T391" i="9"/>
  <c r="S390" i="9"/>
  <c r="T390" i="9" s="1"/>
  <c r="T389" i="9"/>
  <c r="T388" i="9"/>
  <c r="T387" i="9"/>
  <c r="T386" i="9"/>
  <c r="T385" i="9"/>
  <c r="T384" i="9"/>
  <c r="T383" i="9"/>
  <c r="T382" i="9"/>
  <c r="T381" i="9"/>
  <c r="T380" i="9"/>
  <c r="T379" i="9"/>
  <c r="T378" i="9"/>
  <c r="T377" i="9"/>
  <c r="T376" i="9"/>
  <c r="T375" i="9"/>
  <c r="T374" i="9"/>
  <c r="T373" i="9"/>
  <c r="T372" i="9"/>
  <c r="T371" i="9"/>
  <c r="T370" i="9"/>
  <c r="T369" i="9"/>
  <c r="T368" i="9"/>
  <c r="T367" i="9"/>
  <c r="T366" i="9"/>
  <c r="T365" i="9"/>
  <c r="T364" i="9"/>
  <c r="T363" i="9"/>
  <c r="T362" i="9"/>
  <c r="S361" i="9"/>
  <c r="T361" i="9" s="1"/>
  <c r="S360" i="9"/>
  <c r="T360" i="9" s="1"/>
  <c r="T359" i="9"/>
  <c r="T358" i="9"/>
  <c r="T357" i="9"/>
  <c r="T356" i="9"/>
  <c r="T355" i="9"/>
  <c r="T354" i="9"/>
  <c r="T353" i="9"/>
  <c r="T352" i="9"/>
  <c r="T351" i="9"/>
  <c r="T350" i="9"/>
  <c r="T349" i="9"/>
  <c r="T348" i="9"/>
  <c r="T347" i="9"/>
  <c r="T346" i="9"/>
  <c r="T345" i="9"/>
  <c r="T344" i="9"/>
  <c r="T343" i="9"/>
  <c r="T342" i="9"/>
  <c r="T341" i="9"/>
  <c r="T340" i="9"/>
  <c r="T339" i="9"/>
  <c r="T338" i="9"/>
  <c r="T337" i="9"/>
  <c r="T336" i="9"/>
  <c r="T335" i="9"/>
  <c r="T334" i="9"/>
  <c r="T333" i="9"/>
  <c r="T332" i="9"/>
  <c r="T331" i="9"/>
  <c r="T330" i="9"/>
  <c r="T329" i="9"/>
  <c r="S328" i="9"/>
  <c r="T328" i="9" s="1"/>
  <c r="T327" i="9"/>
  <c r="S326" i="9"/>
  <c r="T326" i="9" s="1"/>
  <c r="T325" i="9"/>
  <c r="S324" i="9"/>
  <c r="T324" i="9" s="1"/>
  <c r="T323" i="9"/>
  <c r="S322" i="9"/>
  <c r="T322" i="9" s="1"/>
  <c r="S321" i="9"/>
  <c r="T321" i="9" s="1"/>
  <c r="S320" i="9"/>
  <c r="T320" i="9" s="1"/>
  <c r="T319" i="9"/>
  <c r="T318" i="9"/>
  <c r="T317" i="9"/>
  <c r="T316" i="9"/>
  <c r="T315" i="9"/>
  <c r="T314" i="9"/>
  <c r="T313" i="9"/>
  <c r="T312" i="9"/>
  <c r="T311" i="9"/>
  <c r="T310" i="9"/>
  <c r="T309" i="9"/>
  <c r="T308" i="9"/>
  <c r="T307" i="9"/>
  <c r="T306" i="9"/>
  <c r="T305" i="9"/>
  <c r="T304" i="9"/>
  <c r="T303" i="9"/>
  <c r="T302" i="9"/>
  <c r="T301" i="9"/>
  <c r="T300" i="9"/>
  <c r="T299" i="9"/>
  <c r="T298" i="9"/>
  <c r="T297" i="9"/>
  <c r="S296" i="9"/>
  <c r="T296" i="9" s="1"/>
  <c r="S295" i="9"/>
  <c r="T295" i="9" s="1"/>
  <c r="S294" i="9"/>
  <c r="T294" i="9" s="1"/>
  <c r="T293" i="9"/>
  <c r="T292" i="9"/>
  <c r="T291" i="9"/>
  <c r="T290" i="9"/>
  <c r="T289" i="9"/>
  <c r="T288" i="9"/>
  <c r="T287" i="9"/>
  <c r="T286" i="9"/>
  <c r="T285" i="9"/>
  <c r="T284" i="9"/>
  <c r="T283" i="9"/>
  <c r="T282" i="9"/>
  <c r="T281" i="9"/>
  <c r="T280" i="9"/>
  <c r="T279" i="9"/>
  <c r="T278" i="9"/>
  <c r="T277" i="9"/>
  <c r="S276" i="9"/>
  <c r="T276" i="9" s="1"/>
  <c r="T275" i="9"/>
  <c r="S274" i="9"/>
  <c r="T274" i="9" s="1"/>
  <c r="S273" i="9"/>
  <c r="T273" i="9" s="1"/>
  <c r="S272" i="9"/>
  <c r="T272" i="9" s="1"/>
  <c r="T271" i="9"/>
  <c r="S270" i="9"/>
  <c r="T270" i="9" s="1"/>
  <c r="T269" i="9"/>
  <c r="O268" i="9"/>
  <c r="T268" i="9"/>
  <c r="O267" i="9"/>
  <c r="T267" i="9"/>
  <c r="T266" i="9"/>
  <c r="O265" i="9"/>
  <c r="T265" i="9"/>
  <c r="O264" i="9"/>
  <c r="T264" i="9"/>
  <c r="O263" i="9"/>
  <c r="T263" i="9"/>
  <c r="O262" i="9"/>
  <c r="T262" i="9"/>
  <c r="T261" i="9"/>
  <c r="O260" i="9"/>
  <c r="T260" i="9"/>
  <c r="O259" i="9"/>
  <c r="T259" i="9"/>
  <c r="O258" i="9"/>
  <c r="T258" i="9"/>
  <c r="T257" i="9"/>
  <c r="T256" i="9"/>
  <c r="T255" i="9"/>
  <c r="O254" i="9"/>
  <c r="T254" i="9"/>
  <c r="O253" i="9"/>
  <c r="T253" i="9"/>
  <c r="T252" i="9"/>
  <c r="T251" i="9"/>
  <c r="O250" i="9"/>
  <c r="T250" i="9"/>
  <c r="O249" i="9"/>
  <c r="T249" i="9"/>
  <c r="T248" i="9"/>
  <c r="T247" i="9"/>
  <c r="T246" i="9"/>
  <c r="S245" i="9"/>
  <c r="T245" i="9" s="1"/>
  <c r="S244" i="9"/>
  <c r="T244" i="9" s="1"/>
  <c r="T243" i="9"/>
  <c r="T242" i="9"/>
  <c r="T241" i="9"/>
  <c r="T240" i="9"/>
  <c r="T239" i="9"/>
  <c r="T238" i="9"/>
  <c r="T237" i="9"/>
  <c r="T236" i="9"/>
  <c r="T235" i="9"/>
  <c r="T234" i="9"/>
  <c r="T233" i="9"/>
  <c r="T232" i="9"/>
  <c r="T231" i="9"/>
  <c r="T230" i="9"/>
  <c r="T229" i="9"/>
  <c r="T228" i="9"/>
  <c r="T227" i="9"/>
  <c r="T226" i="9"/>
  <c r="T225" i="9"/>
  <c r="T224" i="9"/>
  <c r="O223" i="9"/>
  <c r="S223" i="9"/>
  <c r="T223" i="9" s="1"/>
  <c r="S222" i="9"/>
  <c r="T222" i="9" s="1"/>
  <c r="T221" i="9"/>
  <c r="T220" i="9"/>
  <c r="T219" i="9"/>
  <c r="T218" i="9"/>
  <c r="T217" i="9"/>
  <c r="T216" i="9"/>
  <c r="T215" i="9"/>
  <c r="T214" i="9"/>
  <c r="T213" i="9"/>
  <c r="T212" i="9"/>
  <c r="T211" i="9"/>
  <c r="T210" i="9"/>
  <c r="T209" i="9"/>
  <c r="T208" i="9"/>
  <c r="T207" i="9"/>
  <c r="T206" i="9"/>
  <c r="T205" i="9"/>
  <c r="T204" i="9"/>
  <c r="T203" i="9"/>
  <c r="T202" i="9"/>
  <c r="T201" i="9"/>
  <c r="T200" i="9"/>
  <c r="S199" i="9"/>
  <c r="T199" i="9" s="1"/>
  <c r="T198" i="9"/>
  <c r="T197" i="9"/>
  <c r="T196" i="9"/>
  <c r="T195" i="9"/>
  <c r="O194" i="9"/>
  <c r="T194" i="9"/>
  <c r="T193" i="9"/>
  <c r="T192" i="9"/>
  <c r="O191" i="9"/>
  <c r="T191" i="9"/>
  <c r="T190" i="9"/>
  <c r="O189" i="9"/>
  <c r="T189" i="9"/>
  <c r="T188" i="9"/>
  <c r="T187" i="9"/>
  <c r="O186" i="9"/>
  <c r="T186" i="9"/>
  <c r="T185" i="9"/>
  <c r="T184" i="9"/>
  <c r="T183" i="9"/>
  <c r="T182" i="9"/>
  <c r="O181" i="9"/>
  <c r="T181" i="9"/>
  <c r="T180" i="9"/>
  <c r="T179" i="9"/>
  <c r="O178" i="9"/>
  <c r="T178" i="9"/>
  <c r="T177" i="9"/>
  <c r="T176" i="9"/>
  <c r="O175" i="9"/>
  <c r="T175" i="9"/>
  <c r="O174" i="9"/>
  <c r="T174" i="9"/>
  <c r="T173" i="9"/>
  <c r="O172" i="9"/>
  <c r="T172" i="9"/>
  <c r="O171" i="9"/>
  <c r="T171" i="9"/>
  <c r="T170" i="9"/>
  <c r="T169" i="9"/>
  <c r="O168" i="9"/>
  <c r="T168" i="9"/>
  <c r="T167" i="9"/>
  <c r="T166" i="9"/>
  <c r="O165" i="9"/>
  <c r="T165" i="9"/>
  <c r="T164" i="9"/>
  <c r="T163" i="9"/>
  <c r="O162" i="9"/>
  <c r="T162" i="9"/>
  <c r="O161" i="9"/>
  <c r="T161" i="9"/>
  <c r="T160" i="9"/>
  <c r="T159" i="9"/>
  <c r="T158" i="9"/>
  <c r="O157" i="9"/>
  <c r="T157" i="9"/>
  <c r="O156" i="9"/>
  <c r="T156" i="9"/>
  <c r="T155" i="9"/>
  <c r="O154" i="9"/>
  <c r="T154" i="9"/>
  <c r="T153" i="9"/>
  <c r="O152" i="9"/>
  <c r="T152" i="9"/>
  <c r="O151" i="9"/>
  <c r="T151" i="9"/>
  <c r="T150" i="9"/>
  <c r="T149" i="9"/>
  <c r="O148" i="9"/>
  <c r="S148" i="9"/>
  <c r="N148" i="9" s="1"/>
  <c r="O147" i="9"/>
  <c r="S147" i="9"/>
  <c r="T147" i="9" s="1"/>
  <c r="O146" i="9"/>
  <c r="T146" i="9"/>
  <c r="T145" i="9"/>
  <c r="T144" i="9"/>
  <c r="O143" i="9"/>
  <c r="S143" i="9"/>
  <c r="T143" i="9" s="1"/>
  <c r="S142" i="9"/>
  <c r="T142" i="9" s="1"/>
  <c r="S141" i="9"/>
  <c r="N141" i="9" s="1"/>
  <c r="O140" i="9"/>
  <c r="S140" i="9"/>
  <c r="T140" i="9" s="1"/>
  <c r="O139" i="9"/>
  <c r="T139" i="9"/>
  <c r="T138" i="9"/>
  <c r="T137" i="9"/>
  <c r="T136" i="9"/>
  <c r="O135" i="9"/>
  <c r="T135" i="9"/>
  <c r="T134" i="9"/>
  <c r="T133" i="9"/>
  <c r="T132" i="9"/>
  <c r="T131" i="9"/>
  <c r="T130" i="9"/>
  <c r="O129" i="9"/>
  <c r="T129" i="9"/>
  <c r="O128" i="9"/>
  <c r="T128" i="9"/>
  <c r="T127" i="9"/>
  <c r="T126" i="9"/>
  <c r="T125" i="9"/>
  <c r="T124" i="9"/>
  <c r="T123" i="9"/>
  <c r="T122" i="9"/>
  <c r="T121" i="9"/>
  <c r="T120" i="9"/>
  <c r="T119" i="9"/>
  <c r="T118" i="9"/>
  <c r="T117" i="9"/>
  <c r="T116" i="9"/>
  <c r="T115" i="9"/>
  <c r="T114" i="9"/>
  <c r="T113" i="9"/>
  <c r="T112" i="9"/>
  <c r="T111" i="9"/>
  <c r="T110" i="9"/>
  <c r="T109" i="9"/>
  <c r="T108" i="9"/>
  <c r="T107" i="9"/>
  <c r="T106" i="9"/>
  <c r="T105" i="9"/>
  <c r="T104" i="9"/>
  <c r="T103" i="9"/>
  <c r="O102" i="9"/>
  <c r="T102" i="9"/>
  <c r="T101" i="9"/>
  <c r="T100" i="9"/>
  <c r="T99" i="9"/>
  <c r="O98" i="9"/>
  <c r="T98" i="9"/>
  <c r="O97" i="9"/>
  <c r="T97" i="9"/>
  <c r="O96" i="9"/>
  <c r="T96" i="9"/>
  <c r="O95" i="9"/>
  <c r="T95" i="9"/>
  <c r="T94" i="9"/>
  <c r="O93" i="9"/>
  <c r="T93" i="9"/>
  <c r="T92" i="9"/>
  <c r="T91" i="9"/>
  <c r="T90" i="9"/>
  <c r="O89" i="9"/>
  <c r="T89" i="9"/>
  <c r="O88" i="9"/>
  <c r="T88" i="9"/>
  <c r="O87" i="9"/>
  <c r="T87" i="9"/>
  <c r="O86" i="9"/>
  <c r="T86" i="9"/>
  <c r="T85" i="9"/>
  <c r="O84" i="9"/>
  <c r="T84" i="9"/>
  <c r="T83" i="9"/>
  <c r="O82" i="9"/>
  <c r="T82" i="9"/>
  <c r="O81" i="9"/>
  <c r="T81" i="9"/>
  <c r="T80" i="9"/>
  <c r="T79" i="9"/>
  <c r="O78" i="9"/>
  <c r="T78" i="9"/>
  <c r="T77" i="9"/>
  <c r="T76" i="9"/>
  <c r="T75" i="9"/>
  <c r="O74" i="9"/>
  <c r="T74" i="9"/>
  <c r="T73" i="9"/>
  <c r="T72" i="9"/>
  <c r="T71" i="9"/>
  <c r="T70" i="9"/>
  <c r="T69" i="9"/>
  <c r="T68" i="9"/>
  <c r="O67" i="9"/>
  <c r="T67" i="9"/>
  <c r="O66" i="9"/>
  <c r="T66" i="9"/>
  <c r="T65" i="9"/>
  <c r="T64" i="9"/>
  <c r="O63" i="9"/>
  <c r="S63" i="9"/>
  <c r="T63" i="9" s="1"/>
  <c r="S62" i="9"/>
  <c r="T62" i="9" s="1"/>
  <c r="T61" i="9"/>
  <c r="T60" i="9"/>
  <c r="T59" i="9"/>
  <c r="T58" i="9"/>
  <c r="T57" i="9"/>
  <c r="T56" i="9"/>
  <c r="T55" i="9"/>
  <c r="T54" i="9"/>
  <c r="T53" i="9"/>
  <c r="T52" i="9"/>
  <c r="T51" i="9"/>
  <c r="T50" i="9"/>
  <c r="T49" i="9"/>
  <c r="T48" i="9"/>
  <c r="T47" i="9"/>
  <c r="T46" i="9"/>
  <c r="T45" i="9"/>
  <c r="T44" i="9"/>
  <c r="T43" i="9"/>
  <c r="T42" i="9"/>
  <c r="O41" i="9"/>
  <c r="T41" i="9"/>
  <c r="S40" i="9"/>
  <c r="T40" i="9" s="1"/>
  <c r="T39" i="9"/>
  <c r="T38" i="9"/>
  <c r="T37" i="9"/>
  <c r="T36" i="9"/>
  <c r="T35" i="9"/>
  <c r="T34" i="9"/>
  <c r="T33" i="9"/>
  <c r="T32" i="9"/>
  <c r="T31" i="9"/>
  <c r="T30" i="9"/>
  <c r="T29" i="9"/>
  <c r="T28" i="9"/>
  <c r="T27" i="9"/>
  <c r="T26" i="9"/>
  <c r="T25" i="9"/>
  <c r="T24" i="9"/>
  <c r="T23" i="9"/>
  <c r="T22" i="9"/>
  <c r="T21" i="9"/>
  <c r="T20" i="9"/>
  <c r="T19" i="9"/>
  <c r="T18" i="9"/>
  <c r="T17" i="9"/>
  <c r="T16" i="9"/>
  <c r="T15" i="9"/>
  <c r="T14" i="9"/>
  <c r="O13" i="9"/>
  <c r="T13" i="9"/>
  <c r="T12" i="9"/>
  <c r="O11" i="9"/>
  <c r="T11" i="9"/>
  <c r="T10" i="9"/>
  <c r="T9" i="9"/>
  <c r="S8" i="9"/>
  <c r="T8" i="9" s="1"/>
  <c r="S7" i="9"/>
  <c r="T7" i="9" s="1"/>
  <c r="T6" i="9"/>
  <c r="T5" i="9"/>
  <c r="T4" i="9"/>
  <c r="T3" i="9"/>
  <c r="T2" i="9"/>
  <c r="O458" i="9"/>
  <c r="N458" i="9"/>
  <c r="L458" i="9"/>
  <c r="K458" i="9"/>
  <c r="O457" i="9"/>
  <c r="N457" i="9"/>
  <c r="L457" i="9"/>
  <c r="K457" i="9"/>
  <c r="O456" i="9"/>
  <c r="N456" i="9"/>
  <c r="L456" i="9"/>
  <c r="K456" i="9"/>
  <c r="O455" i="9"/>
  <c r="N455" i="9"/>
  <c r="L455" i="9"/>
  <c r="K455" i="9"/>
  <c r="O454" i="9"/>
  <c r="N454" i="9"/>
  <c r="L454" i="9"/>
  <c r="K454" i="9"/>
  <c r="N453" i="9"/>
  <c r="L453" i="9"/>
  <c r="K453" i="9"/>
  <c r="O452" i="9"/>
  <c r="N452" i="9"/>
  <c r="L452" i="9"/>
  <c r="K452" i="9"/>
  <c r="O451" i="9"/>
  <c r="N451" i="9"/>
  <c r="L451" i="9"/>
  <c r="K451" i="9"/>
  <c r="O450" i="9"/>
  <c r="N450" i="9"/>
  <c r="L450" i="9"/>
  <c r="K450" i="9"/>
  <c r="O449" i="9"/>
  <c r="N449" i="9"/>
  <c r="L449" i="9"/>
  <c r="K449" i="9"/>
  <c r="L448" i="9"/>
  <c r="M448" i="9" s="1"/>
  <c r="K448" i="9"/>
  <c r="O447" i="9"/>
  <c r="N447" i="9"/>
  <c r="L447" i="9"/>
  <c r="K447" i="9"/>
  <c r="N446" i="9"/>
  <c r="L446" i="9"/>
  <c r="K446" i="9"/>
  <c r="O444" i="9"/>
  <c r="N444" i="9"/>
  <c r="L444" i="9"/>
  <c r="K444" i="9"/>
  <c r="O442" i="9"/>
  <c r="N442" i="9"/>
  <c r="L442" i="9"/>
  <c r="K442" i="9"/>
  <c r="O440" i="9"/>
  <c r="N440" i="9"/>
  <c r="L440" i="9"/>
  <c r="K440" i="9"/>
  <c r="O439" i="9"/>
  <c r="N439" i="9"/>
  <c r="L439" i="9"/>
  <c r="K439" i="9"/>
  <c r="O437" i="9"/>
  <c r="N437" i="9"/>
  <c r="L437" i="9"/>
  <c r="K437" i="9"/>
  <c r="O436" i="9"/>
  <c r="N436" i="9"/>
  <c r="L436" i="9"/>
  <c r="K436" i="9"/>
  <c r="O435" i="9"/>
  <c r="N435" i="9"/>
  <c r="O434" i="9"/>
  <c r="N434" i="9"/>
  <c r="L434" i="9"/>
  <c r="K434" i="9"/>
  <c r="O433" i="9"/>
  <c r="N433" i="9"/>
  <c r="L433" i="9"/>
  <c r="K433" i="9"/>
  <c r="O432" i="9"/>
  <c r="N432" i="9"/>
  <c r="L432" i="9"/>
  <c r="K432" i="9"/>
  <c r="O431" i="9"/>
  <c r="N431" i="9"/>
  <c r="L431" i="9"/>
  <c r="K431" i="9"/>
  <c r="L430" i="9"/>
  <c r="O429" i="9"/>
  <c r="N429" i="9"/>
  <c r="L429" i="9"/>
  <c r="K429" i="9"/>
  <c r="O428" i="9"/>
  <c r="N428" i="9"/>
  <c r="L428" i="9"/>
  <c r="K428" i="9"/>
  <c r="L408" i="9"/>
  <c r="M408" i="9" s="1"/>
  <c r="K408" i="9"/>
  <c r="L407" i="9"/>
  <c r="M407" i="9" s="1"/>
  <c r="O407" i="9" s="1"/>
  <c r="K407" i="9"/>
  <c r="L406" i="9"/>
  <c r="M406" i="9" s="1"/>
  <c r="K406" i="9"/>
  <c r="L405" i="9"/>
  <c r="M405" i="9" s="1"/>
  <c r="K405" i="9"/>
  <c r="K404" i="9"/>
  <c r="O391" i="9"/>
  <c r="N391" i="9"/>
  <c r="L391" i="9"/>
  <c r="K391" i="9"/>
  <c r="O390" i="9"/>
  <c r="N390" i="9"/>
  <c r="L390" i="9"/>
  <c r="K390" i="9"/>
  <c r="O389" i="9"/>
  <c r="N389" i="9"/>
  <c r="L389" i="9"/>
  <c r="K389" i="9"/>
  <c r="O388" i="9"/>
  <c r="N388" i="9"/>
  <c r="L388" i="9"/>
  <c r="K388" i="9"/>
  <c r="O387" i="9"/>
  <c r="N387" i="9"/>
  <c r="L387" i="9"/>
  <c r="K387" i="9"/>
  <c r="O386" i="9"/>
  <c r="N386" i="9"/>
  <c r="L386" i="9"/>
  <c r="K386" i="9"/>
  <c r="O385" i="9"/>
  <c r="N385" i="9"/>
  <c r="L385" i="9"/>
  <c r="K385" i="9"/>
  <c r="O384" i="9"/>
  <c r="N384" i="9"/>
  <c r="L384" i="9"/>
  <c r="K384" i="9"/>
  <c r="O383" i="9"/>
  <c r="N383" i="9"/>
  <c r="L383" i="9"/>
  <c r="K383" i="9"/>
  <c r="O382" i="9"/>
  <c r="N382" i="9"/>
  <c r="L382" i="9"/>
  <c r="K382" i="9"/>
  <c r="O381" i="9"/>
  <c r="N381" i="9"/>
  <c r="L381" i="9"/>
  <c r="K381" i="9"/>
  <c r="O380" i="9"/>
  <c r="N380" i="9"/>
  <c r="L380" i="9"/>
  <c r="K380" i="9"/>
  <c r="O379" i="9"/>
  <c r="N379" i="9"/>
  <c r="L379" i="9"/>
  <c r="K379" i="9"/>
  <c r="O378" i="9"/>
  <c r="N378" i="9"/>
  <c r="L378" i="9"/>
  <c r="K378" i="9"/>
  <c r="O377" i="9"/>
  <c r="N377" i="9"/>
  <c r="L377" i="9"/>
  <c r="K377" i="9"/>
  <c r="O376" i="9"/>
  <c r="N376" i="9"/>
  <c r="L376" i="9"/>
  <c r="K376" i="9"/>
  <c r="O375" i="9"/>
  <c r="N375" i="9"/>
  <c r="L375" i="9"/>
  <c r="K375" i="9"/>
  <c r="O374" i="9"/>
  <c r="N374" i="9"/>
  <c r="L374" i="9"/>
  <c r="K374" i="9"/>
  <c r="O373" i="9"/>
  <c r="N373" i="9"/>
  <c r="L373" i="9"/>
  <c r="K373" i="9"/>
  <c r="O372" i="9"/>
  <c r="N372" i="9"/>
  <c r="L372" i="9"/>
  <c r="K372" i="9"/>
  <c r="O371" i="9"/>
  <c r="N371" i="9"/>
  <c r="L371" i="9"/>
  <c r="K371" i="9"/>
  <c r="O370" i="9"/>
  <c r="N370" i="9"/>
  <c r="L370" i="9"/>
  <c r="K370" i="9"/>
  <c r="O369" i="9"/>
  <c r="N369" i="9"/>
  <c r="L369" i="9"/>
  <c r="K369" i="9"/>
  <c r="O368" i="9"/>
  <c r="N368" i="9"/>
  <c r="L368" i="9"/>
  <c r="K368" i="9"/>
  <c r="O367" i="9"/>
  <c r="N367" i="9"/>
  <c r="L367" i="9"/>
  <c r="K367" i="9"/>
  <c r="O366" i="9"/>
  <c r="N366" i="9"/>
  <c r="L366" i="9"/>
  <c r="K366" i="9"/>
  <c r="O365" i="9"/>
  <c r="N365" i="9"/>
  <c r="L365" i="9"/>
  <c r="K365" i="9"/>
  <c r="O364" i="9"/>
  <c r="N364" i="9"/>
  <c r="L364" i="9"/>
  <c r="K364" i="9"/>
  <c r="O363" i="9"/>
  <c r="N363" i="9"/>
  <c r="L363" i="9"/>
  <c r="K363" i="9"/>
  <c r="O362" i="9"/>
  <c r="N362" i="9"/>
  <c r="L362" i="9"/>
  <c r="K362" i="9"/>
  <c r="O361" i="9"/>
  <c r="N361" i="9"/>
  <c r="L361" i="9"/>
  <c r="K361" i="9"/>
  <c r="O360" i="9"/>
  <c r="N360" i="9"/>
  <c r="L360" i="9"/>
  <c r="K360" i="9"/>
  <c r="O359" i="9"/>
  <c r="N359" i="9"/>
  <c r="L359" i="9"/>
  <c r="K359" i="9"/>
  <c r="O358" i="9"/>
  <c r="N358" i="9"/>
  <c r="L358" i="9"/>
  <c r="K358" i="9"/>
  <c r="O357" i="9"/>
  <c r="N357" i="9"/>
  <c r="L357" i="9"/>
  <c r="K357" i="9"/>
  <c r="O356" i="9"/>
  <c r="N356" i="9"/>
  <c r="L356" i="9"/>
  <c r="K356" i="9"/>
  <c r="O355" i="9"/>
  <c r="N355" i="9"/>
  <c r="L355" i="9"/>
  <c r="K355" i="9"/>
  <c r="O354" i="9"/>
  <c r="N354" i="9"/>
  <c r="L354" i="9"/>
  <c r="K354" i="9"/>
  <c r="O353" i="9"/>
  <c r="N353" i="9"/>
  <c r="L353" i="9"/>
  <c r="K353" i="9"/>
  <c r="O352" i="9"/>
  <c r="N352" i="9"/>
  <c r="L352" i="9"/>
  <c r="K352" i="9"/>
  <c r="O351" i="9"/>
  <c r="N351" i="9"/>
  <c r="L351" i="9"/>
  <c r="K351" i="9"/>
  <c r="O350" i="9"/>
  <c r="N350" i="9"/>
  <c r="L350" i="9"/>
  <c r="K350" i="9"/>
  <c r="O349" i="9"/>
  <c r="N349" i="9"/>
  <c r="L349" i="9"/>
  <c r="K349" i="9"/>
  <c r="O348" i="9"/>
  <c r="N348" i="9"/>
  <c r="L348" i="9"/>
  <c r="K348" i="9"/>
  <c r="O347" i="9"/>
  <c r="N347" i="9"/>
  <c r="L347" i="9"/>
  <c r="K347" i="9"/>
  <c r="O346" i="9"/>
  <c r="N346" i="9"/>
  <c r="L346" i="9"/>
  <c r="K346" i="9"/>
  <c r="O345" i="9"/>
  <c r="N345" i="9"/>
  <c r="L345" i="9"/>
  <c r="K345" i="9"/>
  <c r="O344" i="9"/>
  <c r="N344" i="9"/>
  <c r="L344" i="9"/>
  <c r="K344" i="9"/>
  <c r="O343" i="9"/>
  <c r="N343" i="9"/>
  <c r="L343" i="9"/>
  <c r="K343" i="9"/>
  <c r="O342" i="9"/>
  <c r="N342" i="9"/>
  <c r="L342" i="9"/>
  <c r="K342" i="9"/>
  <c r="O341" i="9"/>
  <c r="N341" i="9"/>
  <c r="L341" i="9"/>
  <c r="K341" i="9"/>
  <c r="O340" i="9"/>
  <c r="N340" i="9"/>
  <c r="L340" i="9"/>
  <c r="K340" i="9"/>
  <c r="O339" i="9"/>
  <c r="N339" i="9"/>
  <c r="L339" i="9"/>
  <c r="K339" i="9"/>
  <c r="O338" i="9"/>
  <c r="N338" i="9"/>
  <c r="L338" i="9"/>
  <c r="K338" i="9"/>
  <c r="O337" i="9"/>
  <c r="N337" i="9"/>
  <c r="L337" i="9"/>
  <c r="K337" i="9"/>
  <c r="O336" i="9"/>
  <c r="N336" i="9"/>
  <c r="L336" i="9"/>
  <c r="K336" i="9"/>
  <c r="O335" i="9"/>
  <c r="N335" i="9"/>
  <c r="L335" i="9"/>
  <c r="K335" i="9"/>
  <c r="O334" i="9"/>
  <c r="N334" i="9"/>
  <c r="L334" i="9"/>
  <c r="K334" i="9"/>
  <c r="O333" i="9"/>
  <c r="N333" i="9"/>
  <c r="L333" i="9"/>
  <c r="K333" i="9"/>
  <c r="O332" i="9"/>
  <c r="N332" i="9"/>
  <c r="L332" i="9"/>
  <c r="K332" i="9"/>
  <c r="O331" i="9"/>
  <c r="N331" i="9"/>
  <c r="L331" i="9"/>
  <c r="K331" i="9"/>
  <c r="O330" i="9"/>
  <c r="N330" i="9"/>
  <c r="L330" i="9"/>
  <c r="K330" i="9"/>
  <c r="O329" i="9"/>
  <c r="N329" i="9"/>
  <c r="L329" i="9"/>
  <c r="K329" i="9"/>
  <c r="L328" i="9"/>
  <c r="M328" i="9" s="1"/>
  <c r="K328" i="9"/>
  <c r="L327" i="9"/>
  <c r="M327" i="9" s="1"/>
  <c r="K327" i="9"/>
  <c r="O326" i="9"/>
  <c r="N326" i="9"/>
  <c r="L326" i="9"/>
  <c r="K326" i="9"/>
  <c r="O325" i="9"/>
  <c r="N325" i="9"/>
  <c r="L325" i="9"/>
  <c r="K325" i="9"/>
  <c r="O324" i="9"/>
  <c r="N324" i="9"/>
  <c r="L324" i="9"/>
  <c r="K324" i="9"/>
  <c r="O323" i="9"/>
  <c r="N323" i="9"/>
  <c r="L323" i="9"/>
  <c r="K323" i="9"/>
  <c r="O322" i="9"/>
  <c r="N322" i="9"/>
  <c r="L322" i="9"/>
  <c r="K322" i="9"/>
  <c r="L321" i="9"/>
  <c r="M321" i="9" s="1"/>
  <c r="K321" i="9"/>
  <c r="O320" i="9"/>
  <c r="N320" i="9"/>
  <c r="L320" i="9"/>
  <c r="K320" i="9"/>
  <c r="O319" i="9"/>
  <c r="N319" i="9"/>
  <c r="L319" i="9"/>
  <c r="K319" i="9"/>
  <c r="L318" i="9"/>
  <c r="M318" i="9" s="1"/>
  <c r="K318" i="9"/>
  <c r="O317" i="9"/>
  <c r="N317" i="9"/>
  <c r="L317" i="9"/>
  <c r="K317" i="9"/>
  <c r="O316" i="9"/>
  <c r="N316" i="9"/>
  <c r="L316" i="9"/>
  <c r="K316" i="9"/>
  <c r="O315" i="9"/>
  <c r="N315" i="9"/>
  <c r="L315" i="9"/>
  <c r="K315" i="9"/>
  <c r="O314" i="9"/>
  <c r="N314" i="9"/>
  <c r="L314" i="9"/>
  <c r="K314" i="9"/>
  <c r="O313" i="9"/>
  <c r="N313" i="9"/>
  <c r="L313" i="9"/>
  <c r="K313" i="9"/>
  <c r="O312" i="9"/>
  <c r="N312" i="9"/>
  <c r="L312" i="9"/>
  <c r="K312" i="9"/>
  <c r="O311" i="9"/>
  <c r="N311" i="9"/>
  <c r="L311" i="9"/>
  <c r="K311" i="9"/>
  <c r="O310" i="9"/>
  <c r="N310" i="9"/>
  <c r="L310" i="9"/>
  <c r="K310" i="9"/>
  <c r="O309" i="9"/>
  <c r="N309" i="9"/>
  <c r="L309" i="9"/>
  <c r="K309" i="9"/>
  <c r="O308" i="9"/>
  <c r="N308" i="9"/>
  <c r="L308" i="9"/>
  <c r="K308" i="9"/>
  <c r="O307" i="9"/>
  <c r="N307" i="9"/>
  <c r="L307" i="9"/>
  <c r="K307" i="9"/>
  <c r="O306" i="9"/>
  <c r="N306" i="9"/>
  <c r="L306" i="9"/>
  <c r="K306" i="9"/>
  <c r="O305" i="9"/>
  <c r="N305" i="9"/>
  <c r="L305" i="9"/>
  <c r="K305" i="9"/>
  <c r="O304" i="9"/>
  <c r="N304" i="9"/>
  <c r="L304" i="9"/>
  <c r="K304" i="9"/>
  <c r="O303" i="9"/>
  <c r="N303" i="9"/>
  <c r="L303" i="9"/>
  <c r="K303" i="9"/>
  <c r="O302" i="9"/>
  <c r="N302" i="9"/>
  <c r="L302" i="9"/>
  <c r="K302" i="9"/>
  <c r="O301" i="9"/>
  <c r="N301" i="9"/>
  <c r="L301" i="9"/>
  <c r="K301" i="9"/>
  <c r="O300" i="9"/>
  <c r="N300" i="9"/>
  <c r="L300" i="9"/>
  <c r="K300" i="9"/>
  <c r="O299" i="9"/>
  <c r="N299" i="9"/>
  <c r="L299" i="9"/>
  <c r="K299" i="9"/>
  <c r="K298" i="9"/>
  <c r="L297" i="9"/>
  <c r="M297" i="9" s="1"/>
  <c r="O297" i="9" s="1"/>
  <c r="K297" i="9"/>
  <c r="L296" i="9"/>
  <c r="M296" i="9" s="1"/>
  <c r="K296" i="9"/>
  <c r="O295" i="9"/>
  <c r="N295" i="9"/>
  <c r="L295" i="9"/>
  <c r="K295" i="9"/>
  <c r="O294" i="9"/>
  <c r="N294" i="9"/>
  <c r="L294" i="9"/>
  <c r="K294" i="9"/>
  <c r="L276" i="9"/>
  <c r="M276" i="9" s="1"/>
  <c r="O276" i="9" s="1"/>
  <c r="K276" i="9"/>
  <c r="O275" i="9"/>
  <c r="N275" i="9"/>
  <c r="L275" i="9"/>
  <c r="K275" i="9"/>
  <c r="L271" i="9"/>
  <c r="K271" i="9"/>
  <c r="L270" i="9"/>
  <c r="M270" i="9" s="1"/>
  <c r="K270" i="9"/>
  <c r="L269" i="9"/>
  <c r="M269" i="9" s="1"/>
  <c r="N269" i="9" s="1"/>
  <c r="K269" i="9"/>
  <c r="L268" i="9"/>
  <c r="K268" i="9"/>
  <c r="L267" i="9"/>
  <c r="K267" i="9"/>
  <c r="L266" i="9"/>
  <c r="K266" i="9"/>
  <c r="L265" i="9"/>
  <c r="K265" i="9"/>
  <c r="L264" i="9"/>
  <c r="K264" i="9"/>
  <c r="L263" i="9"/>
  <c r="K263" i="9"/>
  <c r="L262" i="9"/>
  <c r="K262" i="9"/>
  <c r="L261" i="9"/>
  <c r="K261" i="9"/>
  <c r="L260" i="9"/>
  <c r="K260" i="9"/>
  <c r="L259" i="9"/>
  <c r="K259" i="9"/>
  <c r="L258" i="9"/>
  <c r="K258" i="9"/>
  <c r="L257" i="9"/>
  <c r="K257" i="9"/>
  <c r="L256" i="9"/>
  <c r="K256" i="9"/>
  <c r="L255" i="9"/>
  <c r="K255" i="9"/>
  <c r="L254" i="9"/>
  <c r="K254" i="9"/>
  <c r="L253" i="9"/>
  <c r="K253" i="9"/>
  <c r="L252" i="9"/>
  <c r="K252" i="9"/>
  <c r="L251" i="9"/>
  <c r="K251" i="9"/>
  <c r="L250" i="9"/>
  <c r="K250" i="9"/>
  <c r="L249" i="9"/>
  <c r="K249" i="9"/>
  <c r="L248" i="9"/>
  <c r="K248" i="9"/>
  <c r="L247" i="9"/>
  <c r="K247" i="9"/>
  <c r="L246" i="9"/>
  <c r="K246" i="9"/>
  <c r="L245" i="9"/>
  <c r="M245" i="9" s="1"/>
  <c r="K245" i="9"/>
  <c r="L244" i="9"/>
  <c r="M244" i="9" s="1"/>
  <c r="K244" i="9"/>
  <c r="L243" i="9"/>
  <c r="M243" i="9" s="1"/>
  <c r="N243" i="9" s="1"/>
  <c r="K243" i="9"/>
  <c r="L242" i="9"/>
  <c r="M242" i="9" s="1"/>
  <c r="N242" i="9" s="1"/>
  <c r="K242" i="9"/>
  <c r="L241" i="9"/>
  <c r="M241" i="9" s="1"/>
  <c r="N241" i="9" s="1"/>
  <c r="K241" i="9"/>
  <c r="L240" i="9"/>
  <c r="M240" i="9" s="1"/>
  <c r="N240" i="9" s="1"/>
  <c r="K240" i="9"/>
  <c r="L239" i="9"/>
  <c r="M239" i="9" s="1"/>
  <c r="O239" i="9" s="1"/>
  <c r="K239" i="9"/>
  <c r="L238" i="9"/>
  <c r="M238" i="9" s="1"/>
  <c r="N238" i="9" s="1"/>
  <c r="K238" i="9"/>
  <c r="L237" i="9"/>
  <c r="M237" i="9" s="1"/>
  <c r="N237" i="9" s="1"/>
  <c r="K237" i="9"/>
  <c r="L236" i="9"/>
  <c r="M236" i="9" s="1"/>
  <c r="N236" i="9" s="1"/>
  <c r="K236" i="9"/>
  <c r="L235" i="9"/>
  <c r="M235" i="9" s="1"/>
  <c r="K235" i="9"/>
  <c r="L234" i="9"/>
  <c r="M234" i="9" s="1"/>
  <c r="O234" i="9" s="1"/>
  <c r="K234" i="9"/>
  <c r="L233" i="9"/>
  <c r="M233" i="9" s="1"/>
  <c r="O233" i="9" s="1"/>
  <c r="K233" i="9"/>
  <c r="L232" i="9"/>
  <c r="M232" i="9" s="1"/>
  <c r="O232" i="9" s="1"/>
  <c r="K232" i="9"/>
  <c r="L231" i="9"/>
  <c r="M231" i="9" s="1"/>
  <c r="K231" i="9"/>
  <c r="L230" i="9"/>
  <c r="M230" i="9" s="1"/>
  <c r="K230" i="9"/>
  <c r="L229" i="9"/>
  <c r="M229" i="9" s="1"/>
  <c r="O229" i="9" s="1"/>
  <c r="K229" i="9"/>
  <c r="L228" i="9"/>
  <c r="M228" i="9" s="1"/>
  <c r="O228" i="9" s="1"/>
  <c r="K228" i="9"/>
  <c r="L227" i="9"/>
  <c r="M227" i="9" s="1"/>
  <c r="O227" i="9" s="1"/>
  <c r="K227" i="9"/>
  <c r="L226" i="9"/>
  <c r="K226" i="9"/>
  <c r="L225" i="9"/>
  <c r="K225" i="9"/>
  <c r="L224" i="9"/>
  <c r="K224" i="9"/>
  <c r="L223" i="9"/>
  <c r="K223" i="9"/>
  <c r="L222" i="9"/>
  <c r="K222" i="9"/>
  <c r="L221" i="9"/>
  <c r="M221" i="9" s="1"/>
  <c r="K221" i="9"/>
  <c r="L220" i="9"/>
  <c r="M220" i="9" s="1"/>
  <c r="N220" i="9" s="1"/>
  <c r="K220" i="9"/>
  <c r="L219" i="9"/>
  <c r="M219" i="9" s="1"/>
  <c r="N219" i="9" s="1"/>
  <c r="K219" i="9"/>
  <c r="L218" i="9"/>
  <c r="M218" i="9" s="1"/>
  <c r="N218" i="9" s="1"/>
  <c r="K218" i="9"/>
  <c r="L217" i="9"/>
  <c r="M217" i="9" s="1"/>
  <c r="N217" i="9" s="1"/>
  <c r="K217" i="9"/>
  <c r="L216" i="9"/>
  <c r="M216" i="9" s="1"/>
  <c r="N216" i="9" s="1"/>
  <c r="K216" i="9"/>
  <c r="L215" i="9"/>
  <c r="M215" i="9" s="1"/>
  <c r="N215" i="9" s="1"/>
  <c r="K215" i="9"/>
  <c r="L214" i="9"/>
  <c r="M214" i="9" s="1"/>
  <c r="N214" i="9" s="1"/>
  <c r="K214" i="9"/>
  <c r="L213" i="9"/>
  <c r="M213" i="9" s="1"/>
  <c r="N213" i="9" s="1"/>
  <c r="K213" i="9"/>
  <c r="L212" i="9"/>
  <c r="M212" i="9" s="1"/>
  <c r="N212" i="9" s="1"/>
  <c r="K212" i="9"/>
  <c r="L211" i="9"/>
  <c r="M211" i="9" s="1"/>
  <c r="N211" i="9" s="1"/>
  <c r="K211" i="9"/>
  <c r="L210" i="9"/>
  <c r="M210" i="9" s="1"/>
  <c r="N210" i="9" s="1"/>
  <c r="K210" i="9"/>
  <c r="L209" i="9"/>
  <c r="M209" i="9" s="1"/>
  <c r="N209" i="9" s="1"/>
  <c r="K209" i="9"/>
  <c r="L208" i="9"/>
  <c r="M208" i="9" s="1"/>
  <c r="N208" i="9" s="1"/>
  <c r="K208" i="9"/>
  <c r="L207" i="9"/>
  <c r="M207" i="9" s="1"/>
  <c r="O207" i="9" s="1"/>
  <c r="K207" i="9"/>
  <c r="L206" i="9"/>
  <c r="M206" i="9" s="1"/>
  <c r="O206" i="9" s="1"/>
  <c r="K206" i="9"/>
  <c r="L205" i="9"/>
  <c r="M205" i="9" s="1"/>
  <c r="O205" i="9" s="1"/>
  <c r="K205" i="9"/>
  <c r="L204" i="9"/>
  <c r="M204" i="9" s="1"/>
  <c r="K204" i="9"/>
  <c r="L203" i="9"/>
  <c r="M203" i="9" s="1"/>
  <c r="K203" i="9"/>
  <c r="L202" i="9"/>
  <c r="M202" i="9" s="1"/>
  <c r="K202" i="9"/>
  <c r="L201" i="9"/>
  <c r="M201" i="9" s="1"/>
  <c r="K201" i="9"/>
  <c r="L200" i="9"/>
  <c r="M200" i="9" s="1"/>
  <c r="O200" i="9" s="1"/>
  <c r="K200" i="9"/>
  <c r="L199" i="9"/>
  <c r="M199" i="9" s="1"/>
  <c r="K199" i="9"/>
  <c r="L198" i="9"/>
  <c r="M198" i="9" s="1"/>
  <c r="N198" i="9" s="1"/>
  <c r="K198" i="9"/>
  <c r="L197" i="9"/>
  <c r="M197" i="9" s="1"/>
  <c r="N197" i="9" s="1"/>
  <c r="K197" i="9"/>
  <c r="L196" i="9"/>
  <c r="M196" i="9" s="1"/>
  <c r="O196" i="9" s="1"/>
  <c r="K196" i="9"/>
  <c r="L195" i="9"/>
  <c r="K195" i="9"/>
  <c r="L194" i="9"/>
  <c r="K194" i="9"/>
  <c r="L193" i="9"/>
  <c r="K193" i="9"/>
  <c r="L192" i="9"/>
  <c r="K192" i="9"/>
  <c r="L191" i="9"/>
  <c r="K191" i="9"/>
  <c r="L190" i="9"/>
  <c r="K190" i="9"/>
  <c r="L189" i="9"/>
  <c r="K189" i="9"/>
  <c r="L188" i="9"/>
  <c r="K188" i="9"/>
  <c r="L187" i="9"/>
  <c r="K187" i="9"/>
  <c r="L186" i="9"/>
  <c r="K186" i="9"/>
  <c r="L185" i="9"/>
  <c r="K185" i="9"/>
  <c r="L184" i="9"/>
  <c r="K184" i="9"/>
  <c r="L183" i="9"/>
  <c r="K183" i="9"/>
  <c r="L182" i="9"/>
  <c r="K182" i="9"/>
  <c r="L181" i="9"/>
  <c r="K181" i="9"/>
  <c r="L180" i="9"/>
  <c r="K180" i="9"/>
  <c r="L179" i="9"/>
  <c r="M179" i="9" s="1"/>
  <c r="O179" i="9" s="1"/>
  <c r="K179" i="9"/>
  <c r="L178" i="9"/>
  <c r="K178" i="9"/>
  <c r="L177" i="9"/>
  <c r="K177" i="9"/>
  <c r="L176" i="9"/>
  <c r="K176" i="9"/>
  <c r="L175" i="9"/>
  <c r="K175" i="9"/>
  <c r="L174" i="9"/>
  <c r="K174" i="9"/>
  <c r="L173" i="9"/>
  <c r="K173" i="9"/>
  <c r="L172" i="9"/>
  <c r="K172" i="9"/>
  <c r="L171" i="9"/>
  <c r="K171" i="9"/>
  <c r="L170" i="9"/>
  <c r="K170" i="9"/>
  <c r="L169" i="9"/>
  <c r="K169" i="9"/>
  <c r="L168" i="9"/>
  <c r="K168" i="9"/>
  <c r="L167" i="9"/>
  <c r="K167" i="9"/>
  <c r="L166" i="9"/>
  <c r="K166" i="9"/>
  <c r="L165" i="9"/>
  <c r="K165" i="9"/>
  <c r="L164" i="9"/>
  <c r="K164" i="9"/>
  <c r="L163" i="9"/>
  <c r="K163" i="9"/>
  <c r="L162" i="9"/>
  <c r="K162" i="9"/>
  <c r="L161" i="9"/>
  <c r="K161" i="9"/>
  <c r="L160" i="9"/>
  <c r="K160" i="9"/>
  <c r="L159" i="9"/>
  <c r="K159" i="9"/>
  <c r="L158" i="9"/>
  <c r="K158" i="9"/>
  <c r="L157" i="9"/>
  <c r="K157" i="9"/>
  <c r="L156" i="9"/>
  <c r="K156" i="9"/>
  <c r="L155" i="9"/>
  <c r="K155" i="9"/>
  <c r="L154" i="9"/>
  <c r="K154" i="9"/>
  <c r="L153" i="9"/>
  <c r="K153" i="9"/>
  <c r="L152" i="9"/>
  <c r="K152" i="9"/>
  <c r="L151" i="9"/>
  <c r="K151" i="9"/>
  <c r="L150" i="9"/>
  <c r="K150" i="9"/>
  <c r="L149" i="9"/>
  <c r="K149" i="9"/>
  <c r="L148" i="9"/>
  <c r="K148" i="9"/>
  <c r="L147" i="9"/>
  <c r="K147" i="9"/>
  <c r="L146" i="9"/>
  <c r="K146" i="9"/>
  <c r="L145" i="9"/>
  <c r="K145" i="9"/>
  <c r="L144" i="9"/>
  <c r="K144" i="9"/>
  <c r="L143" i="9"/>
  <c r="K143" i="9"/>
  <c r="L142" i="9"/>
  <c r="K142" i="9"/>
  <c r="L141" i="9"/>
  <c r="K141" i="9"/>
  <c r="L140" i="9"/>
  <c r="K140" i="9"/>
  <c r="L139" i="9"/>
  <c r="K139" i="9"/>
  <c r="L138" i="9"/>
  <c r="K138" i="9"/>
  <c r="L137" i="9"/>
  <c r="K137" i="9"/>
  <c r="L136" i="9"/>
  <c r="K136" i="9"/>
  <c r="L135" i="9"/>
  <c r="K135" i="9"/>
  <c r="L134" i="9"/>
  <c r="K134" i="9"/>
  <c r="L133" i="9"/>
  <c r="K133" i="9"/>
  <c r="L132" i="9"/>
  <c r="K132" i="9"/>
  <c r="L131" i="9"/>
  <c r="K131" i="9"/>
  <c r="L130" i="9"/>
  <c r="K130" i="9"/>
  <c r="L129" i="9"/>
  <c r="K129" i="9"/>
  <c r="L128" i="9"/>
  <c r="K128" i="9"/>
  <c r="L127" i="9"/>
  <c r="M127" i="9" s="1"/>
  <c r="N127" i="9" s="1"/>
  <c r="K127" i="9"/>
  <c r="L126" i="9"/>
  <c r="M126" i="9" s="1"/>
  <c r="N126" i="9" s="1"/>
  <c r="K126" i="9"/>
  <c r="L125" i="9"/>
  <c r="M125" i="9" s="1"/>
  <c r="N125" i="9" s="1"/>
  <c r="K125" i="9"/>
  <c r="L124" i="9"/>
  <c r="M124" i="9" s="1"/>
  <c r="N124" i="9" s="1"/>
  <c r="K124" i="9"/>
  <c r="L123" i="9"/>
  <c r="M123" i="9" s="1"/>
  <c r="O123" i="9" s="1"/>
  <c r="K123" i="9"/>
  <c r="L122" i="9"/>
  <c r="M122" i="9" s="1"/>
  <c r="K122" i="9"/>
  <c r="L121" i="9"/>
  <c r="M121" i="9" s="1"/>
  <c r="K121" i="9"/>
  <c r="L120" i="9"/>
  <c r="M120" i="9" s="1"/>
  <c r="K120" i="9"/>
  <c r="L119" i="9"/>
  <c r="M119" i="9" s="1"/>
  <c r="O119" i="9" s="1"/>
  <c r="K119" i="9"/>
  <c r="L118" i="9"/>
  <c r="M118" i="9" s="1"/>
  <c r="K118" i="9"/>
  <c r="L117" i="9"/>
  <c r="M117" i="9" s="1"/>
  <c r="O117" i="9" s="1"/>
  <c r="K117" i="9"/>
  <c r="L116" i="9"/>
  <c r="M116" i="9" s="1"/>
  <c r="N116" i="9" s="1"/>
  <c r="K116" i="9"/>
  <c r="L115" i="9"/>
  <c r="M115" i="9" s="1"/>
  <c r="K115" i="9"/>
  <c r="L114" i="9"/>
  <c r="M114" i="9" s="1"/>
  <c r="N114" i="9" s="1"/>
  <c r="K114" i="9"/>
  <c r="L113" i="9"/>
  <c r="M113" i="9" s="1"/>
  <c r="N113" i="9" s="1"/>
  <c r="K113" i="9"/>
  <c r="L112" i="9"/>
  <c r="M112" i="9" s="1"/>
  <c r="O112" i="9" s="1"/>
  <c r="K112" i="9"/>
  <c r="L111" i="9"/>
  <c r="M111" i="9" s="1"/>
  <c r="K111" i="9"/>
  <c r="L110" i="9"/>
  <c r="M110" i="9" s="1"/>
  <c r="O110" i="9" s="1"/>
  <c r="K110" i="9"/>
  <c r="L109" i="9"/>
  <c r="M109" i="9" s="1"/>
  <c r="O109" i="9" s="1"/>
  <c r="K109" i="9"/>
  <c r="L108" i="9"/>
  <c r="M108" i="9" s="1"/>
  <c r="O108" i="9" s="1"/>
  <c r="K108" i="9"/>
  <c r="L107" i="9"/>
  <c r="M107" i="9" s="1"/>
  <c r="K107" i="9"/>
  <c r="L106" i="9"/>
  <c r="M106" i="9" s="1"/>
  <c r="N106" i="9" s="1"/>
  <c r="K106" i="9"/>
  <c r="L105" i="9"/>
  <c r="M105" i="9" s="1"/>
  <c r="N105" i="9" s="1"/>
  <c r="K105" i="9"/>
  <c r="L104" i="9"/>
  <c r="M104" i="9" s="1"/>
  <c r="N104" i="9" s="1"/>
  <c r="K104" i="9"/>
  <c r="L103" i="9"/>
  <c r="M103" i="9" s="1"/>
  <c r="O103" i="9" s="1"/>
  <c r="K103" i="9"/>
  <c r="L102" i="9"/>
  <c r="K102" i="9"/>
  <c r="L101" i="9"/>
  <c r="K101" i="9"/>
  <c r="L100" i="9"/>
  <c r="K100" i="9"/>
  <c r="L99" i="9"/>
  <c r="K99" i="9"/>
  <c r="L98" i="9"/>
  <c r="K98" i="9"/>
  <c r="L97" i="9"/>
  <c r="K97" i="9"/>
  <c r="L96" i="9"/>
  <c r="K96" i="9"/>
  <c r="L95" i="9"/>
  <c r="K95" i="9"/>
  <c r="L94" i="9"/>
  <c r="K94" i="9"/>
  <c r="L93" i="9"/>
  <c r="K93" i="9"/>
  <c r="L92" i="9"/>
  <c r="K92" i="9"/>
  <c r="L91" i="9"/>
  <c r="K91" i="9"/>
  <c r="L90" i="9"/>
  <c r="K90" i="9"/>
  <c r="L89" i="9"/>
  <c r="K89" i="9"/>
  <c r="L88" i="9"/>
  <c r="K88" i="9"/>
  <c r="L87" i="9"/>
  <c r="K87" i="9"/>
  <c r="L86" i="9"/>
  <c r="K86" i="9"/>
  <c r="L85" i="9"/>
  <c r="K85" i="9"/>
  <c r="L84" i="9"/>
  <c r="K84" i="9"/>
  <c r="L83" i="9"/>
  <c r="K83" i="9"/>
  <c r="L82" i="9"/>
  <c r="K82" i="9"/>
  <c r="L81" i="9"/>
  <c r="K81" i="9"/>
  <c r="L80" i="9"/>
  <c r="K80" i="9"/>
  <c r="L79" i="9"/>
  <c r="K79" i="9"/>
  <c r="L78" i="9"/>
  <c r="K78" i="9"/>
  <c r="L77" i="9"/>
  <c r="K77" i="9"/>
  <c r="L76" i="9"/>
  <c r="K76" i="9"/>
  <c r="L75" i="9"/>
  <c r="K75" i="9"/>
  <c r="L74" i="9"/>
  <c r="K74" i="9"/>
  <c r="L73" i="9"/>
  <c r="K73" i="9"/>
  <c r="L72" i="9"/>
  <c r="K72" i="9"/>
  <c r="L71" i="9"/>
  <c r="K71" i="9"/>
  <c r="L70" i="9"/>
  <c r="K70" i="9"/>
  <c r="L69" i="9"/>
  <c r="K69" i="9"/>
  <c r="L68" i="9"/>
  <c r="K68" i="9"/>
  <c r="L67" i="9"/>
  <c r="K67" i="9"/>
  <c r="L66" i="9"/>
  <c r="K66" i="9"/>
  <c r="L65" i="9"/>
  <c r="K65" i="9"/>
  <c r="L64" i="9"/>
  <c r="M64" i="9" s="1"/>
  <c r="O64" i="9" s="1"/>
  <c r="K64" i="9"/>
  <c r="L63" i="9"/>
  <c r="K63" i="9"/>
  <c r="L62" i="9"/>
  <c r="K62" i="9"/>
  <c r="L61" i="9"/>
  <c r="M61" i="9" s="1"/>
  <c r="O61" i="9" s="1"/>
  <c r="K61" i="9"/>
  <c r="L60" i="9"/>
  <c r="M60" i="9" s="1"/>
  <c r="K60" i="9"/>
  <c r="L59" i="9"/>
  <c r="M59" i="9" s="1"/>
  <c r="O59" i="9" s="1"/>
  <c r="K59" i="9"/>
  <c r="L58" i="9"/>
  <c r="M58" i="9" s="1"/>
  <c r="N58" i="9" s="1"/>
  <c r="K58" i="9"/>
  <c r="L57" i="9"/>
  <c r="M57" i="9" s="1"/>
  <c r="N57" i="9" s="1"/>
  <c r="K57" i="9"/>
  <c r="L56" i="9"/>
  <c r="M56" i="9" s="1"/>
  <c r="O56" i="9" s="1"/>
  <c r="K56" i="9"/>
  <c r="L55" i="9"/>
  <c r="M55" i="9" s="1"/>
  <c r="N55" i="9" s="1"/>
  <c r="K55" i="9"/>
  <c r="L54" i="9"/>
  <c r="M54" i="9" s="1"/>
  <c r="N54" i="9" s="1"/>
  <c r="K54" i="9"/>
  <c r="L53" i="9"/>
  <c r="M53" i="9" s="1"/>
  <c r="N53" i="9" s="1"/>
  <c r="K53" i="9"/>
  <c r="L52" i="9"/>
  <c r="M52" i="9" s="1"/>
  <c r="O52" i="9" s="1"/>
  <c r="K52" i="9"/>
  <c r="L51" i="9"/>
  <c r="M51" i="9" s="1"/>
  <c r="K51" i="9"/>
  <c r="L50" i="9"/>
  <c r="M50" i="9" s="1"/>
  <c r="N50" i="9" s="1"/>
  <c r="K50" i="9"/>
  <c r="L49" i="9"/>
  <c r="M49" i="9" s="1"/>
  <c r="N49" i="9" s="1"/>
  <c r="K49" i="9"/>
  <c r="L48" i="9"/>
  <c r="M48" i="9" s="1"/>
  <c r="N48" i="9" s="1"/>
  <c r="K48" i="9"/>
  <c r="L47" i="9"/>
  <c r="K47" i="9"/>
  <c r="L46" i="9"/>
  <c r="K46" i="9"/>
  <c r="L45" i="9"/>
  <c r="K45" i="9"/>
  <c r="L44" i="9"/>
  <c r="K44" i="9"/>
  <c r="L43" i="9"/>
  <c r="K43" i="9"/>
  <c r="L42" i="9"/>
  <c r="K42" i="9"/>
  <c r="L41" i="9"/>
  <c r="K41" i="9"/>
  <c r="L40" i="9"/>
  <c r="M40" i="9" s="1"/>
  <c r="K40" i="9"/>
  <c r="L39" i="9"/>
  <c r="M39" i="9" s="1"/>
  <c r="O39" i="9" s="1"/>
  <c r="K39" i="9"/>
  <c r="L38" i="9"/>
  <c r="M38" i="9" s="1"/>
  <c r="K38" i="9"/>
  <c r="L37" i="9"/>
  <c r="M37" i="9" s="1"/>
  <c r="K37" i="9"/>
  <c r="L36" i="9"/>
  <c r="M36" i="9" s="1"/>
  <c r="O36" i="9" s="1"/>
  <c r="K36" i="9"/>
  <c r="L35" i="9"/>
  <c r="M35" i="9" s="1"/>
  <c r="O35" i="9" s="1"/>
  <c r="K35" i="9"/>
  <c r="L34" i="9"/>
  <c r="M34" i="9" s="1"/>
  <c r="O34" i="9" s="1"/>
  <c r="K34" i="9"/>
  <c r="L33" i="9"/>
  <c r="M33" i="9" s="1"/>
  <c r="K33" i="9"/>
  <c r="L32" i="9"/>
  <c r="M32" i="9" s="1"/>
  <c r="K32" i="9"/>
  <c r="L31" i="9"/>
  <c r="M31" i="9" s="1"/>
  <c r="K31" i="9"/>
  <c r="L30" i="9"/>
  <c r="M30" i="9" s="1"/>
  <c r="O30" i="9" s="1"/>
  <c r="K30" i="9"/>
  <c r="L29" i="9"/>
  <c r="M29" i="9" s="1"/>
  <c r="N29" i="9" s="1"/>
  <c r="K29" i="9"/>
  <c r="L28" i="9"/>
  <c r="M28" i="9" s="1"/>
  <c r="O28" i="9" s="1"/>
  <c r="K28" i="9"/>
  <c r="L27" i="9"/>
  <c r="M27" i="9" s="1"/>
  <c r="N27" i="9" s="1"/>
  <c r="K27" i="9"/>
  <c r="L26" i="9"/>
  <c r="M26" i="9" s="1"/>
  <c r="N26" i="9" s="1"/>
  <c r="K26" i="9"/>
  <c r="L25" i="9"/>
  <c r="M25" i="9" s="1"/>
  <c r="N25" i="9" s="1"/>
  <c r="K25" i="9"/>
  <c r="L24" i="9"/>
  <c r="M24" i="9" s="1"/>
  <c r="N24" i="9" s="1"/>
  <c r="K24" i="9"/>
  <c r="L23" i="9"/>
  <c r="M23" i="9" s="1"/>
  <c r="N23" i="9" s="1"/>
  <c r="K23" i="9"/>
  <c r="L22" i="9"/>
  <c r="M22" i="9" s="1"/>
  <c r="N22" i="9" s="1"/>
  <c r="K22" i="9"/>
  <c r="L21" i="9"/>
  <c r="M21" i="9" s="1"/>
  <c r="N21" i="9" s="1"/>
  <c r="K21" i="9"/>
  <c r="L20" i="9"/>
  <c r="M20" i="9" s="1"/>
  <c r="N20" i="9" s="1"/>
  <c r="K20" i="9"/>
  <c r="L19" i="9"/>
  <c r="M19" i="9" s="1"/>
  <c r="N19" i="9" s="1"/>
  <c r="K19" i="9"/>
  <c r="L18" i="9"/>
  <c r="M18" i="9" s="1"/>
  <c r="N18" i="9" s="1"/>
  <c r="K18" i="9"/>
  <c r="L17" i="9"/>
  <c r="M17" i="9" s="1"/>
  <c r="N17" i="9" s="1"/>
  <c r="K17" i="9"/>
  <c r="L16" i="9"/>
  <c r="M16" i="9" s="1"/>
  <c r="K16" i="9"/>
  <c r="L15" i="9"/>
  <c r="M15" i="9" s="1"/>
  <c r="N15" i="9" s="1"/>
  <c r="K15" i="9"/>
  <c r="L14" i="9"/>
  <c r="M14" i="9" s="1"/>
  <c r="N14" i="9" s="1"/>
  <c r="K14" i="9"/>
  <c r="L13" i="9"/>
  <c r="K13" i="9"/>
  <c r="L12" i="9"/>
  <c r="K12" i="9"/>
  <c r="L11" i="9"/>
  <c r="K11" i="9"/>
  <c r="L10" i="9"/>
  <c r="K10" i="9"/>
  <c r="L9" i="9"/>
  <c r="K9" i="9"/>
  <c r="M8" i="9"/>
  <c r="O8" i="9" s="1"/>
  <c r="K8" i="9"/>
  <c r="L7" i="9"/>
  <c r="M7" i="9" s="1"/>
  <c r="K7" i="9"/>
  <c r="L6" i="9"/>
  <c r="M6" i="9" s="1"/>
  <c r="O6" i="9" s="1"/>
  <c r="K6" i="9"/>
  <c r="L5" i="9"/>
  <c r="K5" i="9"/>
  <c r="L4" i="9"/>
  <c r="K4" i="9"/>
  <c r="L3" i="9"/>
  <c r="K3" i="9"/>
  <c r="L2" i="9"/>
  <c r="M2" i="9" s="1"/>
  <c r="N2" i="9" s="1"/>
  <c r="K2" i="9"/>
  <c r="O19" i="9" l="1"/>
  <c r="N52" i="9"/>
  <c r="N147" i="9"/>
  <c r="O242" i="9"/>
  <c r="N140" i="9"/>
  <c r="O33" i="9"/>
  <c r="N228" i="9"/>
  <c r="N34" i="9"/>
  <c r="N33" i="9"/>
  <c r="O199" i="9"/>
  <c r="O201" i="9"/>
  <c r="O122" i="9"/>
  <c r="O111" i="9"/>
  <c r="O23" i="9"/>
  <c r="O115" i="9"/>
  <c r="T141" i="9"/>
  <c r="N244" i="9"/>
  <c r="T148" i="9"/>
  <c r="O231" i="9"/>
  <c r="N245" i="9"/>
  <c r="O221" i="9"/>
  <c r="N221" i="9"/>
  <c r="O118" i="9"/>
  <c r="N118" i="9"/>
  <c r="N51" i="9"/>
  <c r="O51" i="9"/>
  <c r="N16" i="9"/>
  <c r="O16" i="9"/>
  <c r="O235" i="9"/>
  <c r="N117" i="9"/>
  <c r="N111" i="9"/>
  <c r="N28" i="9"/>
  <c r="O270" i="9"/>
  <c r="N110" i="9"/>
  <c r="N112" i="9"/>
  <c r="N30" i="9"/>
  <c r="O240" i="9"/>
  <c r="O7" i="9"/>
  <c r="O116" i="9"/>
  <c r="N232" i="9"/>
  <c r="O37" i="9"/>
  <c r="O202" i="9"/>
  <c r="N142" i="9"/>
  <c r="O216" i="9"/>
  <c r="N270" i="9"/>
  <c r="N202" i="9"/>
  <c r="O50" i="9"/>
  <c r="O15" i="9"/>
  <c r="N223" i="9"/>
  <c r="N8" i="9"/>
  <c r="O220" i="9"/>
  <c r="N222" i="9"/>
  <c r="N143" i="9"/>
  <c r="O219" i="9"/>
  <c r="O55" i="9"/>
  <c r="O38" i="9"/>
  <c r="O107" i="9"/>
  <c r="N201" i="9"/>
  <c r="N200" i="9"/>
  <c r="N63" i="9"/>
  <c r="N62" i="9"/>
  <c r="O245" i="9"/>
  <c r="N56" i="9"/>
  <c r="N40" i="9"/>
  <c r="O24" i="9"/>
  <c r="O31" i="9"/>
  <c r="O32" i="9"/>
  <c r="O60" i="9"/>
  <c r="O120" i="9"/>
  <c r="O203" i="9"/>
  <c r="O121" i="9"/>
  <c r="O204" i="9"/>
  <c r="O230" i="9"/>
  <c r="N231" i="9"/>
  <c r="O54" i="9"/>
  <c r="N230" i="9"/>
  <c r="N120" i="9"/>
  <c r="N7" i="9"/>
  <c r="O53" i="9"/>
  <c r="N229" i="9"/>
  <c r="N119" i="9"/>
  <c r="N6" i="9"/>
  <c r="O241" i="9"/>
  <c r="N109" i="9"/>
  <c r="O269" i="9"/>
  <c r="N108" i="9"/>
  <c r="O243" i="9"/>
  <c r="N107" i="9"/>
  <c r="N39" i="9"/>
  <c r="N204" i="9"/>
  <c r="N36" i="9"/>
  <c r="O26" i="9"/>
  <c r="O27" i="9"/>
  <c r="N203" i="9"/>
  <c r="N35" i="9"/>
  <c r="O106" i="9"/>
  <c r="O25" i="9"/>
  <c r="O218" i="9"/>
  <c r="O217" i="9"/>
  <c r="N64" i="9"/>
  <c r="O215" i="9"/>
  <c r="O214" i="9"/>
  <c r="O212" i="9"/>
  <c r="N61" i="9"/>
  <c r="N60" i="9"/>
  <c r="O127" i="9"/>
  <c r="N235" i="9"/>
  <c r="N207" i="9"/>
  <c r="N179" i="9"/>
  <c r="N123" i="9"/>
  <c r="O198" i="9"/>
  <c r="O114" i="9"/>
  <c r="O58" i="9"/>
  <c r="O18" i="9"/>
  <c r="N234" i="9"/>
  <c r="N206" i="9"/>
  <c r="N122" i="9"/>
  <c r="N38" i="9"/>
  <c r="O197" i="9"/>
  <c r="O113" i="9"/>
  <c r="O57" i="9"/>
  <c r="O29" i="9"/>
  <c r="N196" i="9"/>
  <c r="N233" i="9"/>
  <c r="N205" i="9"/>
  <c r="N121" i="9"/>
  <c r="N37" i="9"/>
  <c r="N32" i="9"/>
  <c r="N227" i="9"/>
  <c r="N199" i="9"/>
  <c r="N115" i="9"/>
  <c r="N59" i="9"/>
  <c r="N31" i="9"/>
  <c r="O22" i="9"/>
  <c r="O105" i="9"/>
  <c r="O49" i="9"/>
  <c r="O21" i="9"/>
  <c r="O2" i="9"/>
  <c r="O244" i="9"/>
  <c r="O104" i="9"/>
  <c r="O48" i="9"/>
  <c r="O20" i="9"/>
  <c r="O238" i="9"/>
  <c r="O210" i="9"/>
  <c r="O126" i="9"/>
  <c r="O14" i="9"/>
  <c r="O237" i="9"/>
  <c r="O209" i="9"/>
  <c r="O125" i="9"/>
  <c r="O236" i="9"/>
  <c r="O208" i="9"/>
  <c r="O124" i="9"/>
  <c r="O40" i="9"/>
  <c r="O17" i="9"/>
  <c r="O213" i="9"/>
  <c r="O211" i="9"/>
  <c r="N103" i="9"/>
  <c r="N239" i="9"/>
  <c r="O448" i="9"/>
  <c r="N448" i="9"/>
  <c r="O296" i="9"/>
  <c r="N296" i="9"/>
  <c r="O406" i="9"/>
  <c r="N406" i="9"/>
  <c r="N407" i="9"/>
  <c r="N408" i="9"/>
  <c r="O408" i="9"/>
  <c r="O318" i="9"/>
  <c r="N318" i="9"/>
  <c r="N297" i="9"/>
  <c r="O327" i="9"/>
  <c r="N327" i="9"/>
  <c r="N405" i="9"/>
  <c r="O405" i="9"/>
  <c r="O328" i="9"/>
  <c r="N328" i="9"/>
  <c r="N321" i="9"/>
  <c r="O321" i="9"/>
  <c r="N276" i="9"/>
  <c r="I44" i="7" l="1"/>
  <c r="I43" i="7"/>
  <c r="I42" i="7"/>
  <c r="I46" i="7" s="1"/>
  <c r="I41" i="7"/>
  <c r="I6" i="7"/>
  <c r="I38" i="6"/>
  <c r="I24" i="6"/>
  <c r="I23" i="6"/>
  <c r="I15" i="6"/>
  <c r="I6" i="6"/>
  <c r="K46" i="5"/>
  <c r="K45" i="5"/>
  <c r="K44" i="5"/>
  <c r="K43" i="5"/>
  <c r="K7" i="5"/>
  <c r="K46" i="3"/>
  <c r="K45" i="3"/>
  <c r="K44" i="3"/>
  <c r="K43" i="3"/>
  <c r="K7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tc={420E74C1-F8FA-4B1A-B31B-6A4032664BA1}</author>
    <author>tc={6EEE15D3-E311-4B49-B6EE-539EC45F680D}</author>
  </authors>
  <commentList>
    <comment ref="V407" authorId="0" shapeId="0" xr:uid="{420E74C1-F8FA-4B1A-B31B-6A4032664BA1}">
      <text>
        <t>[Threaded comment]
Your version of Excel allows you to read this threaded comment; however, any edits to it will get removed if the file is opened in a newer version of Excel. Learn more: https://go.microsoft.com/fwlink/?linkid=870924
Comment:
    Modifica 09 Gennaio 2025</t>
      </text>
    </comment>
    <comment ref="W407" authorId="1" shapeId="0" xr:uid="{6EEE15D3-E311-4B49-B6EE-539EC45F680D}">
      <text>
        <t>[Threaded comment]
Your version of Excel allows you to read this threaded comment; however, any edits to it will get removed if the file is opened in a newer version of Excel. Learn more: https://go.microsoft.com/fwlink/?linkid=870924
Comment:
    Modifica 09 Gennaio 2025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tc={4A5D29CC-0072-4BBA-B32D-A0083A91F0EE}</author>
  </authors>
  <commentList>
    <comment ref="J14" authorId="0" shapeId="0" xr:uid="{4A5D29CC-0072-4BBA-B32D-A0083A91F0EE}">
      <text>
        <t>[Threaded comment]
Your version of Excel allows you to read this threaded comment; however, any edits to it will get removed if the file is opened in a newer version of Excel. Learn more: https://go.microsoft.com/fwlink/?linkid=870924
Comment:
    Estimated for one year.
Reply:
    225 setting
720 manutenzione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tc={32A00534-C64A-4AF4-A9D4-9D319FB5BA49}</author>
  </authors>
  <commentList>
    <comment ref="J14" authorId="0" shapeId="0" xr:uid="{32A00534-C64A-4AF4-A9D4-9D319FB5BA49}">
      <text>
        <t>[Threaded comment]
Your version of Excel allows you to read this threaded comment; however, any edits to it will get removed if the file is opened in a newer version of Excel. Learn more: https://go.microsoft.com/fwlink/?linkid=870924
Comment:
    Estimated for one year.
Reply:
    225 setting
720 manutenzione</t>
      </text>
    </comment>
  </commentList>
</comments>
</file>

<file path=xl/sharedStrings.xml><?xml version="1.0" encoding="utf-8"?>
<sst xmlns="http://schemas.openxmlformats.org/spreadsheetml/2006/main" count="8619" uniqueCount="446">
  <si>
    <t>Project Template</t>
  </si>
  <si>
    <t>Stick-Built</t>
  </si>
  <si>
    <t>Module</t>
  </si>
  <si>
    <t>Activities</t>
  </si>
  <si>
    <t>Title</t>
  </si>
  <si>
    <t>Technical Unit</t>
  </si>
  <si>
    <t>Assigned to</t>
  </si>
  <si>
    <t>Progress</t>
  </si>
  <si>
    <t>Professional Role</t>
  </si>
  <si>
    <t>Project</t>
  </si>
  <si>
    <t>Yes</t>
  </si>
  <si>
    <t>No</t>
  </si>
  <si>
    <t>Fabrication Setup</t>
  </si>
  <si>
    <t>Document</t>
  </si>
  <si>
    <t>Production Engineering</t>
  </si>
  <si>
    <t>Cannella Antonio</t>
  </si>
  <si>
    <t>Not started</t>
  </si>
  <si>
    <t>XXXXXX_Fabrication Manager</t>
  </si>
  <si>
    <t>Fabrication Execution Strategy</t>
  </si>
  <si>
    <t>Software</t>
  </si>
  <si>
    <t>Fabrication Engineering</t>
  </si>
  <si>
    <t>Contreras Cesar Raul</t>
  </si>
  <si>
    <t>On Progress</t>
  </si>
  <si>
    <t>432186_Construction Engineer</t>
  </si>
  <si>
    <t>Anadarko</t>
  </si>
  <si>
    <t>-</t>
  </si>
  <si>
    <t>Shop Drawing Steel Structure - Estimation</t>
  </si>
  <si>
    <t>Training</t>
  </si>
  <si>
    <t>Pre-Fabrication System</t>
  </si>
  <si>
    <t>Gioso Alex</t>
  </si>
  <si>
    <t>Finished</t>
  </si>
  <si>
    <t>432181_Integrated System Specialist</t>
  </si>
  <si>
    <t>Kutei</t>
  </si>
  <si>
    <t>Shop Drawing Piping - Estimation</t>
  </si>
  <si>
    <t>Procedure</t>
  </si>
  <si>
    <t>System Completion</t>
  </si>
  <si>
    <t>Bardoscia Roberto</t>
  </si>
  <si>
    <t>430006_System Completion Coordinator</t>
  </si>
  <si>
    <t>Shah Gas</t>
  </si>
  <si>
    <t>Shop Drawing Piping Support - Estimation</t>
  </si>
  <si>
    <t>Supervision</t>
  </si>
  <si>
    <t>Spano Michele</t>
  </si>
  <si>
    <t>Venezia</t>
  </si>
  <si>
    <t>Shop Drawing Steel Structure - Review</t>
  </si>
  <si>
    <t>Sandri Juri</t>
  </si>
  <si>
    <t>DPR Piping - Setting and Maintenance</t>
  </si>
  <si>
    <t>ADR Piping - Setting and Maintenance</t>
  </si>
  <si>
    <t>Spooling Check List</t>
  </si>
  <si>
    <t>Spoolgen Setting - Setting and Maintenance</t>
  </si>
  <si>
    <t>Spoolgen -Training</t>
  </si>
  <si>
    <t>Analysis of Piping Revisions</t>
  </si>
  <si>
    <t>DDC (Data Driven Construction) Setting and Maintenance</t>
  </si>
  <si>
    <t>Virtual Reality - Setting and Maintenance</t>
  </si>
  <si>
    <t>Augmented Reality - Setting and Maintenance</t>
  </si>
  <si>
    <t>GEMAPI SA - Setting and Maintenance</t>
  </si>
  <si>
    <t>GEMAPI SA - Training</t>
  </si>
  <si>
    <t>MAGA (Material Management) - Setting and Maintenance</t>
  </si>
  <si>
    <t>MAGA (Material Management) - Training</t>
  </si>
  <si>
    <t>Preservation - Setting and Maintenance</t>
  </si>
  <si>
    <t>Preservation - Training</t>
  </si>
  <si>
    <t>CARP - Setting and Maintenance</t>
  </si>
  <si>
    <t>CARP - Training</t>
  </si>
  <si>
    <t>WiTS (Welding Integrated Tracking System) - Setting and Maintenance</t>
  </si>
  <si>
    <t>WiTS (Welding Integrated Tracking System) - Training</t>
  </si>
  <si>
    <t>STS (Spool Tracking System) - Setting and Maintenance</t>
  </si>
  <si>
    <t>STS (Spool Tracking System) - Training</t>
  </si>
  <si>
    <t>Support Management - Setting and Maintenance</t>
  </si>
  <si>
    <t>Support Management - Training</t>
  </si>
  <si>
    <t>Digital Test Pack - Setting and Maintenance</t>
  </si>
  <si>
    <t>Digital Test Pack - Training</t>
  </si>
  <si>
    <t>Completion Dossier - Setting and Maintenance</t>
  </si>
  <si>
    <t>Completion Dossier - Training</t>
  </si>
  <si>
    <t>Punch List - Setting and Maintenance</t>
  </si>
  <si>
    <t>Punch List - Training</t>
  </si>
  <si>
    <t>Hydro Test Procedure</t>
  </si>
  <si>
    <t>Pneumatic Test Procedure</t>
  </si>
  <si>
    <t>Flange Management Procedure</t>
  </si>
  <si>
    <t>Mechanical Completion Procedure</t>
  </si>
  <si>
    <t>Punch List Procedure</t>
  </si>
  <si>
    <t>Carry Over Procedure</t>
  </si>
  <si>
    <t>Feasibility Study - Steel Structure (Prefabrication and Erection)</t>
  </si>
  <si>
    <t>Feasibility Study - Piping  (Prefabrication and Erection)</t>
  </si>
  <si>
    <t>Feasibility Study - Piping support (Prefabrication and Erection)</t>
  </si>
  <si>
    <t>Supervision of Steel Structure Stick-Built (Vendor), only UAE Area</t>
  </si>
  <si>
    <t>Process Control for Piping Activities Procedure</t>
  </si>
  <si>
    <t>Document Number</t>
  </si>
  <si>
    <t>Department</t>
  </si>
  <si>
    <t>Estimated hours (Internal)</t>
  </si>
  <si>
    <t>Estimated hours (External)</t>
  </si>
  <si>
    <t>Start Date</t>
  </si>
  <si>
    <t>Due Date</t>
  </si>
  <si>
    <t>Notes</t>
  </si>
  <si>
    <t>Estimated hours (internal)</t>
  </si>
  <si>
    <t>Estimated hours (external)</t>
  </si>
  <si>
    <t>Start date</t>
  </si>
  <si>
    <t>Due date</t>
  </si>
  <si>
    <t>FABSI</t>
  </si>
  <si>
    <t>consider 140 hours/monthly (80%)</t>
  </si>
  <si>
    <t>after 60% 3D Model Review (not before)</t>
  </si>
  <si>
    <t>optional</t>
  </si>
  <si>
    <t>Hold</t>
  </si>
  <si>
    <t>includes hardware estimate</t>
  </si>
  <si>
    <t xml:space="preserve">Deployment in according to the Org Chart Standard </t>
  </si>
  <si>
    <t>consider 72 hours/monthly (40%)</t>
  </si>
  <si>
    <t>General</t>
  </si>
  <si>
    <t>Hours</t>
  </si>
  <si>
    <t>Estimated hours</t>
  </si>
  <si>
    <t>XXXXXX_Fabrication Manager (Cannella)</t>
  </si>
  <si>
    <t>Shop Drawing Steel Structure - Review (including TQ)</t>
  </si>
  <si>
    <t>WiTS (Welding Integrated Tracking System) - Setting and Maintenance
STS (Spool Tracking System) - Setting and Maintenance</t>
  </si>
  <si>
    <t>Data entry from remote</t>
  </si>
  <si>
    <t>Stick Built</t>
  </si>
  <si>
    <t>Estimated hours
(external)</t>
  </si>
  <si>
    <t>Tekla PowerFab - Setting and Maintenance</t>
  </si>
  <si>
    <t>Tekla PowerFab - Training</t>
  </si>
  <si>
    <t>Prefabrication Piping Stick Built - Baseline Schedule Review</t>
  </si>
  <si>
    <t>Schedule</t>
  </si>
  <si>
    <t>COTOS/COWOP</t>
  </si>
  <si>
    <t>Construction Planning</t>
  </si>
  <si>
    <t>Lopez Flores Jesus Hector</t>
  </si>
  <si>
    <t>432192_Work Phase Planner</t>
  </si>
  <si>
    <t>Prefabrication Piping Stick Built - Schedule Preparation
included study Direct and Indirect resources</t>
  </si>
  <si>
    <t>Fabrication Module - Baseline Schedule Review</t>
  </si>
  <si>
    <t>Fabrication Module - Schedule Preparation
included study Direct and Indirect resources</t>
  </si>
  <si>
    <t>Dynamic Visual Schedule Setting (Navis+P6, WBS wise) - Plant</t>
  </si>
  <si>
    <t>Setup Execution (only)</t>
  </si>
  <si>
    <t>Dynamic Visual Schedule Setting - Fabrication Yard</t>
  </si>
  <si>
    <t>Contreras Cesar</t>
  </si>
  <si>
    <t>ID</t>
  </si>
  <si>
    <t>Liverpool</t>
  </si>
  <si>
    <t>Canada</t>
  </si>
  <si>
    <t>Marjan</t>
  </si>
  <si>
    <t>Cost Center</t>
  </si>
  <si>
    <t>Employee</t>
  </si>
  <si>
    <t>Work Location</t>
  </si>
  <si>
    <t>HUB</t>
  </si>
  <si>
    <t>Tipo Description</t>
  </si>
  <si>
    <t>SAABU Rate (EUR)</t>
  </si>
  <si>
    <t>SAABU Rate (USD)</t>
  </si>
  <si>
    <t>Local Agency Rate (USD</t>
  </si>
  <si>
    <t>Unit Rate (USD)</t>
  </si>
  <si>
    <t>Monthly Hours</t>
  </si>
  <si>
    <t>Annual Hours</t>
  </si>
  <si>
    <t>Workload
2025_Planned</t>
  </si>
  <si>
    <t>Workload
2025_Actual</t>
  </si>
  <si>
    <t>Remark</t>
  </si>
  <si>
    <t>Booking Hours</t>
  </si>
  <si>
    <t>Booking Cost (Forecast)</t>
  </si>
  <si>
    <t>Booking Period</t>
  </si>
  <si>
    <t>Booking hours (Accepted by Project)</t>
  </si>
  <si>
    <t>Booking Period (Accepted by Project)</t>
  </si>
  <si>
    <t>Booking hours (Extra)</t>
  </si>
  <si>
    <t>667111</t>
  </si>
  <si>
    <t>667100</t>
  </si>
  <si>
    <t>9ON042</t>
  </si>
  <si>
    <t>Aerol Lubrica</t>
  </si>
  <si>
    <t xml:space="preserve">Al Ahbabi Saeed Mohammed Mahdi Hadi </t>
  </si>
  <si>
    <t xml:space="preserve">Alhashmi Abdulla Bader Abdulla Abdoh </t>
  </si>
  <si>
    <t xml:space="preserve">Alsayedsheber Al Mousawi Ali Alsayedjaafar </t>
  </si>
  <si>
    <t>Arango Reyes Luis Fernando</t>
  </si>
  <si>
    <t>Astraquillo Roden M.</t>
  </si>
  <si>
    <t>Bassel Taha Mohamed Hassan Keshk</t>
  </si>
  <si>
    <t>Bharat Contractor Divyesh</t>
  </si>
  <si>
    <t>Cabingan Carlo</t>
  </si>
  <si>
    <t>Cantos Gamier Analyn</t>
  </si>
  <si>
    <t>Casanova Aviles Julio Cesar</t>
  </si>
  <si>
    <t>Castro Segura Roberto Jorge</t>
  </si>
  <si>
    <t>Cerritos Leon Juan Diego</t>
  </si>
  <si>
    <t>El Nahla Mohamed Mohsen Mokhtar Mohamed</t>
  </si>
  <si>
    <t>Elghannam Mohamed</t>
  </si>
  <si>
    <t>Ghionna Francesco</t>
  </si>
  <si>
    <t>Giganto Lea Grace</t>
  </si>
  <si>
    <t>Gutierrez Sanchez Elba Cecilia</t>
  </si>
  <si>
    <t>Hernandez Dominguez Marco Antonio</t>
  </si>
  <si>
    <t>Hernandez Dominguez Jorge Luis</t>
  </si>
  <si>
    <t>Hidalgo Omar</t>
  </si>
  <si>
    <t>Imam Md Faisal</t>
  </si>
  <si>
    <t>Jalando-on John Eric Facun</t>
  </si>
  <si>
    <t>Jarrar Walid</t>
  </si>
  <si>
    <t>Juarez Fernando</t>
  </si>
  <si>
    <t>Juarez Mercado Eunice</t>
  </si>
  <si>
    <t>Karukaparambil Antony Francis</t>
  </si>
  <si>
    <t xml:space="preserve">Kavya JG  Kavya JG </t>
  </si>
  <si>
    <t>Kazi Ilayas Saeed</t>
  </si>
  <si>
    <t>Lovidioro Ronnie</t>
  </si>
  <si>
    <t>Macias Ojeda Mariano Marco Antonio</t>
  </si>
  <si>
    <t>Mahesa Putra Benny</t>
  </si>
  <si>
    <t>Manansala Fermin</t>
  </si>
  <si>
    <t>Marlowe  Jose</t>
  </si>
  <si>
    <t>Mina Froiland</t>
  </si>
  <si>
    <t xml:space="preserve">Mualla Al Ali Ahmed Hamad Yousef </t>
  </si>
  <si>
    <t xml:space="preserve">Nijith Appozhathel </t>
  </si>
  <si>
    <t>Otniukov Nikita</t>
  </si>
  <si>
    <t>Perez Roderick</t>
  </si>
  <si>
    <t>Premraj Hirekar Rahul</t>
  </si>
  <si>
    <t>Ramirez Gerardo</t>
  </si>
  <si>
    <t>Renz Dione Macarai</t>
  </si>
  <si>
    <t>Rinu Joseph</t>
  </si>
  <si>
    <t>Riogusti Marzola</t>
  </si>
  <si>
    <t>Rizzuti Francesco</t>
  </si>
  <si>
    <t>Rodríguez López Hugo</t>
  </si>
  <si>
    <t>Ronell Begornia</t>
  </si>
  <si>
    <t>Rosas Jimenez Jose Alfredo</t>
  </si>
  <si>
    <t>Sadik K. Shaikh</t>
  </si>
  <si>
    <t>Segoviano Cardenas Valeria</t>
  </si>
  <si>
    <t>Shaikh  Moinuddin</t>
  </si>
  <si>
    <t>Sharad Pande Uday</t>
  </si>
  <si>
    <t xml:space="preserve">Sooraj Sasankan </t>
  </si>
  <si>
    <t>Spooling operator Spooling operator</t>
  </si>
  <si>
    <t>Steel Detailer Steel Detailer</t>
  </si>
  <si>
    <t>Sukumaran Mahesh</t>
  </si>
  <si>
    <t>Tikhonova  Natalia</t>
  </si>
  <si>
    <t>Vayankarankuzhiyil Ramchandran Vishnu</t>
  </si>
  <si>
    <t>Vazquez Noriega Nestor Gerardo</t>
  </si>
  <si>
    <t xml:space="preserve"> </t>
  </si>
  <si>
    <t>Local Agency</t>
  </si>
  <si>
    <t>Saipem SpA Abu Dhabi Branch</t>
  </si>
  <si>
    <t>Saipem SpA Milan</t>
  </si>
  <si>
    <t>Saipem SpA abu Dhabi Branch</t>
  </si>
  <si>
    <t>Emiratisation</t>
  </si>
  <si>
    <t>Fabrication Production</t>
  </si>
  <si>
    <t xml:space="preserve">Smartworking </t>
  </si>
  <si>
    <t>Abu Dhabi Project Office</t>
  </si>
  <si>
    <t>Milan Project Office</t>
  </si>
  <si>
    <t>White Collar Local Agency</t>
  </si>
  <si>
    <t>Senior local Abu-Dhabi</t>
  </si>
  <si>
    <t>Middle Manager exp Abu-Dhabi</t>
  </si>
  <si>
    <t>White Collar Milan</t>
  </si>
  <si>
    <t>Middle Manager Milan</t>
  </si>
  <si>
    <t>White Collar exp Abu-Dhabi</t>
  </si>
  <si>
    <t>Hail &amp; Ghasha Pkg 1 Island</t>
  </si>
  <si>
    <t>Jafurah Pkg 4</t>
  </si>
  <si>
    <t>Bioraffineria Livorno</t>
  </si>
  <si>
    <t>DOW Chinok Plant (LP8)</t>
  </si>
  <si>
    <t>Kaminho FPSO Block 20/11</t>
  </si>
  <si>
    <t>Liverpool Bay WP3</t>
  </si>
  <si>
    <t>Berri Abu Ali Crude and KGP</t>
  </si>
  <si>
    <t>NLNG 7 Bonny Island</t>
  </si>
  <si>
    <t>Perdaman Burrup Urea Project</t>
  </si>
  <si>
    <t>Marjan Pkg 10</t>
  </si>
  <si>
    <t>HAIL and GHASHA</t>
  </si>
  <si>
    <t>Rovuma LNG FEED</t>
  </si>
  <si>
    <t>KUTEI FPSO</t>
  </si>
  <si>
    <t>NGC Phase 1 Project</t>
  </si>
  <si>
    <t>Congo LNG/Scarabeo 5 Conversion</t>
  </si>
  <si>
    <t>Haifa Ammonia Plant</t>
  </si>
  <si>
    <t>proposal demob</t>
  </si>
  <si>
    <t>P79</t>
  </si>
  <si>
    <t>Thai Oil Clean Fuel Project (CFP)</t>
  </si>
  <si>
    <t>OSGE</t>
  </si>
  <si>
    <t>DDC Upgrade</t>
  </si>
  <si>
    <t>Spooling operators - Stick Built EPIC</t>
  </si>
  <si>
    <t>from Jan to Dec 2025</t>
  </si>
  <si>
    <t>Feasibility study, piping spool.</t>
  </si>
  <si>
    <t>From Jan to Apr 2025</t>
  </si>
  <si>
    <t>GEMAPI SA Setting with AM</t>
  </si>
  <si>
    <t>Setup Q1 2025</t>
  </si>
  <si>
    <t>Pending feedback</t>
  </si>
  <si>
    <t>Q2 2025</t>
  </si>
  <si>
    <t>Setup, Q4 2025</t>
  </si>
  <si>
    <t>Hold - to be reviewed in January 2025, after signing the EPC contract with ENI.</t>
  </si>
  <si>
    <t>Production Piping Lead, preparation of feasibility study Piping. Also included is training for Production Engineers.</t>
  </si>
  <si>
    <t>DDC (Data Driven Construction) 3D Models Maintenance</t>
  </si>
  <si>
    <t>From Jan to Dec 2025</t>
  </si>
  <si>
    <t>Not Required</t>
  </si>
  <si>
    <t>From Apr to Dec 2025</t>
  </si>
  <si>
    <t>From Oct to Dec 2025</t>
  </si>
  <si>
    <t>DDC (Data Driven Construction) 3D Reporting</t>
  </si>
  <si>
    <t>DDC (Data Driven Construction) Setting with AM</t>
  </si>
  <si>
    <t>Q1-Q2-Q3 2025</t>
  </si>
  <si>
    <t>Q2-Q3-Q4 2025</t>
  </si>
  <si>
    <t>Q4 2025</t>
  </si>
  <si>
    <t>STS (Spool Tracking System) Data Entry Support</t>
  </si>
  <si>
    <t>Analisys of Revision</t>
  </si>
  <si>
    <t>Coordinate the Technical and Operational part of the Fabrication.</t>
  </si>
  <si>
    <t>Setup, Q1 2025</t>
  </si>
  <si>
    <t>Setup, Q3 2025</t>
  </si>
  <si>
    <t>3 steps are required:
1. Dec 2024, early strategy.
2. Apr 2025, for Yards and RFQ.
3. Aug 2025, final strategy.</t>
  </si>
  <si>
    <t>CARP/TEKLA Power Fab Data Entry Support</t>
  </si>
  <si>
    <t>TEKLA Power Fab Data Entry Support</t>
  </si>
  <si>
    <t>TEKLA Power Fab Training</t>
  </si>
  <si>
    <t>CARP/TEKLA Power Fab Training</t>
  </si>
  <si>
    <t>WiTS (Welding Integrated Tracking System) Data Entry Support</t>
  </si>
  <si>
    <t>Preparation of General Arrangement, geolocation of Piping Support on Steel Structure (Module).</t>
  </si>
  <si>
    <t>from Jan to Jun 2025</t>
  </si>
  <si>
    <t>Preparation of General Arrangement, geolocation of Piping Support on Steel Structure (Module). Including Box Fireproofing.</t>
  </si>
  <si>
    <t>DPR Piping Setting with AM</t>
  </si>
  <si>
    <t>DPR Structural/Piping Setting with AM (Topside and Hull)</t>
  </si>
  <si>
    <t>Spoolgen Setting with AM</t>
  </si>
  <si>
    <t>Spoolgen Training</t>
  </si>
  <si>
    <t>Technical Office Coordinator, carried out workshops for NPCC own portion, relating to Spoolgen Software.</t>
  </si>
  <si>
    <t>Document Controller</t>
  </si>
  <si>
    <t>from Jan to Mar 2025</t>
  </si>
  <si>
    <t>from Nov to Dec 2026</t>
  </si>
  <si>
    <t>Document Controller, Piping.</t>
  </si>
  <si>
    <t>Document Controller, Steel Structure.</t>
  </si>
  <si>
    <t>from Nov 2024 to Mar 2025</t>
  </si>
  <si>
    <t>Document Controller.</t>
  </si>
  <si>
    <t>Completion Dossier Setting with AM</t>
  </si>
  <si>
    <t>Digital Test Pack Setting with AM</t>
  </si>
  <si>
    <t>Punch List Setting with AM</t>
  </si>
  <si>
    <t>Support Management Setting with AM</t>
  </si>
  <si>
    <t>TEKLA Power Fab Setting with AM</t>
  </si>
  <si>
    <t>CARP/TEKLA Power Fab Setting with AM</t>
  </si>
  <si>
    <t>Spooling operators - Stick Built no Metallic</t>
  </si>
  <si>
    <t>Spooling Coordinator.</t>
  </si>
  <si>
    <t>MAGA (Material Management) Data Entry Support</t>
  </si>
  <si>
    <t>from Jan to Feb 2025</t>
  </si>
  <si>
    <t>Q1 2025</t>
  </si>
  <si>
    <t>Spooling operators - PARs Technomak</t>
  </si>
  <si>
    <t>MAGA (Material Management) Setting with AM</t>
  </si>
  <si>
    <t>MAGA (Material Management) Training</t>
  </si>
  <si>
    <t>PRESERVATION Setting with AM</t>
  </si>
  <si>
    <t>PRESERVATION Training</t>
  </si>
  <si>
    <t>Feasibility study, piping spool and erection.</t>
  </si>
  <si>
    <t>Supervision Vendor ASSENT - Steel Engineering Company (Dubai), Steel Structure.</t>
  </si>
  <si>
    <t>from Jan to Oct 2025</t>
  </si>
  <si>
    <t>Piping Leader.</t>
  </si>
  <si>
    <t>Spooling Coordinator</t>
  </si>
  <si>
    <t>Piping Support Management + CosmoDS tool.</t>
  </si>
  <si>
    <t>Production Structural Lead, preparation of feasibility study Steel Structure. Also included is training for Production Engineers.</t>
  </si>
  <si>
    <t>Supervision Subcontractor FABCON, piping support.</t>
  </si>
  <si>
    <t>Feasibility study, piping support (installation).</t>
  </si>
  <si>
    <t>STS (Spool Tracking System) Setting with AM</t>
  </si>
  <si>
    <t>STS (Spool Tracking System) Training</t>
  </si>
  <si>
    <t>Support Management Training</t>
  </si>
  <si>
    <t>WiTS (Welding Integrated Tracking System) Setting with AM</t>
  </si>
  <si>
    <t>WiTS (Welding Integrated Tracking System) Training</t>
  </si>
  <si>
    <t>from March to Aug 2025</t>
  </si>
  <si>
    <t>Completion Dossier Training</t>
  </si>
  <si>
    <t>Punch List Training</t>
  </si>
  <si>
    <t>System Completion Lead, preparation of procedures and setup of Mechanical Completion.</t>
  </si>
  <si>
    <t>Nov 24 - Sep 25 
(50% x 8 mesi + 30% x 4 mesi)</t>
  </si>
  <si>
    <t>from Jan to Sep 2025</t>
  </si>
  <si>
    <t>Shop drawing development, (first issue, ensorsment Red Line Mark-up and As-built).</t>
  </si>
  <si>
    <t>Shop drawing development, no metallic material (first issue, ensorsment Red Line Mark-up and As-built).</t>
  </si>
  <si>
    <t>Feasibility study, piping spool and tie-in.</t>
  </si>
  <si>
    <t>Feasibility study, underground.</t>
  </si>
  <si>
    <t>Module - Shop drawing development, (ensorsment Red Line Mark-up and As-built).</t>
  </si>
  <si>
    <t>Follow-up Technical Query (TQ Fabrication Yard) and Shop Drawing Approval and Review. Under ENG WBS (Fano Hub, CIV Dept.).</t>
  </si>
  <si>
    <t>from Jan to JuL 2025</t>
  </si>
  <si>
    <t xml:space="preserve"> From Jan to August 2025</t>
  </si>
  <si>
    <t>Feasibility study, subsea.</t>
  </si>
  <si>
    <t>Shop Drawing Structural only Review.</t>
  </si>
  <si>
    <t>from Apr to Dec 2025</t>
  </si>
  <si>
    <t>Revision of Shop Drawing + Nesting of Ambar portion</t>
  </si>
  <si>
    <t>Shop Drawing Piping - Revisions. (around 900 iso's)</t>
  </si>
  <si>
    <t>from Feb to Mar 2025</t>
  </si>
  <si>
    <t>Preparation of General Arrangement for PAU on Steel Structure (Module). Including Box Fireproofing.</t>
  </si>
  <si>
    <t>Modelling of the support cable tray on Steel Structure (Module), for PAU and PARs.</t>
  </si>
  <si>
    <t>Additional Piping support, Shop Drawing</t>
  </si>
  <si>
    <t>New WH Software, including Maintenance for 1 year.</t>
  </si>
  <si>
    <t>from Jan to Dic2025</t>
  </si>
  <si>
    <t>WiTS (Welding Integrated Tracking System) seeting of Test Pack.</t>
  </si>
  <si>
    <t>only Feb 2025</t>
  </si>
  <si>
    <t>Commissioning request</t>
  </si>
  <si>
    <t>TBD</t>
  </si>
  <si>
    <t>Preparation of General Arrangement for Topside on Steel Structure (Module).</t>
  </si>
  <si>
    <t>from Mar to Sept 2025</t>
  </si>
  <si>
    <t>Feasibility study (Subsea), piping support.</t>
  </si>
  <si>
    <t>Feasibility study (NPCC own portion, PARs, Stick-built and Subsea), piping support.</t>
  </si>
  <si>
    <t>from 19 Mar to May 2025</t>
  </si>
  <si>
    <t>Modification of Data-Driven Construction (DDC)</t>
  </si>
  <si>
    <t>from February to April 2025</t>
  </si>
  <si>
    <t>Preparation of Infill beam for electrical/instrument/telecom equipment on Steel Structure (Module).</t>
  </si>
  <si>
    <t>from Apr to Sept 2025</t>
  </si>
  <si>
    <t>Preparation of Grating penetration for PAU on Steel Structure (Module).</t>
  </si>
  <si>
    <t>from Jun 2025 to Feb 2026</t>
  </si>
  <si>
    <t>from Jun 2025 to Mar 2026</t>
  </si>
  <si>
    <r>
      <t xml:space="preserve">Shop drawing development, (ensorsment Red Line Mark-up and As-built). </t>
    </r>
    <r>
      <rPr>
        <sz val="12"/>
        <color rgb="FFC00000"/>
        <rFont val="Arial"/>
        <family val="2"/>
      </rPr>
      <t>FORECAST</t>
    </r>
  </si>
  <si>
    <r>
      <t xml:space="preserve">from Jan to Dec 2025
</t>
    </r>
    <r>
      <rPr>
        <sz val="12"/>
        <color rgb="FFC00000"/>
        <rFont val="Arial"/>
        <family val="2"/>
      </rPr>
      <t>FORECAST</t>
    </r>
  </si>
  <si>
    <r>
      <t xml:space="preserve">Shop drawing development, (first issue, ensorsment Red Line Mark-up and As-built). </t>
    </r>
    <r>
      <rPr>
        <sz val="12"/>
        <color rgb="FFC00000"/>
        <rFont val="Arial"/>
        <family val="2"/>
      </rPr>
      <t>FORECAST</t>
    </r>
  </si>
  <si>
    <r>
      <t xml:space="preserve">from Nov to Dec 2026
</t>
    </r>
    <r>
      <rPr>
        <sz val="12"/>
        <color rgb="FFC00000"/>
        <rFont val="Arial"/>
        <family val="2"/>
      </rPr>
      <t>FORECAST</t>
    </r>
  </si>
  <si>
    <r>
      <t xml:space="preserve">Shop drawing development, package (first issue, ensorsment Red Line Mark-up and As-built). </t>
    </r>
    <r>
      <rPr>
        <sz val="12"/>
        <color rgb="FFC00000"/>
        <rFont val="Arial"/>
        <family val="2"/>
      </rPr>
      <t>FORECAST</t>
    </r>
  </si>
  <si>
    <r>
      <t xml:space="preserve">Supervision Subcontractor EPIC - Piping Spool Prefabrication (including Piping support).
</t>
    </r>
    <r>
      <rPr>
        <sz val="12"/>
        <color rgb="FFC00000"/>
        <rFont val="Arial"/>
        <family val="2"/>
      </rPr>
      <t>FORECAST</t>
    </r>
  </si>
  <si>
    <r>
      <t xml:space="preserve">WiTS (Welding Integrated Tracking System) Data Entry Support.
</t>
    </r>
    <r>
      <rPr>
        <sz val="12"/>
        <color rgb="FFC00000"/>
        <rFont val="Arial"/>
        <family val="2"/>
      </rPr>
      <t>FORECAST</t>
    </r>
  </si>
  <si>
    <t>Budget 2025</t>
  </si>
  <si>
    <t>Totale</t>
  </si>
  <si>
    <t>Total
Budget
Hours</t>
  </si>
  <si>
    <t>Total
Booking
Hours
(Planned)</t>
  </si>
  <si>
    <t>Total Booking
hours
(Accepted)</t>
  </si>
  <si>
    <t>Percentage of hours
(Accepted)</t>
  </si>
  <si>
    <t>Totale complessivo</t>
  </si>
  <si>
    <t>Totale complessivo (No Emirati)</t>
  </si>
  <si>
    <t>Dept. Description</t>
  </si>
  <si>
    <t>Remark Antonio</t>
  </si>
  <si>
    <t>067822 - CONSTRUCT. IMPROVEMENT COSTS ABU DHABI HUB
067823 - CONSTR. FUNCTIONAL COSTS ABU DHABI HUB</t>
  </si>
  <si>
    <t>Acceptable.</t>
  </si>
  <si>
    <t>FABSI/COMPLETION</t>
  </si>
  <si>
    <t>FABSI/FAB ENG</t>
  </si>
  <si>
    <t>Not Acceptable.</t>
  </si>
  <si>
    <t>FABSI/FAB ENG (DCC)</t>
  </si>
  <si>
    <t>FABSI/FAB ENG (Electrical)</t>
  </si>
  <si>
    <t>FABSI/FAB ENG (Piping)</t>
  </si>
  <si>
    <r>
      <rPr>
        <sz val="11"/>
        <rFont val="Arial"/>
        <family val="2"/>
        <scheme val="minor"/>
      </rPr>
      <t xml:space="preserve">Acceptable.
</t>
    </r>
    <r>
      <rPr>
        <sz val="11"/>
        <color rgb="FFC00000"/>
        <rFont val="Arial"/>
        <family val="2"/>
        <scheme val="minor"/>
      </rPr>
      <t>Missing Budget. Analisys of Revision of  Shop Drawings  - FPSO Kaminho. Marco Dogliotti.</t>
    </r>
  </si>
  <si>
    <t>FABSI/FAB ENG (Structural)</t>
  </si>
  <si>
    <t>Missing Budget. Approval and Review of  Shop Drawings  - LP8. ENG CIV. (1.243)
Missing Budget. Piping Support Shop Drawings  - FPSO Kaminho. Marco Dogliotti.</t>
  </si>
  <si>
    <t>FABSI/PRE-FABRICATION SYSTEM</t>
  </si>
  <si>
    <t>Pending Budget - Hold to be agree after presentation.</t>
  </si>
  <si>
    <t>FABSI/PRODUCTION (Piping)</t>
  </si>
  <si>
    <r>
      <rPr>
        <sz val="11"/>
        <rFont val="Arial"/>
        <family val="2"/>
        <scheme val="minor"/>
      </rPr>
      <t xml:space="preserve">Acceptable.
</t>
    </r>
    <r>
      <rPr>
        <sz val="11"/>
        <color rgb="FFC00000"/>
        <rFont val="Arial"/>
        <family val="2"/>
        <scheme val="minor"/>
      </rPr>
      <t>Missing Budget. Setup of Feasibility Study and Training of Production Engineer - FPSO Kaminho. Marco Dogliotti.</t>
    </r>
  </si>
  <si>
    <t>FABSI/PRODUCTION (Structural)</t>
  </si>
  <si>
    <t>Not Acceptable.
Missing Budget. Setup of Feasibility Study and Training of Production Engineer - FPSO Kaminho. Marco Dogliotti.</t>
  </si>
  <si>
    <t xml:space="preserve">Job Code and
WBS </t>
  </si>
  <si>
    <t>059925_CACBY1SA</t>
  </si>
  <si>
    <t>032321_C0MFB</t>
  </si>
  <si>
    <t>032325_	C0MCS</t>
  </si>
  <si>
    <t>HS0143_04MCH</t>
  </si>
  <si>
    <t>056941_C0MCS</t>
  </si>
  <si>
    <t>032239_10ECS</t>
  </si>
  <si>
    <t>054976_10EPERSAN</t>
  </si>
  <si>
    <t>032305_10ECS</t>
  </si>
  <si>
    <t>032342_C1MCS</t>
  </si>
  <si>
    <t>054997_CACCECOCS</t>
  </si>
  <si>
    <t>032226_10ECS</t>
  </si>
  <si>
    <t xml:space="preserve">VENEZIA </t>
  </si>
  <si>
    <t>032349_C0MCS</t>
  </si>
  <si>
    <t>RAVENNA</t>
  </si>
  <si>
    <t>PRIOLO</t>
  </si>
  <si>
    <t>SANNAZZARO</t>
  </si>
  <si>
    <t>Baytown Blue Hydrogen FEED</t>
  </si>
  <si>
    <t>BERRI</t>
  </si>
  <si>
    <t>BONNY Train 7</t>
  </si>
  <si>
    <t>HAIFA</t>
  </si>
  <si>
    <t>JAFURAH</t>
  </si>
  <si>
    <t>KAMINHO</t>
  </si>
  <si>
    <t>LIVERPOOL</t>
  </si>
  <si>
    <t>LIVORNO</t>
  </si>
  <si>
    <t>LP8</t>
  </si>
  <si>
    <t>MARJAN</t>
  </si>
  <si>
    <t>NGC ANGOLA</t>
  </si>
  <si>
    <t>ROVUMA</t>
  </si>
  <si>
    <t>SCARABEO 5</t>
  </si>
  <si>
    <t>THAI OIL</t>
  </si>
  <si>
    <t>19203-91-23</t>
  </si>
  <si>
    <t>Row Labels</t>
  </si>
  <si>
    <t>Grand Total</t>
  </si>
  <si>
    <t>Sum of Booking Hours</t>
  </si>
  <si>
    <t>Sum of Booking hours (Accepted by Project)</t>
  </si>
  <si>
    <t>Sum of Booking hours (Extra)</t>
  </si>
  <si>
    <t>Fabrication Production Piping</t>
  </si>
  <si>
    <t>Fabrication Engineering Structural</t>
  </si>
  <si>
    <t>Fabrication Engineering Piping</t>
  </si>
  <si>
    <t>Effettuare splt of Fabrication Production_List of Service HO_R3_Venezia.</t>
  </si>
  <si>
    <t>Fabrication Engineering DCC</t>
  </si>
  <si>
    <t>Fabrication Production Structural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</si>
</sst>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_(* #,##0.00_);_(* \(#,##0.00\);_(* &quot;-&quot;??_);_(@_)"/>
    <numFmt numFmtId="165" formatCode="_-* #,##0.00\ [$EUR]_-;\-* #,##0.00\ [$EUR]_-;_-* &quot;-&quot;??\ [$EUR]_-;_-@_-"/>
    <numFmt numFmtId="166" formatCode="_-* #,##0.00\ [$USD]_-;\-* #,##0.00\ [$USD]_-;_-* &quot;-&quot;??\ [$USD]_-;_-@_-"/>
    <numFmt numFmtId="167" formatCode="0.0%"/>
  </numFmts>
  <fonts count="32" x14ac:knownFonts="1">
    <font>
      <sz val="11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10"/>
      <name val="Arial"/>
      <family val="2"/>
      <scheme val="minor"/>
    </font>
    <font>
      <sz val="10"/>
      <color rgb="FFC00000"/>
      <name val="Arial"/>
      <family val="2"/>
      <scheme val="minor"/>
    </font>
    <font>
      <sz val="14"/>
      <color theme="1"/>
      <name val="Arial"/>
      <family val="2"/>
      <scheme val="minor"/>
    </font>
    <font>
      <sz val="16"/>
      <color theme="1"/>
      <name val="Arial"/>
      <family val="2"/>
      <scheme val="minor"/>
    </font>
    <font>
      <b/>
      <sz val="10"/>
      <color rgb="FFC00000"/>
      <name val="Arial"/>
      <family val="2"/>
      <scheme val="minor"/>
    </font>
    <font>
      <b/>
      <sz val="16"/>
      <color rgb="FF002060"/>
      <name val="Arial"/>
      <family val="2"/>
      <scheme val="minor"/>
    </font>
    <font>
      <sz val="11"/>
      <color theme="0"/>
      <name val="Arial"/>
      <family val="2"/>
      <scheme val="minor"/>
    </font>
    <font>
      <b/>
      <sz val="16"/>
      <color theme="0"/>
      <name val="Arial"/>
      <family val="2"/>
      <scheme val="minor"/>
    </font>
    <font>
      <sz val="18"/>
      <color theme="1"/>
      <name val="Arial"/>
      <family val="2"/>
      <scheme val="minor"/>
    </font>
    <font>
      <sz val="20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2"/>
      <color rgb="FF002060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  <font>
      <sz val="11"/>
      <color rgb="FF9C5700"/>
      <name val="Arial"/>
      <family val="2"/>
      <scheme val="minor"/>
    </font>
    <font>
      <b/>
      <sz val="11"/>
      <name val="Calibri"/>
      <family val="2"/>
    </font>
    <font>
      <b/>
      <sz val="11"/>
      <color rgb="FFFEFEFE"/>
      <name val="Calibri"/>
      <family val="2"/>
    </font>
    <font>
      <sz val="12"/>
      <color rgb="FF002060"/>
      <name val="Arial"/>
      <family val="2"/>
      <scheme val="minor"/>
    </font>
    <font>
      <sz val="11"/>
      <name val="Calibri"/>
      <family val="2"/>
    </font>
    <font>
      <strike/>
      <sz val="11"/>
      <color rgb="FFC00000"/>
      <name val="Calibri"/>
      <family val="2"/>
    </font>
    <font>
      <sz val="11"/>
      <color rgb="FFC00000"/>
      <name val="Calibri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2"/>
      <color rgb="FFC00000"/>
      <name val="Arial"/>
      <family val="2"/>
    </font>
    <font>
      <strike/>
      <sz val="12"/>
      <color rgb="FFC00000"/>
      <name val="Arial"/>
      <family val="2"/>
    </font>
    <font>
      <sz val="12"/>
      <color rgb="FFFF0000"/>
      <name val="Arial"/>
      <family val="2"/>
    </font>
    <font>
      <sz val="11"/>
      <color rgb="FFC00000"/>
      <name val="Arial"/>
      <family val="2"/>
      <scheme val="minor"/>
    </font>
    <font>
      <sz val="11"/>
      <name val="Arial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rgb="FF22505F"/>
        <bgColor indexed="64"/>
      </patternFill>
    </fill>
    <fill>
      <patternFill patternType="solid">
        <fgColor rgb="FF22505F"/>
        <bgColor auto="1"/>
      </patternFill>
    </fill>
    <fill>
      <patternFill patternType="solid">
        <fgColor theme="1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22505F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6">
    <xf numFmtId="0" fontId="0" fillId="0" borderId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" fillId="10" borderId="0" applyNumberFormat="0" applyBorder="0" applyAlignment="0" applyProtection="0"/>
    <xf numFmtId="0" fontId="17" fillId="11" borderId="0" applyNumberFormat="0" applyBorder="0" applyAlignment="0" applyProtection="0"/>
    <xf numFmtId="0" fontId="18" fillId="12" borderId="0" applyNumberFormat="0" applyBorder="0" applyAlignment="0" applyProtection="0"/>
  </cellStyleXfs>
  <cellXfs count="229">
    <xf numFmtId="0" fontId="0" fillId="0" borderId="0" xfId="0"/>
    <xf numFmtId="0" fontId="0" fillId="3" borderId="0" xfId="0" applyFill="1"/>
    <xf numFmtId="0" fontId="1" fillId="4" borderId="1" xfId="0" applyFont="1" applyFill="1" applyBorder="1" applyAlignment="1">
      <alignment horizontal="left" vertical="center" wrapText="1"/>
    </xf>
    <xf numFmtId="0" fontId="1" fillId="4" borderId="0" xfId="0" applyFont="1" applyFill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2" fillId="0" borderId="0" xfId="0" applyFont="1"/>
    <xf numFmtId="2" fontId="1" fillId="4" borderId="1" xfId="0" applyNumberFormat="1" applyFont="1" applyFill="1" applyBorder="1" applyAlignment="1">
      <alignment horizontal="left" vertical="center" wrapText="1"/>
    </xf>
    <xf numFmtId="3" fontId="1" fillId="4" borderId="1" xfId="0" applyNumberFormat="1" applyFont="1" applyFill="1" applyBorder="1" applyAlignment="1">
      <alignment horizontal="left" vertical="center" wrapText="1"/>
    </xf>
    <xf numFmtId="0" fontId="2" fillId="0" borderId="0" xfId="0" applyFont="1" applyAlignment="1">
      <alignment wrapText="1"/>
    </xf>
    <xf numFmtId="3" fontId="2" fillId="0" borderId="0" xfId="0" applyNumberFormat="1" applyFont="1" applyAlignment="1">
      <alignment horizontal="right"/>
    </xf>
    <xf numFmtId="3" fontId="1" fillId="0" borderId="1" xfId="0" applyNumberFormat="1" applyFont="1" applyBorder="1" applyAlignment="1">
      <alignment horizontal="right"/>
    </xf>
    <xf numFmtId="0" fontId="2" fillId="0" borderId="1" xfId="0" applyFont="1" applyBorder="1" applyAlignment="1">
      <alignment horizontal="right" vertical="center"/>
    </xf>
    <xf numFmtId="0" fontId="2" fillId="0" borderId="0" xfId="0" applyFont="1" applyAlignment="1">
      <alignment horizontal="right"/>
    </xf>
    <xf numFmtId="0" fontId="8" fillId="5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 wrapText="1"/>
    </xf>
    <xf numFmtId="3" fontId="2" fillId="0" borderId="1" xfId="0" applyNumberFormat="1" applyFont="1" applyBorder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3" fontId="4" fillId="0" borderId="1" xfId="0" applyNumberFormat="1" applyFont="1" applyBorder="1" applyAlignment="1">
      <alignment horizontal="right" vertical="center"/>
    </xf>
    <xf numFmtId="3" fontId="3" fillId="0" borderId="1" xfId="0" applyNumberFormat="1" applyFont="1" applyBorder="1" applyAlignment="1">
      <alignment vertical="center"/>
    </xf>
    <xf numFmtId="0" fontId="3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right" vertical="center"/>
    </xf>
    <xf numFmtId="0" fontId="0" fillId="2" borderId="0" xfId="0" applyFill="1"/>
    <xf numFmtId="0" fontId="0" fillId="6" borderId="0" xfId="0" applyFill="1"/>
    <xf numFmtId="0" fontId="6" fillId="2" borderId="0" xfId="0" applyFont="1" applyFill="1"/>
    <xf numFmtId="0" fontId="0" fillId="8" borderId="0" xfId="0" applyFill="1"/>
    <xf numFmtId="0" fontId="13" fillId="9" borderId="0" xfId="0" applyFont="1" applyFill="1" applyAlignment="1">
      <alignment horizontal="center" vertical="center"/>
    </xf>
    <xf numFmtId="0" fontId="8" fillId="5" borderId="2" xfId="0" applyFont="1" applyFill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/>
    </xf>
    <xf numFmtId="0" fontId="5" fillId="0" borderId="6" xfId="0" applyFont="1" applyBorder="1" applyAlignment="1">
      <alignment horizontal="left" vertical="center"/>
    </xf>
    <xf numFmtId="1" fontId="5" fillId="0" borderId="6" xfId="0" applyNumberFormat="1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8" xfId="0" applyFont="1" applyBorder="1" applyAlignment="1">
      <alignment horizontal="left" vertical="center"/>
    </xf>
    <xf numFmtId="1" fontId="5" fillId="0" borderId="8" xfId="0" applyNumberFormat="1" applyFont="1" applyBorder="1" applyAlignment="1">
      <alignment horizontal="center" vertical="center"/>
    </xf>
    <xf numFmtId="0" fontId="14" fillId="5" borderId="1" xfId="0" applyFont="1" applyFill="1" applyBorder="1" applyAlignment="1">
      <alignment horizontal="center" vertical="center"/>
    </xf>
    <xf numFmtId="0" fontId="14" fillId="5" borderId="1" xfId="0" applyFont="1" applyFill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14" fontId="5" fillId="0" borderId="8" xfId="0" applyNumberFormat="1" applyFont="1" applyBorder="1" applyAlignment="1">
      <alignment horizontal="center" vertic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 vertical="center"/>
    </xf>
    <xf numFmtId="0" fontId="20" fillId="13" borderId="1" xfId="0" applyFont="1" applyFill="1" applyBorder="1" applyAlignment="1">
      <alignment horizontal="left" vertical="center" wrapText="1"/>
    </xf>
    <xf numFmtId="0" fontId="21" fillId="5" borderId="1" xfId="0" applyFont="1" applyFill="1" applyBorder="1" applyAlignment="1">
      <alignment horizontal="center" vertical="center"/>
    </xf>
    <xf numFmtId="0" fontId="21" fillId="5" borderId="1" xfId="0" applyFont="1" applyFill="1" applyBorder="1" applyAlignment="1">
      <alignment horizontal="center" vertical="center" wrapText="1"/>
    </xf>
    <xf numFmtId="0" fontId="22" fillId="0" borderId="6" xfId="0" applyFont="1" applyBorder="1" applyAlignment="1">
      <alignment horizontal="left" vertical="center" wrapText="1"/>
    </xf>
    <xf numFmtId="0" fontId="22" fillId="0" borderId="8" xfId="0" applyFont="1" applyBorder="1" applyAlignment="1">
      <alignment horizontal="left" vertical="center"/>
    </xf>
    <xf numFmtId="0" fontId="22" fillId="0" borderId="8" xfId="0" applyFont="1" applyBorder="1" applyAlignment="1">
      <alignment horizontal="left" vertical="center" wrapText="1"/>
    </xf>
    <xf numFmtId="0" fontId="23" fillId="0" borderId="8" xfId="0" applyFont="1" applyBorder="1" applyAlignment="1">
      <alignment horizontal="left" vertical="center"/>
    </xf>
    <xf numFmtId="0" fontId="24" fillId="0" borderId="8" xfId="0" applyFont="1" applyBorder="1" applyAlignment="1">
      <alignment horizontal="left" vertical="center"/>
    </xf>
    <xf numFmtId="0" fontId="19" fillId="0" borderId="10" xfId="0" applyFont="1" applyBorder="1" applyAlignment="1">
      <alignment horizontal="left" vertical="center"/>
    </xf>
    <xf numFmtId="0" fontId="25" fillId="0" borderId="6" xfId="0" applyFont="1" applyBorder="1" applyAlignment="1">
      <alignment horizontal="left" vertical="center" wrapText="1"/>
    </xf>
    <xf numFmtId="0" fontId="25" fillId="0" borderId="6" xfId="5" applyFont="1" applyFill="1" applyBorder="1" applyAlignment="1">
      <alignment horizontal="left" vertical="center"/>
    </xf>
    <xf numFmtId="0" fontId="25" fillId="0" borderId="6" xfId="0" applyFont="1" applyBorder="1" applyAlignment="1">
      <alignment vertical="center"/>
    </xf>
    <xf numFmtId="0" fontId="25" fillId="0" borderId="6" xfId="0" applyFont="1" applyBorder="1" applyAlignment="1">
      <alignment horizontal="left" vertical="center"/>
    </xf>
    <xf numFmtId="0" fontId="25" fillId="0" borderId="11" xfId="0" applyFont="1" applyBorder="1" applyAlignment="1">
      <alignment vertical="center"/>
    </xf>
    <xf numFmtId="0" fontId="25" fillId="0" borderId="8" xfId="0" applyFont="1" applyBorder="1" applyAlignment="1">
      <alignment horizontal="left" vertical="center"/>
    </xf>
    <xf numFmtId="0" fontId="25" fillId="0" borderId="8" xfId="0" applyFont="1" applyBorder="1" applyAlignment="1">
      <alignment vertical="center"/>
    </xf>
    <xf numFmtId="0" fontId="25" fillId="0" borderId="12" xfId="0" applyFont="1" applyBorder="1" applyAlignment="1">
      <alignment vertical="center"/>
    </xf>
    <xf numFmtId="0" fontId="25" fillId="0" borderId="8" xfId="5" applyFont="1" applyFill="1" applyBorder="1" applyAlignment="1">
      <alignment horizontal="left" vertical="center"/>
    </xf>
    <xf numFmtId="0" fontId="25" fillId="0" borderId="8" xfId="0" applyFont="1" applyBorder="1" applyAlignment="1">
      <alignment horizontal="left" vertical="center" wrapText="1"/>
    </xf>
    <xf numFmtId="0" fontId="25" fillId="0" borderId="8" xfId="0" quotePrefix="1" applyFont="1" applyBorder="1" applyAlignment="1">
      <alignment horizontal="left" vertical="center" wrapText="1"/>
    </xf>
    <xf numFmtId="3" fontId="25" fillId="0" borderId="12" xfId="0" applyNumberFormat="1" applyFont="1" applyBorder="1" applyAlignment="1">
      <alignment horizontal="right" vertical="center" wrapText="1"/>
    </xf>
    <xf numFmtId="0" fontId="25" fillId="0" borderId="8" xfId="3" quotePrefix="1" applyNumberFormat="1" applyFont="1" applyFill="1" applyBorder="1" applyAlignment="1">
      <alignment horizontal="left" vertical="center" wrapText="1"/>
    </xf>
    <xf numFmtId="0" fontId="25" fillId="0" borderId="8" xfId="5" applyFont="1" applyFill="1" applyBorder="1" applyAlignment="1">
      <alignment horizontal="left" vertical="center" wrapText="1"/>
    </xf>
    <xf numFmtId="3" fontId="25" fillId="0" borderId="12" xfId="5" applyNumberFormat="1" applyFont="1" applyFill="1" applyBorder="1" applyAlignment="1">
      <alignment horizontal="right" vertical="center" wrapText="1"/>
    </xf>
    <xf numFmtId="0" fontId="26" fillId="0" borderId="8" xfId="0" applyFont="1" applyBorder="1"/>
    <xf numFmtId="0" fontId="26" fillId="0" borderId="12" xfId="0" applyFont="1" applyBorder="1"/>
    <xf numFmtId="0" fontId="27" fillId="0" borderId="8" xfId="0" applyFont="1" applyBorder="1" applyAlignment="1">
      <alignment vertical="center"/>
    </xf>
    <xf numFmtId="0" fontId="25" fillId="0" borderId="8" xfId="3" applyFont="1" applyFill="1" applyBorder="1" applyAlignment="1">
      <alignment horizontal="left" vertical="center"/>
    </xf>
    <xf numFmtId="0" fontId="27" fillId="0" borderId="8" xfId="5" applyFont="1" applyFill="1" applyBorder="1" applyAlignment="1">
      <alignment horizontal="left" vertical="center" wrapText="1"/>
    </xf>
    <xf numFmtId="3" fontId="26" fillId="0" borderId="12" xfId="0" applyNumberFormat="1" applyFont="1" applyBorder="1"/>
    <xf numFmtId="0" fontId="27" fillId="0" borderId="8" xfId="0" applyFont="1" applyBorder="1" applyAlignment="1">
      <alignment horizontal="left" vertical="center" wrapText="1"/>
    </xf>
    <xf numFmtId="0" fontId="25" fillId="0" borderId="8" xfId="3" applyFont="1" applyFill="1" applyBorder="1" applyAlignment="1">
      <alignment horizontal="left" vertical="center" wrapText="1"/>
    </xf>
    <xf numFmtId="0" fontId="28" fillId="0" borderId="8" xfId="0" applyFont="1" applyBorder="1" applyAlignment="1">
      <alignment horizontal="left" vertical="center"/>
    </xf>
    <xf numFmtId="0" fontId="28" fillId="0" borderId="8" xfId="5" applyFont="1" applyFill="1" applyBorder="1" applyAlignment="1">
      <alignment horizontal="left" vertical="center"/>
    </xf>
    <xf numFmtId="3" fontId="25" fillId="0" borderId="12" xfId="3" applyNumberFormat="1" applyFont="1" applyFill="1" applyBorder="1" applyAlignment="1">
      <alignment horizontal="right" vertical="center" wrapText="1"/>
    </xf>
    <xf numFmtId="0" fontId="28" fillId="0" borderId="8" xfId="3" applyFont="1" applyFill="1" applyBorder="1" applyAlignment="1">
      <alignment horizontal="left" vertical="center"/>
    </xf>
    <xf numFmtId="3" fontId="27" fillId="0" borderId="12" xfId="5" applyNumberFormat="1" applyFont="1" applyFill="1" applyBorder="1" applyAlignment="1">
      <alignment horizontal="right" vertical="center" wrapText="1"/>
    </xf>
    <xf numFmtId="165" fontId="25" fillId="0" borderId="8" xfId="0" applyNumberFormat="1" applyFont="1" applyBorder="1" applyAlignment="1">
      <alignment horizontal="right" vertical="center"/>
    </xf>
    <xf numFmtId="166" fontId="25" fillId="0" borderId="8" xfId="0" applyNumberFormat="1" applyFont="1" applyBorder="1" applyAlignment="1">
      <alignment horizontal="right" vertical="center"/>
    </xf>
    <xf numFmtId="0" fontId="25" fillId="0" borderId="8" xfId="5" quotePrefix="1" applyNumberFormat="1" applyFont="1" applyFill="1" applyBorder="1" applyAlignment="1">
      <alignment horizontal="left" vertical="center" wrapText="1"/>
    </xf>
    <xf numFmtId="0" fontId="25" fillId="0" borderId="8" xfId="3" applyFont="1" applyFill="1" applyBorder="1" applyAlignment="1">
      <alignment vertical="center"/>
    </xf>
    <xf numFmtId="0" fontId="25" fillId="0" borderId="8" xfId="5" applyFont="1" applyFill="1" applyBorder="1" applyAlignment="1">
      <alignment vertical="center"/>
    </xf>
    <xf numFmtId="0" fontId="25" fillId="0" borderId="8" xfId="3" quotePrefix="1" applyNumberFormat="1" applyFont="1" applyFill="1" applyBorder="1" applyAlignment="1">
      <alignment vertical="center"/>
    </xf>
    <xf numFmtId="0" fontId="25" fillId="0" borderId="8" xfId="0" applyFont="1" applyBorder="1" applyAlignment="1">
      <alignment vertical="center" wrapText="1"/>
    </xf>
    <xf numFmtId="0" fontId="27" fillId="0" borderId="8" xfId="0" applyFont="1" applyBorder="1" applyAlignment="1">
      <alignment horizontal="left" vertical="center"/>
    </xf>
    <xf numFmtId="0" fontId="25" fillId="14" borderId="8" xfId="5" applyFont="1" applyFill="1" applyBorder="1" applyAlignment="1">
      <alignment vertical="center"/>
    </xf>
    <xf numFmtId="0" fontId="25" fillId="14" borderId="8" xfId="0" quotePrefix="1" applyFont="1" applyFill="1" applyBorder="1" applyAlignment="1">
      <alignment vertical="center"/>
    </xf>
    <xf numFmtId="0" fontId="25" fillId="14" borderId="8" xfId="0" applyFont="1" applyFill="1" applyBorder="1" applyAlignment="1">
      <alignment vertical="center"/>
    </xf>
    <xf numFmtId="3" fontId="25" fillId="14" borderId="12" xfId="5" applyNumberFormat="1" applyFont="1" applyFill="1" applyBorder="1" applyAlignment="1">
      <alignment horizontal="right" vertical="center" wrapText="1"/>
    </xf>
    <xf numFmtId="165" fontId="25" fillId="0" borderId="6" xfId="5" applyNumberFormat="1" applyFont="1" applyFill="1" applyBorder="1" applyAlignment="1">
      <alignment horizontal="right" vertical="center"/>
    </xf>
    <xf numFmtId="166" fontId="25" fillId="0" borderId="6" xfId="5" applyNumberFormat="1" applyFont="1" applyFill="1" applyBorder="1" applyAlignment="1">
      <alignment horizontal="right" vertical="center"/>
    </xf>
    <xf numFmtId="167" fontId="26" fillId="4" borderId="6" xfId="2" applyNumberFormat="1" applyFont="1" applyFill="1" applyBorder="1" applyAlignment="1">
      <alignment horizontal="right" vertical="center"/>
    </xf>
    <xf numFmtId="0" fontId="27" fillId="0" borderId="6" xfId="0" applyFont="1" applyBorder="1" applyAlignment="1">
      <alignment vertical="center"/>
    </xf>
    <xf numFmtId="165" fontId="25" fillId="0" borderId="8" xfId="5" applyNumberFormat="1" applyFont="1" applyFill="1" applyBorder="1" applyAlignment="1">
      <alignment horizontal="right" vertical="center"/>
    </xf>
    <xf numFmtId="166" fontId="25" fillId="0" borderId="8" xfId="5" applyNumberFormat="1" applyFont="1" applyFill="1" applyBorder="1" applyAlignment="1">
      <alignment horizontal="right" vertical="center"/>
    </xf>
    <xf numFmtId="167" fontId="26" fillId="4" borderId="8" xfId="2" applyNumberFormat="1" applyFont="1" applyFill="1" applyBorder="1" applyAlignment="1">
      <alignment horizontal="right" vertical="center"/>
    </xf>
    <xf numFmtId="166" fontId="25" fillId="0" borderId="8" xfId="3" applyNumberFormat="1" applyFont="1" applyFill="1" applyBorder="1" applyAlignment="1">
      <alignment horizontal="right" vertical="center" wrapText="1"/>
    </xf>
    <xf numFmtId="166" fontId="25" fillId="0" borderId="8" xfId="5" applyNumberFormat="1" applyFont="1" applyFill="1" applyBorder="1" applyAlignment="1">
      <alignment horizontal="right" vertical="center" wrapText="1"/>
    </xf>
    <xf numFmtId="166" fontId="25" fillId="0" borderId="8" xfId="4" applyNumberFormat="1" applyFont="1" applyFill="1" applyBorder="1" applyAlignment="1">
      <alignment horizontal="right" vertical="center" wrapText="1"/>
    </xf>
    <xf numFmtId="165" fontId="28" fillId="0" borderId="8" xfId="5" applyNumberFormat="1" applyFont="1" applyFill="1" applyBorder="1" applyAlignment="1">
      <alignment horizontal="right" vertical="center"/>
    </xf>
    <xf numFmtId="166" fontId="28" fillId="0" borderId="8" xfId="5" applyNumberFormat="1" applyFont="1" applyFill="1" applyBorder="1" applyAlignment="1">
      <alignment horizontal="right" vertical="center"/>
    </xf>
    <xf numFmtId="165" fontId="27" fillId="14" borderId="8" xfId="0" applyNumberFormat="1" applyFont="1" applyFill="1" applyBorder="1" applyAlignment="1">
      <alignment horizontal="right" vertical="center"/>
    </xf>
    <xf numFmtId="166" fontId="27" fillId="14" borderId="8" xfId="0" applyNumberFormat="1" applyFont="1" applyFill="1" applyBorder="1" applyAlignment="1">
      <alignment horizontal="right" vertical="center"/>
    </xf>
    <xf numFmtId="167" fontId="26" fillId="0" borderId="8" xfId="2" applyNumberFormat="1" applyFont="1" applyFill="1" applyBorder="1" applyAlignment="1">
      <alignment horizontal="right" vertical="center"/>
    </xf>
    <xf numFmtId="165" fontId="27" fillId="0" borderId="8" xfId="5" applyNumberFormat="1" applyFont="1" applyFill="1" applyBorder="1" applyAlignment="1">
      <alignment horizontal="right" vertical="center"/>
    </xf>
    <xf numFmtId="166" fontId="27" fillId="0" borderId="8" xfId="5" applyNumberFormat="1" applyFont="1" applyFill="1" applyBorder="1" applyAlignment="1">
      <alignment horizontal="right" vertical="center"/>
    </xf>
    <xf numFmtId="166" fontId="27" fillId="0" borderId="8" xfId="0" applyNumberFormat="1" applyFont="1" applyBorder="1" applyAlignment="1">
      <alignment horizontal="right" vertical="center"/>
    </xf>
    <xf numFmtId="167" fontId="27" fillId="4" borderId="8" xfId="2" applyNumberFormat="1" applyFont="1" applyFill="1" applyBorder="1" applyAlignment="1">
      <alignment horizontal="right" vertical="center"/>
    </xf>
    <xf numFmtId="0" fontId="25" fillId="0" borderId="10" xfId="0" applyFont="1" applyBorder="1" applyAlignment="1">
      <alignment vertical="center"/>
    </xf>
    <xf numFmtId="0" fontId="25" fillId="0" borderId="10" xfId="0" applyFont="1" applyBorder="1" applyAlignment="1">
      <alignment horizontal="left" vertical="center"/>
    </xf>
    <xf numFmtId="0" fontId="25" fillId="0" borderId="10" xfId="0" applyFont="1" applyBorder="1" applyAlignment="1">
      <alignment horizontal="left" vertical="center" wrapText="1"/>
    </xf>
    <xf numFmtId="165" fontId="25" fillId="0" borderId="10" xfId="0" applyNumberFormat="1" applyFont="1" applyBorder="1" applyAlignment="1">
      <alignment horizontal="right" vertical="center"/>
    </xf>
    <xf numFmtId="166" fontId="25" fillId="0" borderId="10" xfId="0" applyNumberFormat="1" applyFont="1" applyBorder="1" applyAlignment="1">
      <alignment horizontal="right" vertical="center"/>
    </xf>
    <xf numFmtId="167" fontId="26" fillId="0" borderId="10" xfId="0" applyNumberFormat="1" applyFont="1" applyBorder="1" applyAlignment="1">
      <alignment horizontal="right" vertical="center"/>
    </xf>
    <xf numFmtId="0" fontId="27" fillId="0" borderId="10" xfId="0" applyFont="1" applyBorder="1" applyAlignment="1">
      <alignment vertical="center"/>
    </xf>
    <xf numFmtId="3" fontId="26" fillId="0" borderId="13" xfId="0" applyNumberFormat="1" applyFont="1" applyBorder="1"/>
    <xf numFmtId="0" fontId="0" fillId="0" borderId="0" xfId="0" applyAlignment="1">
      <alignment horizontal="center"/>
    </xf>
    <xf numFmtId="164" fontId="21" fillId="5" borderId="1" xfId="1" applyFont="1" applyFill="1" applyBorder="1" applyAlignment="1">
      <alignment horizontal="center" vertical="center" wrapText="1"/>
    </xf>
    <xf numFmtId="164" fontId="25" fillId="0" borderId="6" xfId="1" applyFont="1" applyBorder="1" applyAlignment="1">
      <alignment horizontal="center" vertical="center"/>
    </xf>
    <xf numFmtId="164" fontId="25" fillId="0" borderId="6" xfId="1" applyFont="1" applyBorder="1" applyAlignment="1">
      <alignment horizontal="center" vertical="center" wrapText="1"/>
    </xf>
    <xf numFmtId="164" fontId="25" fillId="0" borderId="8" xfId="1" applyFont="1" applyBorder="1" applyAlignment="1">
      <alignment horizontal="center" vertical="center"/>
    </xf>
    <xf numFmtId="164" fontId="25" fillId="0" borderId="8" xfId="1" applyFont="1" applyBorder="1" applyAlignment="1">
      <alignment horizontal="center" vertical="center" wrapText="1"/>
    </xf>
    <xf numFmtId="164" fontId="25" fillId="0" borderId="8" xfId="1" applyFont="1" applyFill="1" applyBorder="1" applyAlignment="1">
      <alignment horizontal="center" vertical="center" wrapText="1"/>
    </xf>
    <xf numFmtId="164" fontId="26" fillId="0" borderId="8" xfId="1" applyFont="1" applyBorder="1" applyAlignment="1">
      <alignment horizontal="center"/>
    </xf>
    <xf numFmtId="164" fontId="27" fillId="0" borderId="8" xfId="1" applyFont="1" applyFill="1" applyBorder="1" applyAlignment="1">
      <alignment horizontal="center" vertical="center" wrapText="1"/>
    </xf>
    <xf numFmtId="164" fontId="27" fillId="0" borderId="8" xfId="1" applyFont="1" applyBorder="1" applyAlignment="1">
      <alignment horizontal="center" vertical="center" wrapText="1"/>
    </xf>
    <xf numFmtId="164" fontId="25" fillId="14" borderId="8" xfId="1" applyFont="1" applyFill="1" applyBorder="1" applyAlignment="1">
      <alignment horizontal="center" vertical="center" wrapText="1"/>
    </xf>
    <xf numFmtId="164" fontId="26" fillId="0" borderId="10" xfId="1" applyFont="1" applyBorder="1" applyAlignment="1">
      <alignment horizontal="center"/>
    </xf>
    <xf numFmtId="164" fontId="25" fillId="0" borderId="10" xfId="1" applyFont="1" applyBorder="1" applyAlignment="1">
      <alignment horizontal="center" vertical="center" wrapText="1"/>
    </xf>
    <xf numFmtId="164" fontId="0" fillId="0" borderId="0" xfId="1" applyFont="1" applyAlignment="1">
      <alignment horizontal="center"/>
    </xf>
    <xf numFmtId="164" fontId="25" fillId="0" borderId="6" xfId="1" applyFont="1" applyBorder="1" applyAlignment="1">
      <alignment vertical="center"/>
    </xf>
    <xf numFmtId="164" fontId="25" fillId="0" borderId="8" xfId="1" applyFont="1" applyBorder="1" applyAlignment="1">
      <alignment vertical="center"/>
    </xf>
    <xf numFmtId="164" fontId="29" fillId="0" borderId="8" xfId="1" applyFont="1" applyBorder="1" applyAlignment="1">
      <alignment vertical="center"/>
    </xf>
    <xf numFmtId="164" fontId="28" fillId="0" borderId="8" xfId="1" applyFont="1" applyBorder="1" applyAlignment="1">
      <alignment vertical="center"/>
    </xf>
    <xf numFmtId="164" fontId="27" fillId="0" borderId="8" xfId="1" applyFont="1" applyBorder="1" applyAlignment="1">
      <alignment horizontal="right" vertical="center" wrapText="1"/>
    </xf>
    <xf numFmtId="164" fontId="27" fillId="0" borderId="8" xfId="1" applyFont="1" applyBorder="1" applyAlignment="1">
      <alignment vertical="center"/>
    </xf>
    <xf numFmtId="164" fontId="25" fillId="0" borderId="10" xfId="1" applyFont="1" applyBorder="1" applyAlignment="1">
      <alignment vertical="center"/>
    </xf>
    <xf numFmtId="164" fontId="0" fillId="0" borderId="0" xfId="1" applyFont="1"/>
    <xf numFmtId="0" fontId="25" fillId="0" borderId="5" xfId="3" applyFont="1" applyFill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25" fillId="0" borderId="7" xfId="3" applyFont="1" applyFill="1" applyBorder="1" applyAlignment="1">
      <alignment horizontal="center" vertical="center"/>
    </xf>
    <xf numFmtId="0" fontId="28" fillId="0" borderId="7" xfId="3" applyFont="1" applyFill="1" applyBorder="1" applyAlignment="1">
      <alignment horizontal="center" vertical="center"/>
    </xf>
    <xf numFmtId="0" fontId="25" fillId="0" borderId="7" xfId="5" applyFont="1" applyFill="1" applyBorder="1" applyAlignment="1">
      <alignment horizontal="center" vertical="center"/>
    </xf>
    <xf numFmtId="0" fontId="27" fillId="0" borderId="7" xfId="3" applyFont="1" applyFill="1" applyBorder="1" applyAlignment="1">
      <alignment horizontal="center" vertical="center"/>
    </xf>
    <xf numFmtId="0" fontId="25" fillId="0" borderId="9" xfId="0" applyFont="1" applyBorder="1" applyAlignment="1">
      <alignment horizontal="center" vertical="center"/>
    </xf>
    <xf numFmtId="3" fontId="25" fillId="0" borderId="6" xfId="0" applyNumberFormat="1" applyFont="1" applyBorder="1" applyAlignment="1">
      <alignment horizontal="right" vertical="center" wrapText="1"/>
    </xf>
    <xf numFmtId="3" fontId="25" fillId="0" borderId="8" xfId="0" applyNumberFormat="1" applyFont="1" applyBorder="1" applyAlignment="1">
      <alignment horizontal="right" vertical="center" wrapText="1"/>
    </xf>
    <xf numFmtId="3" fontId="25" fillId="0" borderId="8" xfId="0" applyNumberFormat="1" applyFont="1" applyBorder="1" applyAlignment="1">
      <alignment horizontal="left" vertical="center" wrapText="1"/>
    </xf>
    <xf numFmtId="3" fontId="27" fillId="0" borderId="8" xfId="0" applyNumberFormat="1" applyFont="1" applyBorder="1" applyAlignment="1">
      <alignment horizontal="left" vertical="center" wrapText="1"/>
    </xf>
    <xf numFmtId="3" fontId="27" fillId="0" borderId="8" xfId="0" applyNumberFormat="1" applyFont="1" applyBorder="1" applyAlignment="1">
      <alignment horizontal="right" vertical="center" wrapText="1"/>
    </xf>
    <xf numFmtId="9" fontId="25" fillId="0" borderId="8" xfId="2" applyFont="1" applyFill="1" applyBorder="1" applyAlignment="1">
      <alignment horizontal="left" vertical="center" wrapText="1"/>
    </xf>
    <xf numFmtId="0" fontId="26" fillId="0" borderId="8" xfId="0" applyFont="1" applyBorder="1" applyAlignment="1">
      <alignment vertical="center"/>
    </xf>
    <xf numFmtId="3" fontId="25" fillId="0" borderId="10" xfId="0" applyNumberFormat="1" applyFont="1" applyBorder="1" applyAlignment="1">
      <alignment horizontal="right" vertical="center" wrapText="1"/>
    </xf>
    <xf numFmtId="0" fontId="13" fillId="14" borderId="0" xfId="0" applyFont="1" applyFill="1" applyAlignment="1">
      <alignment vertical="center"/>
    </xf>
    <xf numFmtId="3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13" fillId="0" borderId="1" xfId="0" applyFont="1" applyBorder="1" applyAlignment="1">
      <alignment vertical="center"/>
    </xf>
    <xf numFmtId="3" fontId="13" fillId="0" borderId="1" xfId="0" applyNumberFormat="1" applyFont="1" applyBorder="1" applyAlignment="1">
      <alignment vertical="center"/>
    </xf>
    <xf numFmtId="0" fontId="0" fillId="0" borderId="0" xfId="0" applyAlignment="1">
      <alignment vertical="center" wrapText="1"/>
    </xf>
    <xf numFmtId="0" fontId="20" fillId="13" borderId="0" xfId="0" applyFont="1" applyFill="1" applyAlignment="1">
      <alignment horizontal="left" vertical="center" wrapText="1"/>
    </xf>
    <xf numFmtId="0" fontId="0" fillId="0" borderId="1" xfId="0" applyBorder="1" applyAlignment="1">
      <alignment vertical="center"/>
    </xf>
    <xf numFmtId="3" fontId="0" fillId="0" borderId="1" xfId="0" applyNumberFormat="1" applyBorder="1" applyAlignment="1">
      <alignment vertical="center"/>
    </xf>
    <xf numFmtId="167" fontId="13" fillId="0" borderId="1" xfId="2" applyNumberFormat="1" applyFont="1" applyBorder="1" applyAlignment="1">
      <alignment vertical="center"/>
    </xf>
    <xf numFmtId="0" fontId="0" fillId="0" borderId="1" xfId="0" applyBorder="1" applyAlignment="1">
      <alignment vertical="center" wrapText="1"/>
    </xf>
    <xf numFmtId="0" fontId="30" fillId="0" borderId="1" xfId="0" applyFont="1" applyBorder="1" applyAlignment="1">
      <alignment vertical="center"/>
    </xf>
    <xf numFmtId="0" fontId="30" fillId="0" borderId="1" xfId="0" applyFont="1" applyBorder="1" applyAlignment="1">
      <alignment vertical="center" wrapText="1"/>
    </xf>
    <xf numFmtId="0" fontId="31" fillId="0" borderId="1" xfId="0" applyFont="1" applyBorder="1" applyAlignment="1">
      <alignment vertical="center"/>
    </xf>
    <xf numFmtId="0" fontId="20" fillId="13" borderId="1" xfId="0" applyFont="1" applyFill="1" applyBorder="1" applyAlignment="1">
      <alignment vertical="center" wrapText="1"/>
    </xf>
    <xf numFmtId="167" fontId="13" fillId="0" borderId="1" xfId="2" applyNumberFormat="1" applyFont="1" applyFill="1" applyBorder="1" applyAlignment="1">
      <alignment vertical="center"/>
    </xf>
    <xf numFmtId="0" fontId="0" fillId="0" borderId="1" xfId="0" quotePrefix="1" applyBorder="1" applyAlignment="1">
      <alignment vertical="center"/>
    </xf>
    <xf numFmtId="14" fontId="2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0" fillId="0" borderId="0" xfId="0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5" fillId="0" borderId="10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/>
    </xf>
    <xf numFmtId="0" fontId="5" fillId="0" borderId="12" xfId="0" applyFont="1" applyBorder="1" applyAlignment="1">
      <alignment horizontal="left" vertical="center"/>
    </xf>
    <xf numFmtId="0" fontId="5" fillId="0" borderId="10" xfId="0" applyFont="1" applyBorder="1" applyAlignment="1">
      <alignment horizontal="left" vertical="center"/>
    </xf>
    <xf numFmtId="0" fontId="5" fillId="0" borderId="13" xfId="0" applyFont="1" applyBorder="1" applyAlignment="1">
      <alignment horizontal="left" vertical="center"/>
    </xf>
    <xf numFmtId="14" fontId="11" fillId="2" borderId="14" xfId="0" applyNumberFormat="1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11" fillId="2" borderId="15" xfId="0" applyFont="1" applyFill="1" applyBorder="1" applyAlignment="1">
      <alignment horizontal="center" vertical="center"/>
    </xf>
    <xf numFmtId="0" fontId="10" fillId="7" borderId="14" xfId="0" applyFont="1" applyFill="1" applyBorder="1" applyAlignment="1">
      <alignment horizontal="center" vertical="center"/>
    </xf>
    <xf numFmtId="0" fontId="10" fillId="7" borderId="16" xfId="0" applyFont="1" applyFill="1" applyBorder="1" applyAlignment="1">
      <alignment horizontal="center" vertical="center"/>
    </xf>
    <xf numFmtId="0" fontId="10" fillId="7" borderId="15" xfId="0" applyFont="1" applyFill="1" applyBorder="1" applyAlignment="1">
      <alignment horizontal="center" vertical="center"/>
    </xf>
    <xf numFmtId="0" fontId="11" fillId="2" borderId="23" xfId="0" applyFont="1" applyFill="1" applyBorder="1" applyAlignment="1">
      <alignment horizontal="center" vertical="center"/>
    </xf>
    <xf numFmtId="0" fontId="11" fillId="2" borderId="24" xfId="0" applyFont="1" applyFill="1" applyBorder="1" applyAlignment="1">
      <alignment horizontal="center" vertical="center"/>
    </xf>
    <xf numFmtId="0" fontId="12" fillId="2" borderId="14" xfId="0" applyFont="1" applyFill="1" applyBorder="1" applyAlignment="1">
      <alignment horizontal="center" vertical="center"/>
    </xf>
    <xf numFmtId="0" fontId="12" fillId="2" borderId="16" xfId="0" applyFont="1" applyFill="1" applyBorder="1" applyAlignment="1">
      <alignment horizontal="center" vertical="center"/>
    </xf>
    <xf numFmtId="0" fontId="12" fillId="2" borderId="15" xfId="0" applyFont="1" applyFill="1" applyBorder="1" applyAlignment="1">
      <alignment horizontal="center" vertical="center"/>
    </xf>
    <xf numFmtId="0" fontId="6" fillId="0" borderId="22" xfId="0" applyFont="1" applyBorder="1" applyAlignment="1">
      <alignment horizontal="left" vertical="center"/>
    </xf>
    <xf numFmtId="0" fontId="6" fillId="0" borderId="23" xfId="0" applyFont="1" applyBorder="1" applyAlignment="1">
      <alignment horizontal="left" vertical="center"/>
    </xf>
    <xf numFmtId="0" fontId="5" fillId="0" borderId="10" xfId="0" applyFont="1" applyBorder="1" applyAlignment="1">
      <alignment horizontal="left"/>
    </xf>
    <xf numFmtId="0" fontId="12" fillId="2" borderId="14" xfId="0" applyFont="1" applyFill="1" applyBorder="1" applyAlignment="1">
      <alignment horizontal="center" vertical="center" wrapText="1"/>
    </xf>
    <xf numFmtId="0" fontId="12" fillId="2" borderId="16" xfId="0" applyFont="1" applyFill="1" applyBorder="1" applyAlignment="1">
      <alignment horizontal="center" vertical="center" wrapText="1"/>
    </xf>
    <xf numFmtId="0" fontId="12" fillId="2" borderId="15" xfId="0" applyFont="1" applyFill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9" fillId="6" borderId="0" xfId="0" applyFont="1" applyFill="1" applyAlignment="1">
      <alignment horizontal="center"/>
    </xf>
    <xf numFmtId="0" fontId="10" fillId="7" borderId="18" xfId="0" applyFont="1" applyFill="1" applyBorder="1" applyAlignment="1">
      <alignment horizontal="center" vertical="center" wrapText="1"/>
    </xf>
    <xf numFmtId="0" fontId="10" fillId="7" borderId="19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21" xfId="0" applyFont="1" applyFill="1" applyBorder="1" applyAlignment="1">
      <alignment horizontal="center" vertical="center"/>
    </xf>
    <xf numFmtId="0" fontId="10" fillId="7" borderId="17" xfId="0" applyFont="1" applyFill="1" applyBorder="1" applyAlignment="1">
      <alignment horizontal="center" vertical="center" wrapText="1"/>
    </xf>
    <xf numFmtId="0" fontId="6" fillId="0" borderId="20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 wrapText="1"/>
    </xf>
    <xf numFmtId="0" fontId="5" fillId="0" borderId="11" xfId="0" applyFont="1" applyBorder="1" applyAlignment="1">
      <alignment horizontal="left" vertical="center"/>
    </xf>
    <xf numFmtId="0" fontId="14" fillId="5" borderId="1" xfId="0" applyFont="1" applyFill="1" applyBorder="1" applyAlignment="1">
      <alignment horizontal="center" vertical="center"/>
    </xf>
    <xf numFmtId="0" fontId="14" fillId="5" borderId="1" xfId="0" applyFont="1" applyFill="1" applyBorder="1" applyAlignment="1">
      <alignment horizontal="center" vertical="center" wrapText="1"/>
    </xf>
    <xf numFmtId="0" fontId="14" fillId="5" borderId="2" xfId="0" applyFont="1" applyFill="1" applyBorder="1" applyAlignment="1">
      <alignment horizontal="center" vertical="center" wrapText="1"/>
    </xf>
    <xf numFmtId="0" fontId="14" fillId="5" borderId="3" xfId="0" applyFont="1" applyFill="1" applyBorder="1" applyAlignment="1">
      <alignment horizontal="center" vertical="center" wrapText="1"/>
    </xf>
    <xf numFmtId="0" fontId="14" fillId="5" borderId="4" xfId="0" applyFont="1" applyFill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/>
    </xf>
    <xf numFmtId="0" fontId="12" fillId="2" borderId="14" xfId="0" applyFont="1" applyFill="1" applyBorder="1" applyAlignment="1">
      <alignment horizontal="left" vertical="center"/>
    </xf>
    <xf numFmtId="0" fontId="12" fillId="2" borderId="16" xfId="0" applyFont="1" applyFill="1" applyBorder="1" applyAlignment="1">
      <alignment horizontal="left" vertical="center"/>
    </xf>
    <xf numFmtId="0" fontId="12" fillId="2" borderId="15" xfId="0" applyFont="1" applyFill="1" applyBorder="1" applyAlignment="1">
      <alignment horizontal="left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center" vertical="center" wrapText="1"/>
    </xf>
  </cellXfs>
  <cellStyles count="6">
    <cellStyle name="Bad" xfId="4" builtinId="27"/>
    <cellStyle name="Comma" xfId="1" builtinId="3"/>
    <cellStyle name="Good" xfId="3" builtinId="26"/>
    <cellStyle name="Neutral" xfId="5" builtinId="28"/>
    <cellStyle name="Normal" xfId="0" builtinId="0"/>
    <cellStyle name="Percent" xfId="2" builtinId="5"/>
  </cellStyles>
  <dxfs count="4">
    <dxf>
      <alignment vertical="center"/>
    </dxf>
    <dxf>
      <alignment horizontal="left"/>
    </dxf>
    <dxf>
      <alignment wrapText="1"/>
    </dxf>
    <dxf>
      <numFmt numFmtId="164" formatCode="_(* #,##0.00_);_(* \(#,##0.00\);_(* &quot;-&quot;??_);_(@_)"/>
    </dxf>
  </dxfs>
  <tableStyles count="1" defaultTableStyle="TableStyleMedium2" defaultPivotStyle="PivotStyleLight16">
    <tableStyle name="Invisible" pivot="0" table="0" count="0" xr9:uid="{15D75E96-8DED-4E26-9E01-24E437C79AAB}"/>
  </tableStyles>
  <colors>
    <mruColors>
      <color rgb="FFE98300"/>
      <color rgb="FF2250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401304</xdr:colOff>
      <xdr:row>12</xdr:row>
      <xdr:rowOff>68372</xdr:rowOff>
    </xdr:from>
    <xdr:to>
      <xdr:col>4</xdr:col>
      <xdr:colOff>1073728</xdr:colOff>
      <xdr:row>13</xdr:row>
      <xdr:rowOff>398319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4B88F16D-9E50-40A9-B874-285EC8C23578}"/>
            </a:ext>
          </a:extLst>
        </xdr:cNvPr>
        <xdr:cNvGrpSpPr/>
      </xdr:nvGrpSpPr>
      <xdr:grpSpPr>
        <a:xfrm>
          <a:off x="900068" y="3989208"/>
          <a:ext cx="2418096" cy="454638"/>
          <a:chOff x="4849091" y="4820478"/>
          <a:chExt cx="2280729" cy="623454"/>
        </a:xfrm>
        <a:solidFill>
          <a:schemeClr val="bg1">
            <a:lumMod val="95000"/>
          </a:schemeClr>
        </a:solidFill>
      </xdr:grpSpPr>
      <xdr:sp macro="[0]!AddActivity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9BE1A7B2-74BD-1A8F-339D-77E8D01858B6}"/>
              </a:ext>
            </a:extLst>
          </xdr:cNvPr>
          <xdr:cNvSpPr/>
        </xdr:nvSpPr>
        <xdr:spPr>
          <a:xfrm>
            <a:off x="4849091" y="4820478"/>
            <a:ext cx="2280729" cy="623454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67000"/>
                </a:schemeClr>
              </a:gs>
              <a:gs pos="48000">
                <a:schemeClr val="accent1">
                  <a:lumMod val="97000"/>
                  <a:lumOff val="3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bg1"/>
              </a:solidFill>
            </a:endParaRPr>
          </a:p>
        </xdr:txBody>
      </xdr:sp>
      <xdr:sp macro="[0]!AddActivity" textlink="">
        <xdr:nvSpPr>
          <xdr:cNvPr id="11" name="TextBox 10">
            <a:extLst>
              <a:ext uri="{FF2B5EF4-FFF2-40B4-BE49-F238E27FC236}">
                <a16:creationId xmlns:a16="http://schemas.microsoft.com/office/drawing/2014/main" id="{9A3EB58B-4646-3A2A-22A0-6A91B92E2A36}"/>
              </a:ext>
            </a:extLst>
          </xdr:cNvPr>
          <xdr:cNvSpPr txBox="1"/>
        </xdr:nvSpPr>
        <xdr:spPr>
          <a:xfrm>
            <a:off x="4900967" y="4863601"/>
            <a:ext cx="2180057" cy="552646"/>
          </a:xfrm>
          <a:prstGeom prst="rect">
            <a:avLst/>
          </a:prstGeom>
          <a:gradFill flip="none" rotWithShape="1">
            <a:gsLst>
              <a:gs pos="0">
                <a:schemeClr val="accent1">
                  <a:lumMod val="67000"/>
                </a:schemeClr>
              </a:gs>
              <a:gs pos="48000">
                <a:schemeClr val="accent1">
                  <a:lumMod val="97000"/>
                  <a:lumOff val="3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 b="1">
                <a:solidFill>
                  <a:schemeClr val="bg1"/>
                </a:solidFill>
                <a:latin typeface="Trebuchet MS" panose="020B0603020202020204" pitchFamily="34" charset="0"/>
              </a:rPr>
              <a:t>ADD</a:t>
            </a:r>
            <a:r>
              <a:rPr lang="en-US" sz="1600" b="1" baseline="0">
                <a:solidFill>
                  <a:schemeClr val="bg1"/>
                </a:solidFill>
                <a:latin typeface="Trebuchet MS" panose="020B0603020202020204" pitchFamily="34" charset="0"/>
              </a:rPr>
              <a:t> ACTIVITY</a:t>
            </a:r>
            <a:endParaRPr lang="en-US" sz="1600" b="1">
              <a:solidFill>
                <a:schemeClr val="bg1"/>
              </a:solidFill>
              <a:latin typeface="Trebuchet MS" panose="020B0603020202020204" pitchFamily="34" charset="0"/>
            </a:endParaRPr>
          </a:p>
        </xdr:txBody>
      </xdr:sp>
    </xdr:grpSp>
    <xdr:clientData/>
  </xdr:twoCellAnchor>
  <xdr:twoCellAnchor editAs="oneCell">
    <xdr:from>
      <xdr:col>31</xdr:col>
      <xdr:colOff>229612</xdr:colOff>
      <xdr:row>0</xdr:row>
      <xdr:rowOff>68379</xdr:rowOff>
    </xdr:from>
    <xdr:to>
      <xdr:col>34</xdr:col>
      <xdr:colOff>361293</xdr:colOff>
      <xdr:row>1</xdr:row>
      <xdr:rowOff>459828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708D696-ACDB-564F-57A6-8F75363BD5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737155" y="68379"/>
          <a:ext cx="1954569" cy="73632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 editAs="oneCell">
    <xdr:from>
      <xdr:col>3</xdr:col>
      <xdr:colOff>32846</xdr:colOff>
      <xdr:row>0</xdr:row>
      <xdr:rowOff>49269</xdr:rowOff>
    </xdr:from>
    <xdr:to>
      <xdr:col>5</xdr:col>
      <xdr:colOff>82113</xdr:colOff>
      <xdr:row>1</xdr:row>
      <xdr:rowOff>492672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1A2E6B72-E2FE-ED04-2EB6-72F06222BA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7630" y="49269"/>
          <a:ext cx="2282715" cy="78827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>
    <xdr:from>
      <xdr:col>10</xdr:col>
      <xdr:colOff>624052</xdr:colOff>
      <xdr:row>0</xdr:row>
      <xdr:rowOff>147802</xdr:rowOff>
    </xdr:from>
    <xdr:to>
      <xdr:col>23</xdr:col>
      <xdr:colOff>492672</xdr:colOff>
      <xdr:row>1</xdr:row>
      <xdr:rowOff>426982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B60E297-BA6F-247D-FB8D-65668FD5AA0F}"/>
            </a:ext>
          </a:extLst>
        </xdr:cNvPr>
        <xdr:cNvSpPr txBox="1"/>
      </xdr:nvSpPr>
      <xdr:spPr>
        <a:xfrm>
          <a:off x="7702112" y="147802"/>
          <a:ext cx="13137931" cy="624051"/>
        </a:xfrm>
        <a:prstGeom prst="rect">
          <a:avLst/>
        </a:prstGeom>
        <a:solidFill>
          <a:srgbClr val="22505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000">
              <a:solidFill>
                <a:schemeClr val="bg1"/>
              </a:solidFill>
            </a:rPr>
            <a:t>FABSI - LIST OF SERVICE</a:t>
          </a:r>
        </a:p>
      </xdr:txBody>
    </xdr:sp>
    <xdr:clientData/>
  </xdr:twoCellAnchor>
  <xdr:twoCellAnchor>
    <xdr:from>
      <xdr:col>17</xdr:col>
      <xdr:colOff>259298</xdr:colOff>
      <xdr:row>12</xdr:row>
      <xdr:rowOff>82226</xdr:rowOff>
    </xdr:from>
    <xdr:to>
      <xdr:col>19</xdr:col>
      <xdr:colOff>10270</xdr:colOff>
      <xdr:row>13</xdr:row>
      <xdr:rowOff>401509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D8F8CD9-446B-49A9-BD42-09EFC52FF57E}"/>
            </a:ext>
          </a:extLst>
        </xdr:cNvPr>
        <xdr:cNvGrpSpPr/>
      </xdr:nvGrpSpPr>
      <xdr:grpSpPr>
        <a:xfrm>
          <a:off x="15790243" y="4003062"/>
          <a:ext cx="2854391" cy="443974"/>
          <a:chOff x="4849091" y="4820478"/>
          <a:chExt cx="2280729" cy="623454"/>
        </a:xfrm>
        <a:solidFill>
          <a:schemeClr val="bg1">
            <a:lumMod val="75000"/>
          </a:schemeClr>
        </a:solidFill>
      </xdr:grpSpPr>
      <xdr:sp macro="[0]!SaveCurrentProject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BF0477A5-5D36-B8D0-34E9-247D6349004F}"/>
              </a:ext>
            </a:extLst>
          </xdr:cNvPr>
          <xdr:cNvSpPr/>
        </xdr:nvSpPr>
        <xdr:spPr>
          <a:xfrm>
            <a:off x="4849091" y="4820478"/>
            <a:ext cx="2280729" cy="623454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67000"/>
                </a:schemeClr>
              </a:gs>
              <a:gs pos="48000">
                <a:schemeClr val="accent1">
                  <a:lumMod val="97000"/>
                  <a:lumOff val="3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bg1"/>
              </a:solidFill>
            </a:endParaRPr>
          </a:p>
        </xdr:txBody>
      </xdr:sp>
      <xdr:sp macro="[0]!SaveCurrentProject" textlink="">
        <xdr:nvSpPr>
          <xdr:cNvPr id="16" name="TextBox 15">
            <a:extLst>
              <a:ext uri="{FF2B5EF4-FFF2-40B4-BE49-F238E27FC236}">
                <a16:creationId xmlns:a16="http://schemas.microsoft.com/office/drawing/2014/main" id="{AEA06365-5B89-DFDE-B0FF-AB7FC25BD612}"/>
              </a:ext>
            </a:extLst>
          </xdr:cNvPr>
          <xdr:cNvSpPr txBox="1"/>
        </xdr:nvSpPr>
        <xdr:spPr>
          <a:xfrm>
            <a:off x="4900967" y="4863601"/>
            <a:ext cx="2180057" cy="552646"/>
          </a:xfrm>
          <a:prstGeom prst="rect">
            <a:avLst/>
          </a:prstGeom>
          <a:gradFill flip="none" rotWithShape="1">
            <a:gsLst>
              <a:gs pos="0">
                <a:schemeClr val="accent1">
                  <a:lumMod val="67000"/>
                </a:schemeClr>
              </a:gs>
              <a:gs pos="48000">
                <a:schemeClr val="accent1">
                  <a:lumMod val="97000"/>
                  <a:lumOff val="3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 b="1">
                <a:solidFill>
                  <a:schemeClr val="bg1"/>
                </a:solidFill>
                <a:latin typeface="Trebuchet MS" panose="020B0603020202020204" pitchFamily="34" charset="0"/>
              </a:rPr>
              <a:t>SAVE</a:t>
            </a:r>
            <a:r>
              <a:rPr lang="en-US" sz="1600" b="1" baseline="0">
                <a:solidFill>
                  <a:schemeClr val="bg1"/>
                </a:solidFill>
                <a:latin typeface="Trebuchet MS" panose="020B0603020202020204" pitchFamily="34" charset="0"/>
              </a:rPr>
              <a:t> AND REPLACE</a:t>
            </a:r>
            <a:endParaRPr lang="en-US" sz="1600" b="1">
              <a:solidFill>
                <a:schemeClr val="bg1"/>
              </a:solidFill>
              <a:latin typeface="Trebuchet MS" panose="020B0603020202020204" pitchFamily="34" charset="0"/>
            </a:endParaRPr>
          </a:p>
        </xdr:txBody>
      </xdr:sp>
    </xdr:grpSp>
    <xdr:clientData/>
  </xdr:twoCellAnchor>
  <xdr:twoCellAnchor>
    <xdr:from>
      <xdr:col>5</xdr:col>
      <xdr:colOff>259298</xdr:colOff>
      <xdr:row>12</xdr:row>
      <xdr:rowOff>64908</xdr:rowOff>
    </xdr:from>
    <xdr:to>
      <xdr:col>7</xdr:col>
      <xdr:colOff>793176</xdr:colOff>
      <xdr:row>13</xdr:row>
      <xdr:rowOff>394855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F0162D83-E1FF-4E41-95EA-57C5FCD8A080}"/>
            </a:ext>
          </a:extLst>
        </xdr:cNvPr>
        <xdr:cNvGrpSpPr/>
      </xdr:nvGrpSpPr>
      <xdr:grpSpPr>
        <a:xfrm>
          <a:off x="3778353" y="3985744"/>
          <a:ext cx="2445805" cy="454638"/>
          <a:chOff x="4849091" y="4820478"/>
          <a:chExt cx="2280729" cy="623454"/>
        </a:xfrm>
        <a:solidFill>
          <a:schemeClr val="bg1">
            <a:lumMod val="75000"/>
          </a:schemeClr>
        </a:solidFill>
      </xdr:grpSpPr>
      <xdr:sp macro="[0]!ClearFields" textlink="">
        <xdr:nvSpPr>
          <xdr:cNvPr id="22" name="Rectangle: Rounded Corners 21">
            <a:extLst>
              <a:ext uri="{FF2B5EF4-FFF2-40B4-BE49-F238E27FC236}">
                <a16:creationId xmlns:a16="http://schemas.microsoft.com/office/drawing/2014/main" id="{0FEF2FE0-FDB4-A660-AAE2-4C4C8C732EF8}"/>
              </a:ext>
            </a:extLst>
          </xdr:cNvPr>
          <xdr:cNvSpPr/>
        </xdr:nvSpPr>
        <xdr:spPr>
          <a:xfrm>
            <a:off x="4849091" y="4820478"/>
            <a:ext cx="2280729" cy="623454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67000"/>
                </a:schemeClr>
              </a:gs>
              <a:gs pos="48000">
                <a:schemeClr val="accent1">
                  <a:lumMod val="97000"/>
                  <a:lumOff val="3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bg1"/>
              </a:solidFill>
            </a:endParaRPr>
          </a:p>
        </xdr:txBody>
      </xdr:sp>
      <xdr:sp macro="[0]!ClearFields" textlink="">
        <xdr:nvSpPr>
          <xdr:cNvPr id="23" name="TextBox 22">
            <a:extLst>
              <a:ext uri="{FF2B5EF4-FFF2-40B4-BE49-F238E27FC236}">
                <a16:creationId xmlns:a16="http://schemas.microsoft.com/office/drawing/2014/main" id="{2F88396C-7288-6197-E1B6-E44AAB93AD36}"/>
              </a:ext>
            </a:extLst>
          </xdr:cNvPr>
          <xdr:cNvSpPr txBox="1"/>
        </xdr:nvSpPr>
        <xdr:spPr>
          <a:xfrm>
            <a:off x="4900967" y="4863601"/>
            <a:ext cx="2180057" cy="552646"/>
          </a:xfrm>
          <a:prstGeom prst="rect">
            <a:avLst/>
          </a:prstGeom>
          <a:gradFill flip="none" rotWithShape="1">
            <a:gsLst>
              <a:gs pos="0">
                <a:schemeClr val="accent1">
                  <a:lumMod val="67000"/>
                </a:schemeClr>
              </a:gs>
              <a:gs pos="48000">
                <a:schemeClr val="accent1">
                  <a:lumMod val="97000"/>
                  <a:lumOff val="3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 b="1">
                <a:solidFill>
                  <a:schemeClr val="bg1"/>
                </a:solidFill>
                <a:latin typeface="Trebuchet MS" panose="020B0603020202020204" pitchFamily="34" charset="0"/>
              </a:rPr>
              <a:t>CLEAR DATA</a:t>
            </a:r>
          </a:p>
        </xdr:txBody>
      </xdr:sp>
    </xdr:grpSp>
    <xdr:clientData/>
  </xdr:twoCellAnchor>
  <xdr:twoCellAnchor>
    <xdr:from>
      <xdr:col>8</xdr:col>
      <xdr:colOff>255833</xdr:colOff>
      <xdr:row>12</xdr:row>
      <xdr:rowOff>61445</xdr:rowOff>
    </xdr:from>
    <xdr:to>
      <xdr:col>11</xdr:col>
      <xdr:colOff>45030</xdr:colOff>
      <xdr:row>13</xdr:row>
      <xdr:rowOff>391392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0F31B12-B904-47B6-B2A9-3D5DD12ECDE1}"/>
            </a:ext>
          </a:extLst>
        </xdr:cNvPr>
        <xdr:cNvGrpSpPr/>
      </xdr:nvGrpSpPr>
      <xdr:grpSpPr>
        <a:xfrm>
          <a:off x="6628924" y="3982281"/>
          <a:ext cx="2560106" cy="454638"/>
          <a:chOff x="4849091" y="4820478"/>
          <a:chExt cx="2280729" cy="623454"/>
        </a:xfrm>
        <a:solidFill>
          <a:schemeClr val="bg1">
            <a:lumMod val="75000"/>
          </a:schemeClr>
        </a:solidFill>
      </xdr:grpSpPr>
      <xdr:sp macro="[0]!ClearTableFast" textlink="">
        <xdr:nvSpPr>
          <xdr:cNvPr id="25" name="Rectangle: Rounded Corners 24">
            <a:extLst>
              <a:ext uri="{FF2B5EF4-FFF2-40B4-BE49-F238E27FC236}">
                <a16:creationId xmlns:a16="http://schemas.microsoft.com/office/drawing/2014/main" id="{3C09428E-10DF-15C3-4772-F64B4084383D}"/>
              </a:ext>
            </a:extLst>
          </xdr:cNvPr>
          <xdr:cNvSpPr/>
        </xdr:nvSpPr>
        <xdr:spPr>
          <a:xfrm>
            <a:off x="4849091" y="4820478"/>
            <a:ext cx="2280729" cy="623454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67000"/>
                </a:schemeClr>
              </a:gs>
              <a:gs pos="48000">
                <a:schemeClr val="accent1">
                  <a:lumMod val="97000"/>
                  <a:lumOff val="3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bg1"/>
              </a:solidFill>
            </a:endParaRPr>
          </a:p>
        </xdr:txBody>
      </xdr:sp>
      <xdr:sp macro="[0]!ClearTableFast" textlink="">
        <xdr:nvSpPr>
          <xdr:cNvPr id="31" name="TextBox 30">
            <a:extLst>
              <a:ext uri="{FF2B5EF4-FFF2-40B4-BE49-F238E27FC236}">
                <a16:creationId xmlns:a16="http://schemas.microsoft.com/office/drawing/2014/main" id="{127DE3AC-DB2F-A2AA-FA4E-9FB3E893D0CE}"/>
              </a:ext>
            </a:extLst>
          </xdr:cNvPr>
          <xdr:cNvSpPr txBox="1"/>
        </xdr:nvSpPr>
        <xdr:spPr>
          <a:xfrm>
            <a:off x="4900967" y="4863601"/>
            <a:ext cx="2180057" cy="552646"/>
          </a:xfrm>
          <a:prstGeom prst="rect">
            <a:avLst/>
          </a:prstGeom>
          <a:gradFill flip="none" rotWithShape="1">
            <a:gsLst>
              <a:gs pos="0">
                <a:schemeClr val="accent1">
                  <a:lumMod val="67000"/>
                </a:schemeClr>
              </a:gs>
              <a:gs pos="48000">
                <a:schemeClr val="accent1">
                  <a:lumMod val="97000"/>
                  <a:lumOff val="3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 b="1">
                <a:solidFill>
                  <a:schemeClr val="bg1"/>
                </a:solidFill>
                <a:latin typeface="Trebuchet MS" panose="020B0603020202020204" pitchFamily="34" charset="0"/>
              </a:rPr>
              <a:t>CLEAR TABLE</a:t>
            </a:r>
          </a:p>
        </xdr:txBody>
      </xdr:sp>
    </xdr:grpSp>
    <xdr:clientData/>
  </xdr:twoCellAnchor>
  <xdr:twoCellAnchor>
    <xdr:from>
      <xdr:col>11</xdr:col>
      <xdr:colOff>338961</xdr:colOff>
      <xdr:row>12</xdr:row>
      <xdr:rowOff>75299</xdr:rowOff>
    </xdr:from>
    <xdr:to>
      <xdr:col>13</xdr:col>
      <xdr:colOff>796636</xdr:colOff>
      <xdr:row>13</xdr:row>
      <xdr:rowOff>405246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8C7ACEBB-A08A-4776-A0D1-03CB9EB4E498}"/>
            </a:ext>
          </a:extLst>
        </xdr:cNvPr>
        <xdr:cNvGrpSpPr/>
      </xdr:nvGrpSpPr>
      <xdr:grpSpPr>
        <a:xfrm>
          <a:off x="9482961" y="3996135"/>
          <a:ext cx="2341893" cy="454638"/>
          <a:chOff x="4849091" y="4820478"/>
          <a:chExt cx="2280729" cy="623454"/>
        </a:xfrm>
        <a:solidFill>
          <a:schemeClr val="bg1">
            <a:lumMod val="75000"/>
          </a:schemeClr>
        </a:solidFill>
      </xdr:grpSpPr>
      <xdr:sp macro="[0]!ResetFilters" textlink="">
        <xdr:nvSpPr>
          <xdr:cNvPr id="33" name="Rectangle: Rounded Corners 32">
            <a:extLst>
              <a:ext uri="{FF2B5EF4-FFF2-40B4-BE49-F238E27FC236}">
                <a16:creationId xmlns:a16="http://schemas.microsoft.com/office/drawing/2014/main" id="{FBA20D13-0ED5-5629-0E72-CB04724CF246}"/>
              </a:ext>
            </a:extLst>
          </xdr:cNvPr>
          <xdr:cNvSpPr/>
        </xdr:nvSpPr>
        <xdr:spPr>
          <a:xfrm>
            <a:off x="4849091" y="4820478"/>
            <a:ext cx="2280729" cy="623454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67000"/>
                </a:schemeClr>
              </a:gs>
              <a:gs pos="48000">
                <a:schemeClr val="accent1">
                  <a:lumMod val="97000"/>
                  <a:lumOff val="3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bg1"/>
              </a:solidFill>
            </a:endParaRPr>
          </a:p>
        </xdr:txBody>
      </xdr:sp>
      <xdr:sp macro="[0]!ResetFilters" textlink="">
        <xdr:nvSpPr>
          <xdr:cNvPr id="34" name="TextBox 33">
            <a:extLst>
              <a:ext uri="{FF2B5EF4-FFF2-40B4-BE49-F238E27FC236}">
                <a16:creationId xmlns:a16="http://schemas.microsoft.com/office/drawing/2014/main" id="{53C197CF-8B75-C175-CD33-B7E4BC5ABD1D}"/>
              </a:ext>
            </a:extLst>
          </xdr:cNvPr>
          <xdr:cNvSpPr txBox="1"/>
        </xdr:nvSpPr>
        <xdr:spPr>
          <a:xfrm>
            <a:off x="4900967" y="4863601"/>
            <a:ext cx="2180057" cy="552646"/>
          </a:xfrm>
          <a:prstGeom prst="rect">
            <a:avLst/>
          </a:prstGeom>
          <a:gradFill flip="none" rotWithShape="1">
            <a:gsLst>
              <a:gs pos="0">
                <a:schemeClr val="accent1">
                  <a:lumMod val="67000"/>
                </a:schemeClr>
              </a:gs>
              <a:gs pos="48000">
                <a:schemeClr val="accent1">
                  <a:lumMod val="97000"/>
                  <a:lumOff val="3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 b="1">
                <a:solidFill>
                  <a:schemeClr val="bg1"/>
                </a:solidFill>
                <a:latin typeface="Trebuchet MS" panose="020B0603020202020204" pitchFamily="34" charset="0"/>
              </a:rPr>
              <a:t>RESET FILTERS</a:t>
            </a:r>
          </a:p>
        </xdr:txBody>
      </xdr:sp>
    </xdr:grpSp>
    <xdr:clientData/>
  </xdr:twoCellAnchor>
  <xdr:twoCellAnchor>
    <xdr:from>
      <xdr:col>15</xdr:col>
      <xdr:colOff>6452</xdr:colOff>
      <xdr:row>12</xdr:row>
      <xdr:rowOff>89154</xdr:rowOff>
    </xdr:from>
    <xdr:to>
      <xdr:col>16</xdr:col>
      <xdr:colOff>1246909</xdr:colOff>
      <xdr:row>13</xdr:row>
      <xdr:rowOff>419101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B84A98EC-CF68-4CB1-9281-EF731E11A036}"/>
            </a:ext>
          </a:extLst>
        </xdr:cNvPr>
        <xdr:cNvGrpSpPr/>
      </xdr:nvGrpSpPr>
      <xdr:grpSpPr>
        <a:xfrm>
          <a:off x="12669507" y="4009990"/>
          <a:ext cx="2653620" cy="454638"/>
          <a:chOff x="4849091" y="4820478"/>
          <a:chExt cx="2280729" cy="623454"/>
        </a:xfrm>
        <a:solidFill>
          <a:schemeClr val="bg1">
            <a:lumMod val="75000"/>
          </a:schemeClr>
        </a:solidFill>
      </xdr:grpSpPr>
      <xdr:sp macro="[0]!SaveNewProjectWithTemplate" textlink="">
        <xdr:nvSpPr>
          <xdr:cNvPr id="36" name="Rectangle: Rounded Corners 35">
            <a:extLst>
              <a:ext uri="{FF2B5EF4-FFF2-40B4-BE49-F238E27FC236}">
                <a16:creationId xmlns:a16="http://schemas.microsoft.com/office/drawing/2014/main" id="{CCC54B16-08A6-762A-21C1-453731D6FAED}"/>
              </a:ext>
            </a:extLst>
          </xdr:cNvPr>
          <xdr:cNvSpPr/>
        </xdr:nvSpPr>
        <xdr:spPr>
          <a:xfrm>
            <a:off x="4849091" y="4820478"/>
            <a:ext cx="2280729" cy="623454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67000"/>
                </a:schemeClr>
              </a:gs>
              <a:gs pos="48000">
                <a:schemeClr val="accent1">
                  <a:lumMod val="97000"/>
                  <a:lumOff val="3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bg1"/>
              </a:solidFill>
            </a:endParaRPr>
          </a:p>
        </xdr:txBody>
      </xdr:sp>
      <xdr:sp macro="[0]!SaveNewProjectWithTemplate" textlink="">
        <xdr:nvSpPr>
          <xdr:cNvPr id="37" name="TextBox 36">
            <a:extLst>
              <a:ext uri="{FF2B5EF4-FFF2-40B4-BE49-F238E27FC236}">
                <a16:creationId xmlns:a16="http://schemas.microsoft.com/office/drawing/2014/main" id="{30385CB5-BC2B-ECFA-09F0-DEC2D41E15F0}"/>
              </a:ext>
            </a:extLst>
          </xdr:cNvPr>
          <xdr:cNvSpPr txBox="1"/>
        </xdr:nvSpPr>
        <xdr:spPr>
          <a:xfrm>
            <a:off x="4900967" y="4863601"/>
            <a:ext cx="2180057" cy="552646"/>
          </a:xfrm>
          <a:prstGeom prst="rect">
            <a:avLst/>
          </a:prstGeom>
          <a:gradFill flip="none" rotWithShape="1">
            <a:gsLst>
              <a:gs pos="0">
                <a:schemeClr val="accent1">
                  <a:lumMod val="67000"/>
                </a:schemeClr>
              </a:gs>
              <a:gs pos="48000">
                <a:schemeClr val="accent1">
                  <a:lumMod val="97000"/>
                  <a:lumOff val="3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 b="1">
                <a:solidFill>
                  <a:schemeClr val="bg1"/>
                </a:solidFill>
                <a:latin typeface="Trebuchet MS" panose="020B0603020202020204" pitchFamily="34" charset="0"/>
              </a:rPr>
              <a:t>SAVE NEW PROYECT</a:t>
            </a:r>
          </a:p>
        </xdr:txBody>
      </xdr:sp>
    </xdr:grpSp>
    <xdr:clientData/>
  </xdr:twoCellAnchor>
  <xdr:twoCellAnchor>
    <xdr:from>
      <xdr:col>23</xdr:col>
      <xdr:colOff>758062</xdr:colOff>
      <xdr:row>12</xdr:row>
      <xdr:rowOff>61444</xdr:rowOff>
    </xdr:from>
    <xdr:to>
      <xdr:col>26</xdr:col>
      <xdr:colOff>6806</xdr:colOff>
      <xdr:row>13</xdr:row>
      <xdr:rowOff>380727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E0ECBD6-4CBF-4C31-A85D-64ED72DB90C6}"/>
            </a:ext>
          </a:extLst>
        </xdr:cNvPr>
        <xdr:cNvGrpSpPr/>
      </xdr:nvGrpSpPr>
      <xdr:grpSpPr>
        <a:xfrm>
          <a:off x="25045080" y="3982280"/>
          <a:ext cx="2906344" cy="443974"/>
          <a:chOff x="4849091" y="4820478"/>
          <a:chExt cx="2280729" cy="623454"/>
        </a:xfrm>
        <a:solidFill>
          <a:schemeClr val="bg1">
            <a:lumMod val="75000"/>
          </a:schemeClr>
        </a:solidFill>
      </xdr:grpSpPr>
      <xdr:sp macro="[0]!SaveCurrentProject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5365D97B-8E55-9DC9-462A-F9F14F97467A}"/>
              </a:ext>
            </a:extLst>
          </xdr:cNvPr>
          <xdr:cNvSpPr/>
        </xdr:nvSpPr>
        <xdr:spPr>
          <a:xfrm>
            <a:off x="4849091" y="4820478"/>
            <a:ext cx="2280729" cy="623454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67000"/>
                </a:schemeClr>
              </a:gs>
              <a:gs pos="48000">
                <a:schemeClr val="accent1">
                  <a:lumMod val="97000"/>
                  <a:lumOff val="3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bg1"/>
              </a:solidFill>
            </a:endParaRPr>
          </a:p>
        </xdr:txBody>
      </xdr:sp>
      <xdr:sp macro="[0]!ToggleProjectSheets" textlink="">
        <xdr:nvSpPr>
          <xdr:cNvPr id="4" name="TextBox 3">
            <a:extLst>
              <a:ext uri="{FF2B5EF4-FFF2-40B4-BE49-F238E27FC236}">
                <a16:creationId xmlns:a16="http://schemas.microsoft.com/office/drawing/2014/main" id="{E57E37F7-D3B4-0B00-8376-6F1BBA9FBDC7}"/>
              </a:ext>
            </a:extLst>
          </xdr:cNvPr>
          <xdr:cNvSpPr txBox="1"/>
        </xdr:nvSpPr>
        <xdr:spPr>
          <a:xfrm>
            <a:off x="4900967" y="4863601"/>
            <a:ext cx="2180057" cy="552646"/>
          </a:xfrm>
          <a:prstGeom prst="rect">
            <a:avLst/>
          </a:prstGeom>
          <a:gradFill flip="none" rotWithShape="1">
            <a:gsLst>
              <a:gs pos="0">
                <a:schemeClr val="accent1">
                  <a:lumMod val="67000"/>
                </a:schemeClr>
              </a:gs>
              <a:gs pos="48000">
                <a:schemeClr val="accent1">
                  <a:lumMod val="97000"/>
                  <a:lumOff val="3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 b="1">
                <a:solidFill>
                  <a:schemeClr val="bg1"/>
                </a:solidFill>
                <a:latin typeface="Trebuchet MS" panose="020B0603020202020204" pitchFamily="34" charset="0"/>
              </a:rPr>
              <a:t>SHOW PROJECT</a:t>
            </a:r>
            <a:r>
              <a:rPr lang="en-US" sz="1600" b="1" baseline="0">
                <a:solidFill>
                  <a:schemeClr val="bg1"/>
                </a:solidFill>
                <a:latin typeface="Trebuchet MS" panose="020B0603020202020204" pitchFamily="34" charset="0"/>
              </a:rPr>
              <a:t> LIST</a:t>
            </a:r>
            <a:endParaRPr lang="en-US" sz="1600" b="1">
              <a:solidFill>
                <a:schemeClr val="bg1"/>
              </a:solidFill>
              <a:latin typeface="Trebuchet MS" panose="020B0603020202020204" pitchFamily="34" charset="0"/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Fabrication%20Production_Booking%20Hours_2025_R3B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abrication Production_Booking "/>
    </sheetNames>
    <sheetDataSet>
      <sheetData sheetId="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Cannella Antonio" id="{9A3AE61E-6F7C-4B76-B8E5-337850D787CD}" userId="S::Antonio.Cannella@saipem.com::20285c67-f544-444a-ac96-0aa1dfdb09d3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ominguez Marco Antonio" refreshedDate="45875.758199537035" createdVersion="8" refreshedVersion="8" minRefreshableVersion="3" recordCount="459" xr:uid="{92615D7F-5EE2-43F4-9D67-10559374ACEE}">
  <cacheSource type="worksheet">
    <worksheetSource ref="A1:X1048576" sheet="BookingManHours"/>
  </cacheSource>
  <cacheFields count="23">
    <cacheField name="Cost Center" numFmtId="0">
      <sharedItems containsBlank="1" containsMixedTypes="1" containsNumber="1" containsInteger="1" minValue="667100" maxValue="667100"/>
    </cacheField>
    <cacheField name="Employee" numFmtId="0">
      <sharedItems containsBlank="1"/>
    </cacheField>
    <cacheField name="HUB" numFmtId="0">
      <sharedItems containsBlank="1"/>
    </cacheField>
    <cacheField name="Technical Unit" numFmtId="0">
      <sharedItems containsBlank="1" count="6">
        <s v="Fabrication Engineering"/>
        <s v="Emiratisation"/>
        <s v="Fabrication Production"/>
        <s v="Pre-Fabrication System"/>
        <s v="System Completion"/>
        <m/>
      </sharedItems>
    </cacheField>
    <cacheField name="Work Location" numFmtId="0">
      <sharedItems containsBlank="1" count="4">
        <s v="Smartworking "/>
        <s v="Abu Dhabi Project Office"/>
        <s v="Milan Project Office"/>
        <m/>
      </sharedItems>
    </cacheField>
    <cacheField name="Tipo Description" numFmtId="0">
      <sharedItems containsBlank="1"/>
    </cacheField>
    <cacheField name="SAABU Rate (EUR)" numFmtId="0">
      <sharedItems containsString="0" containsBlank="1" containsNumber="1" minValue="33.549999999999997" maxValue="84.82"/>
    </cacheField>
    <cacheField name="SAABU Rate (USD)" numFmtId="0">
      <sharedItems containsString="0" containsBlank="1" containsNumber="1" minValue="36.31" maxValue="91.81"/>
    </cacheField>
    <cacheField name="Local Agency Rate (USD" numFmtId="0">
      <sharedItems containsString="0" containsBlank="1" containsNumber="1" minValue="4.583333333333333" maxValue="7.5"/>
    </cacheField>
    <cacheField name="Unit Rate (USD)" numFmtId="0">
      <sharedItems containsString="0" containsBlank="1" containsNumber="1" minValue="0" maxValue="91.81"/>
    </cacheField>
    <cacheField name="Monthly Hours" numFmtId="164">
      <sharedItems containsString="0" containsBlank="1" containsNumber="1" minValue="0" maxValue="240"/>
    </cacheField>
    <cacheField name="Annual Hours" numFmtId="164">
      <sharedItems containsString="0" containsBlank="1" containsNumber="1" minValue="1574.25" maxValue="2880"/>
    </cacheField>
    <cacheField name="Workload_x000a_2025_Planned" numFmtId="0">
      <sharedItems containsBlank="1" containsMixedTypes="1" containsNumber="1" minValue="0" maxValue="1"/>
    </cacheField>
    <cacheField name="Workload_x000a_2025_Actual" numFmtId="0">
      <sharedItems containsBlank="1" containsMixedTypes="1" containsNumber="1" minValue="0" maxValue="1"/>
    </cacheField>
    <cacheField name="Remark" numFmtId="0">
      <sharedItems containsBlank="1"/>
    </cacheField>
    <cacheField name="Project" numFmtId="0">
      <sharedItems containsBlank="1"/>
    </cacheField>
    <cacheField name="Activities" numFmtId="0">
      <sharedItems containsBlank="1"/>
    </cacheField>
    <cacheField name="Booking Hours" numFmtId="164">
      <sharedItems containsString="0" containsBlank="1" containsNumber="1" minValue="0" maxValue="137833.33333333331"/>
    </cacheField>
    <cacheField name="Booking Cost (Forecast)" numFmtId="164">
      <sharedItems containsString="0" containsBlank="1" containsNumber="1" minValue="0" maxValue="3374062.2933333344"/>
    </cacheField>
    <cacheField name="Booking Period" numFmtId="0">
      <sharedItems containsBlank="1"/>
    </cacheField>
    <cacheField name="Booking hours (Accepted by Project)" numFmtId="0">
      <sharedItems containsString="0" containsBlank="1" containsNumber="1" containsInteger="1" minValue="0" maxValue="89814"/>
    </cacheField>
    <cacheField name="Booking Period (Accepted by Project)" numFmtId="0">
      <sharedItems containsBlank="1"/>
    </cacheField>
    <cacheField name="Booking hours (Extra)" numFmtId="0">
      <sharedItems containsString="0" containsBlank="1" containsNumber="1" containsInteger="1" minValue="0" maxValue="1828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9">
  <r>
    <s v="667111"/>
    <s v="Aerol Lubrica"/>
    <s v="Local Agency"/>
    <x v="0"/>
    <x v="0"/>
    <s v="White Collar Local Agency"/>
    <m/>
    <m/>
    <n v="4.583333333333333"/>
    <n v="4.583333333333333"/>
    <n v="240"/>
    <n v="2880"/>
    <n v="0"/>
    <n v="0"/>
    <m/>
    <m/>
    <m/>
    <n v="0"/>
    <n v="0"/>
    <m/>
    <m/>
    <m/>
    <m/>
  </r>
  <r>
    <s v="667100"/>
    <s v="Al Ahbabi Saeed Mohammed Mahdi Hadi "/>
    <s v="Saipem SpA Abu Dhabi Branch"/>
    <x v="1"/>
    <x v="1"/>
    <s v="Senior local Abu-Dhabi"/>
    <n v="57.21"/>
    <n v="61.93"/>
    <m/>
    <n v="61.93"/>
    <n v="174.91666666666666"/>
    <n v="2099"/>
    <n v="0"/>
    <n v="0"/>
    <m/>
    <m/>
    <m/>
    <n v="0"/>
    <n v="0"/>
    <m/>
    <m/>
    <m/>
    <m/>
  </r>
  <r>
    <n v="667100"/>
    <s v="Alhashmi Abdulla Bader Abdulla Abdoh "/>
    <s v="Saipem SpA Abu Dhabi Branch"/>
    <x v="1"/>
    <x v="1"/>
    <s v="Senior local Abu-Dhabi"/>
    <n v="57.21"/>
    <n v="61.93"/>
    <m/>
    <n v="61.93"/>
    <n v="174.91666666666666"/>
    <n v="2099"/>
    <n v="0"/>
    <n v="0"/>
    <m/>
    <m/>
    <m/>
    <n v="0"/>
    <n v="0"/>
    <m/>
    <m/>
    <m/>
    <m/>
  </r>
  <r>
    <s v="667100"/>
    <s v="Alsayedsheber Al Mousawi Ali Alsayedjaafar "/>
    <s v="Saipem SpA Abu Dhabi Branch"/>
    <x v="1"/>
    <x v="1"/>
    <s v="Senior local Abu-Dhabi"/>
    <n v="57.21"/>
    <n v="61.93"/>
    <m/>
    <n v="61.93"/>
    <n v="174.91666666666666"/>
    <n v="2099"/>
    <n v="0"/>
    <n v="0"/>
    <m/>
    <m/>
    <m/>
    <n v="0"/>
    <n v="0"/>
    <m/>
    <m/>
    <m/>
    <m/>
  </r>
  <r>
    <s v="667111"/>
    <s v="Arango Reyes Luis Fernando"/>
    <s v="Local Agency"/>
    <x v="0"/>
    <x v="0"/>
    <s v="White Collar Local Agency"/>
    <m/>
    <m/>
    <n v="5.416666666666667"/>
    <n v="5.416666666666667"/>
    <n v="240"/>
    <n v="2880"/>
    <n v="0"/>
    <n v="0"/>
    <m/>
    <m/>
    <m/>
    <n v="0"/>
    <n v="0"/>
    <m/>
    <m/>
    <m/>
    <m/>
  </r>
  <r>
    <s v="667111"/>
    <s v="Astraquillo Roden M."/>
    <s v="Local Agency"/>
    <x v="0"/>
    <x v="0"/>
    <s v="White Collar Local Agency"/>
    <m/>
    <m/>
    <n v="5.416666666666667"/>
    <n v="5.416666666666667"/>
    <n v="240"/>
    <n v="2880"/>
    <n v="1"/>
    <n v="1"/>
    <m/>
    <s v="Hail &amp; Ghasha Pkg 1 Island"/>
    <s v="Spooling operators - Stick Built EPIC"/>
    <n v="2880"/>
    <n v="0"/>
    <s v="from Jan to Dec 2025"/>
    <n v="2880"/>
    <s v="from Jan to Dec 2025"/>
    <m/>
  </r>
  <r>
    <s v="667100"/>
    <s v="Bardoscia Roberto"/>
    <s v="Saipem SpA Milan"/>
    <x v="2"/>
    <x v="1"/>
    <s v="Middle Manager exp Abu-Dhabi"/>
    <n v="84.82"/>
    <n v="91.81"/>
    <m/>
    <n v="91.81"/>
    <n v="182"/>
    <n v="2184"/>
    <n v="0.65934065934065933"/>
    <n v="0.18315018315018314"/>
    <m/>
    <s v="Jafurah Pkg 4"/>
    <s v="Feasibility study, piping spool."/>
    <n v="1440"/>
    <n v="132206.39999999999"/>
    <s v="from Jan to Dec 2025"/>
    <n v="400"/>
    <s v="From Jan to Apr 2025"/>
    <m/>
  </r>
  <r>
    <s v="667100"/>
    <s v="Bardoscia Roberto"/>
    <s v="Saipem SpA Milan"/>
    <x v="2"/>
    <x v="1"/>
    <s v="Middle Manager exp Abu-Dhabi"/>
    <n v="84.82"/>
    <n v="91.81"/>
    <m/>
    <n v="91.81"/>
    <n v="181.75"/>
    <n v="2181"/>
    <n v="2.7510316368638238E-2"/>
    <n v="0"/>
    <m/>
    <s v="Bioraffineria Livorno"/>
    <s v="GEMAPI SA Setting with AM"/>
    <n v="60"/>
    <n v="5508.6"/>
    <s v="Setup Q1 2025"/>
    <m/>
    <s v="Pending feedback"/>
    <m/>
  </r>
  <r>
    <s v="667100"/>
    <s v="Bardoscia Roberto"/>
    <s v="Saipem SpA Milan"/>
    <x v="2"/>
    <x v="1"/>
    <s v="Middle Manager exp Abu-Dhabi"/>
    <n v="84.82"/>
    <n v="91.81"/>
    <m/>
    <n v="91.81"/>
    <n v="181.75"/>
    <n v="2181"/>
    <n v="2.7510316368638238E-2"/>
    <n v="0"/>
    <m/>
    <s v="DOW Chinok Plant (LP8)"/>
    <s v="GEMAPI SA Setting with AM"/>
    <n v="60"/>
    <n v="5508.6"/>
    <s v="Setup Q1 2025"/>
    <m/>
    <s v="Hold"/>
    <m/>
  </r>
  <r>
    <s v="667100"/>
    <s v="Bardoscia Roberto"/>
    <s v="Saipem SpA Milan"/>
    <x v="2"/>
    <x v="1"/>
    <s v="Middle Manager exp Abu-Dhabi"/>
    <n v="84.82"/>
    <n v="91.81"/>
    <m/>
    <n v="91.81"/>
    <n v="181.75"/>
    <n v="2181"/>
    <n v="2.7510316368638238E-2"/>
    <n v="2.7510316368638238E-2"/>
    <m/>
    <s v="Kaminho FPSO Block 20/11"/>
    <s v="GEMAPI SA Setting with AM"/>
    <n v="60"/>
    <n v="5508.6"/>
    <s v="Q2 2025"/>
    <n v="60"/>
    <s v="Q2 2025"/>
    <m/>
  </r>
  <r>
    <s v="667100"/>
    <s v="Bardoscia Roberto"/>
    <s v="Saipem SpA Milan"/>
    <x v="2"/>
    <x v="1"/>
    <s v="Middle Manager exp Abu-Dhabi"/>
    <n v="84.82"/>
    <n v="91.81"/>
    <m/>
    <n v="91.81"/>
    <n v="181.75"/>
    <n v="2181"/>
    <n v="2.7510316368638238E-2"/>
    <n v="0"/>
    <m/>
    <s v="Liverpool Bay WP3"/>
    <s v="GEMAPI SA Setting with AM"/>
    <n v="60"/>
    <n v="5508.6"/>
    <s v="Setup, Q4 2025"/>
    <m/>
    <s v="Hold - to be reviewed in January 2025, after signing the EPC contract with ENI."/>
    <m/>
  </r>
  <r>
    <s v="667100"/>
    <s v="Bardoscia Roberto"/>
    <s v="Saipem SpA Milan"/>
    <x v="2"/>
    <x v="1"/>
    <s v="Middle Manager exp Abu-Dhabi"/>
    <n v="84.82"/>
    <n v="91.81"/>
    <m/>
    <n v="91.81"/>
    <n v="181.75"/>
    <n v="2181"/>
    <n v="9.9037138927097659E-2"/>
    <n v="9.9037138927097659E-2"/>
    <m/>
    <s v="Hail &amp; Ghasha Pkg 1 Island"/>
    <s v="Production Piping Lead, preparation of feasibility study Piping. Also included is training for Production Engineers."/>
    <n v="216"/>
    <n v="19830.96"/>
    <s v="from Jan to Dec 2025"/>
    <n v="216"/>
    <s v="from Jan to Dec 2025"/>
    <m/>
  </r>
  <r>
    <s v="667111"/>
    <s v="Bassel Taha Mohamed Hassan Keshk"/>
    <s v="Local Agency"/>
    <x v="3"/>
    <x v="0"/>
    <s v="White Collar Local Agency"/>
    <m/>
    <m/>
    <n v="6.666666666666667"/>
    <n v="6.666666666666667"/>
    <n v="240"/>
    <n v="2880"/>
    <n v="1.6666666666666666E-2"/>
    <n v="0"/>
    <m/>
    <s v="Berri Abu Ali Crude and KGP"/>
    <s v="DDC (Data Driven Construction) 3D Models Maintenance"/>
    <n v="48"/>
    <n v="0"/>
    <s v="from Jan to Dec 2025"/>
    <n v="0"/>
    <s v="Not Required"/>
    <m/>
  </r>
  <r>
    <s v="667111"/>
    <s v="Bassel Taha Mohamed Hassan Keshk"/>
    <s v="Local Agency"/>
    <x v="3"/>
    <x v="0"/>
    <s v="White Collar Local Agency"/>
    <m/>
    <m/>
    <n v="6.666666666666667"/>
    <n v="6.666666666666667"/>
    <n v="240"/>
    <n v="2880"/>
    <n v="1.6666666666666666E-2"/>
    <n v="1.6666666666666666E-2"/>
    <m/>
    <s v="NLNG 7 Bonny Island"/>
    <s v="DDC (Data Driven Construction) 3D Models Maintenance"/>
    <n v="48"/>
    <n v="0"/>
    <s v="from Jan to Dec 2025"/>
    <n v="48"/>
    <s v="from Jan to Dec 2025"/>
    <m/>
  </r>
  <r>
    <s v="667111"/>
    <s v="Bassel Taha Mohamed Hassan Keshk"/>
    <s v="Local Agency"/>
    <x v="3"/>
    <x v="0"/>
    <s v="White Collar Local Agency"/>
    <m/>
    <m/>
    <n v="6.666666666666667"/>
    <n v="6.666666666666667"/>
    <n v="240"/>
    <n v="2880"/>
    <n v="0.05"/>
    <n v="0.05"/>
    <m/>
    <s v="Perdaman Burrup Urea Project"/>
    <s v="DDC (Data Driven Construction) 3D Models Maintenance"/>
    <n v="144"/>
    <n v="0"/>
    <s v="from Jan to Dec 2025"/>
    <n v="144"/>
    <s v="from Jan to Dec 2025"/>
    <m/>
  </r>
  <r>
    <s v="667111"/>
    <s v="Bassel Taha Mohamed Hassan Keshk"/>
    <s v="Local Agency"/>
    <x v="3"/>
    <x v="0"/>
    <s v="White Collar Local Agency"/>
    <m/>
    <m/>
    <n v="6.666666666666667"/>
    <n v="6.666666666666667"/>
    <n v="240"/>
    <n v="2880"/>
    <n v="0.05"/>
    <n v="0.05"/>
    <m/>
    <s v="Hail &amp; Ghasha Pkg 1 Island"/>
    <s v="DDC (Data Driven Construction) 3D Models Maintenance"/>
    <n v="144"/>
    <n v="0"/>
    <s v="from Jan to Dec 2025"/>
    <n v="144"/>
    <s v="from Jan to Dec 2025"/>
    <m/>
  </r>
  <r>
    <s v="667111"/>
    <s v="Bassel Taha Mohamed Hassan Keshk"/>
    <s v="Local Agency"/>
    <x v="3"/>
    <x v="0"/>
    <s v="White Collar Local Agency"/>
    <m/>
    <m/>
    <n v="6.666666666666667"/>
    <n v="6.666666666666667"/>
    <n v="240"/>
    <n v="2880"/>
    <n v="0.05"/>
    <n v="0.05"/>
    <m/>
    <s v="Kaminho FPSO Block 20/11"/>
    <s v="DDC (Data Driven Construction) 3D Models Maintenance"/>
    <n v="144"/>
    <n v="0"/>
    <s v="From Apr to Dec 2025"/>
    <n v="144"/>
    <s v="From Apr to Dec 2025"/>
    <m/>
  </r>
  <r>
    <s v="667111"/>
    <s v="Bassel Taha Mohamed Hassan Keshk"/>
    <s v="Local Agency"/>
    <x v="3"/>
    <x v="0"/>
    <s v="White Collar Local Agency"/>
    <m/>
    <m/>
    <n v="6.666666666666667"/>
    <n v="6.666666666666667"/>
    <n v="240"/>
    <n v="2880"/>
    <n v="1.2500000000000001E-2"/>
    <n v="0"/>
    <m/>
    <s v="Liverpool Bay WP3"/>
    <s v="DDC (Data Driven Construction) 3D Models Maintenance"/>
    <n v="36"/>
    <n v="0"/>
    <s v="From Oct to Dec 2025"/>
    <m/>
    <s v="Hold - to be reviewed in January 2025, after signing the EPC contract with ENI."/>
    <m/>
  </r>
  <r>
    <s v="667111"/>
    <s v="Bassel Taha Mohamed Hassan Keshk"/>
    <s v="Local Agency"/>
    <x v="3"/>
    <x v="0"/>
    <s v="White Collar Local Agency"/>
    <m/>
    <m/>
    <n v="6.666666666666667"/>
    <n v="6.666666666666667"/>
    <n v="240"/>
    <n v="2880"/>
    <n v="0.1"/>
    <n v="7.6388888888888895E-2"/>
    <m/>
    <s v="Bioraffineria Livorno"/>
    <s v="DDC (Data Driven Construction) 3D Models Maintenance"/>
    <n v="288"/>
    <n v="0"/>
    <s v="from Jan to Dec 2025"/>
    <n v="220"/>
    <s v="from Jan to Dec 2025"/>
    <m/>
  </r>
  <r>
    <s v="667111"/>
    <s v="Bassel Taha Mohamed Hassan Keshk"/>
    <s v="Local Agency"/>
    <x v="3"/>
    <x v="0"/>
    <s v="White Collar Local Agency"/>
    <m/>
    <m/>
    <n v="6.666666666666667"/>
    <n v="6.666666666666667"/>
    <n v="240"/>
    <n v="2880"/>
    <n v="0.05"/>
    <n v="0"/>
    <m/>
    <s v="DOW Chinok Plant (LP8)"/>
    <s v="DDC (Data Driven Construction) 3D Models Maintenance"/>
    <n v="144"/>
    <n v="0"/>
    <s v="from Jan to Dec 2025"/>
    <m/>
    <s v="Hold"/>
    <m/>
  </r>
  <r>
    <s v="667111"/>
    <s v="Bassel Taha Mohamed Hassan Keshk"/>
    <s v="Local Agency"/>
    <x v="3"/>
    <x v="0"/>
    <s v="White Collar Local Agency"/>
    <m/>
    <m/>
    <n v="6.666666666666667"/>
    <n v="6.666666666666667"/>
    <n v="240"/>
    <n v="2880"/>
    <n v="1.6666666666666666E-2"/>
    <n v="1.6666666666666666E-2"/>
    <m/>
    <s v="Marjan Pkg 10"/>
    <s v="DDC (Data Driven Construction) 3D Models Maintenance"/>
    <n v="48"/>
    <n v="0"/>
    <s v="from Jan to Dec 2025"/>
    <n v="48"/>
    <s v="from Jan to Dec 2025"/>
    <m/>
  </r>
  <r>
    <s v="667111"/>
    <s v="Bassel Taha Mohamed Hassan Keshk"/>
    <s v="Local Agency"/>
    <x v="3"/>
    <x v="0"/>
    <s v="White Collar Local Agency"/>
    <m/>
    <m/>
    <n v="6.666666666666667"/>
    <n v="6.666666666666667"/>
    <n v="240"/>
    <n v="2880"/>
    <n v="1.6666666666666666E-2"/>
    <n v="0"/>
    <m/>
    <s v="Berri Abu Ali Crude and KGP"/>
    <s v="DDC (Data Driven Construction) 3D Reporting"/>
    <n v="48"/>
    <n v="0"/>
    <s v="from Jan to Dec 2025"/>
    <n v="0"/>
    <s v="Not Required"/>
    <m/>
  </r>
  <r>
    <s v="667111"/>
    <s v="Bassel Taha Mohamed Hassan Keshk"/>
    <s v="Local Agency"/>
    <x v="3"/>
    <x v="0"/>
    <s v="White Collar Local Agency"/>
    <m/>
    <m/>
    <n v="6.666666666666667"/>
    <n v="6.666666666666667"/>
    <n v="240"/>
    <n v="2880"/>
    <n v="1.6666666666666666E-2"/>
    <n v="1.6666666666666666E-2"/>
    <m/>
    <s v="NLNG 7 Bonny Island"/>
    <s v="DDC (Data Driven Construction) 3D Reporting"/>
    <n v="48"/>
    <n v="0"/>
    <s v="from Jan to Dec 2025"/>
    <n v="48"/>
    <s v="from Jan to Dec 2025"/>
    <m/>
  </r>
  <r>
    <s v="667111"/>
    <s v="Bassel Taha Mohamed Hassan Keshk"/>
    <s v="Local Agency"/>
    <x v="3"/>
    <x v="0"/>
    <s v="White Collar Local Agency"/>
    <m/>
    <m/>
    <n v="6.666666666666667"/>
    <n v="6.666666666666667"/>
    <n v="240"/>
    <n v="2880"/>
    <n v="0.05"/>
    <n v="0.05"/>
    <m/>
    <s v="Perdaman Burrup Urea Project"/>
    <s v="DDC (Data Driven Construction) 3D Reporting"/>
    <n v="144"/>
    <n v="0"/>
    <s v="from Jan to Dec 2025"/>
    <n v="144"/>
    <s v="from Jan to Dec 2025"/>
    <m/>
  </r>
  <r>
    <s v="667111"/>
    <s v="Bassel Taha Mohamed Hassan Keshk"/>
    <s v="Local Agency"/>
    <x v="3"/>
    <x v="0"/>
    <s v="White Collar Local Agency"/>
    <m/>
    <m/>
    <n v="6.666666666666667"/>
    <n v="6.666666666666667"/>
    <n v="240"/>
    <n v="2880"/>
    <n v="0.05"/>
    <n v="0.05"/>
    <m/>
    <s v="Hail &amp; Ghasha Pkg 1 Island"/>
    <s v="DDC (Data Driven Construction) 3D Reporting"/>
    <n v="144"/>
    <n v="0"/>
    <s v="from Jan to Dec 2025"/>
    <n v="144"/>
    <s v="from Jan to Dec 2025"/>
    <m/>
  </r>
  <r>
    <s v="667111"/>
    <s v="Bassel Taha Mohamed Hassan Keshk"/>
    <s v="Local Agency"/>
    <x v="3"/>
    <x v="0"/>
    <s v="White Collar Local Agency"/>
    <m/>
    <m/>
    <n v="6.666666666666667"/>
    <n v="6.666666666666667"/>
    <n v="240"/>
    <n v="2880"/>
    <n v="0.05"/>
    <n v="0.05"/>
    <m/>
    <s v="Kaminho FPSO Block 20/11"/>
    <s v="DDC (Data Driven Construction) 3D Reporting"/>
    <n v="144"/>
    <n v="0"/>
    <s v="From Apr to Dec 2025"/>
    <n v="144"/>
    <s v="From Apr to Dec 2025"/>
    <m/>
  </r>
  <r>
    <s v="667111"/>
    <s v="Bassel Taha Mohamed Hassan Keshk"/>
    <s v="Local Agency"/>
    <x v="3"/>
    <x v="0"/>
    <s v="White Collar Local Agency"/>
    <m/>
    <m/>
    <n v="6.666666666666667"/>
    <n v="6.666666666666667"/>
    <n v="240"/>
    <n v="2880"/>
    <n v="1.2500000000000001E-2"/>
    <n v="0"/>
    <m/>
    <s v="Liverpool Bay WP3"/>
    <s v="DDC (Data Driven Construction) 3D Reporting"/>
    <n v="36"/>
    <n v="0"/>
    <s v="From Oct to Dec 2025"/>
    <m/>
    <s v="Hold - to be reviewed in January 2025, after signing the EPC contract with ENI."/>
    <m/>
  </r>
  <r>
    <s v="667111"/>
    <s v="Bassel Taha Mohamed Hassan Keshk"/>
    <s v="Local Agency"/>
    <x v="3"/>
    <x v="0"/>
    <s v="White Collar Local Agency"/>
    <m/>
    <m/>
    <n v="6.666666666666667"/>
    <n v="6.666666666666667"/>
    <n v="240"/>
    <n v="2880"/>
    <n v="0.05"/>
    <n v="7.6388888888888895E-2"/>
    <m/>
    <s v="Bioraffineria Livorno"/>
    <s v="DDC (Data Driven Construction) 3D Reporting"/>
    <n v="144"/>
    <n v="0"/>
    <s v="from Jan to Dec 2025"/>
    <n v="220"/>
    <s v="from Jan to Dec 2025"/>
    <m/>
  </r>
  <r>
    <s v="667111"/>
    <s v="Bassel Taha Mohamed Hassan Keshk"/>
    <s v="Local Agency"/>
    <x v="3"/>
    <x v="0"/>
    <s v="White Collar Local Agency"/>
    <m/>
    <m/>
    <n v="6.666666666666667"/>
    <n v="6.666666666666667"/>
    <n v="240"/>
    <n v="2880"/>
    <n v="0.05"/>
    <n v="0"/>
    <m/>
    <s v="DOW Chinok Plant (LP8)"/>
    <s v="DDC (Data Driven Construction) 3D Reporting"/>
    <n v="144"/>
    <n v="0"/>
    <s v="from Jan to Dec 2025"/>
    <m/>
    <s v="Hold"/>
    <m/>
  </r>
  <r>
    <s v="667111"/>
    <s v="Bassel Taha Mohamed Hassan Keshk"/>
    <s v="Local Agency"/>
    <x v="3"/>
    <x v="0"/>
    <s v="White Collar Local Agency"/>
    <m/>
    <m/>
    <n v="6.666666666666667"/>
    <n v="6.666666666666667"/>
    <n v="240"/>
    <n v="2880"/>
    <n v="1.6666666666666666E-2"/>
    <n v="1.6666666666666666E-2"/>
    <m/>
    <s v="Marjan Pkg 10"/>
    <s v="DDC (Data Driven Construction) 3D Reporting"/>
    <n v="48"/>
    <n v="0"/>
    <s v="from Jan to Dec 2025"/>
    <n v="48"/>
    <s v="from Jan to Dec 2025"/>
    <m/>
  </r>
  <r>
    <s v="667111"/>
    <s v="Bassel Taha Mohamed Hassan Keshk"/>
    <s v="Local Agency"/>
    <x v="3"/>
    <x v="0"/>
    <s v="White Collar Local Agency"/>
    <m/>
    <m/>
    <n v="6.666666666666667"/>
    <n v="6.666666666666667"/>
    <n v="240"/>
    <n v="2880"/>
    <n v="2.6041666666666668E-2"/>
    <n v="2.6041666666666668E-2"/>
    <m/>
    <s v="Hail &amp; Ghasha Pkg 1 Island"/>
    <s v="DDC (Data Driven Construction) Setting with AM"/>
    <n v="75"/>
    <n v="0"/>
    <s v="Q1-Q2-Q3 2025"/>
    <n v="75"/>
    <s v="Q1-Q2-Q3 2025"/>
    <m/>
  </r>
  <r>
    <s v="667111"/>
    <s v="Bassel Taha Mohamed Hassan Keshk"/>
    <s v="Local Agency"/>
    <x v="3"/>
    <x v="0"/>
    <s v="White Collar Local Agency"/>
    <m/>
    <m/>
    <n v="6.666666666666667"/>
    <n v="6.666666666666667"/>
    <n v="240"/>
    <n v="2880"/>
    <n v="3.4722222222222224E-2"/>
    <n v="3.4722222222222224E-2"/>
    <m/>
    <s v="Kaminho FPSO Block 20/11"/>
    <s v="DDC (Data Driven Construction) Setting with AM"/>
    <n v="100"/>
    <n v="0"/>
    <s v="Q2-Q3-Q4 2025"/>
    <n v="100"/>
    <s v="Q2-Q3-Q4 2025"/>
    <m/>
  </r>
  <r>
    <s v="667111"/>
    <s v="Bassel Taha Mohamed Hassan Keshk"/>
    <s v="Local Agency"/>
    <x v="3"/>
    <x v="0"/>
    <s v="White Collar Local Agency"/>
    <m/>
    <m/>
    <n v="6.666666666666667"/>
    <n v="6.666666666666667"/>
    <n v="240"/>
    <n v="2880"/>
    <n v="2.6041666666666668E-2"/>
    <n v="0"/>
    <m/>
    <s v="Liverpool Bay WP3"/>
    <s v="DDC (Data Driven Construction) Setting with AM"/>
    <n v="75"/>
    <n v="0"/>
    <s v="Q4 2025"/>
    <m/>
    <s v="Hold - to be reviewed in January 2025, after signing the EPC contract with ENI."/>
    <m/>
  </r>
  <r>
    <s v="667111"/>
    <s v="Bassel Taha Mohamed Hassan Keshk"/>
    <s v="Local Agency"/>
    <x v="3"/>
    <x v="0"/>
    <s v="White Collar Local Agency"/>
    <m/>
    <m/>
    <n v="6.666666666666667"/>
    <n v="6.666666666666667"/>
    <n v="240"/>
    <n v="2880"/>
    <n v="3.4722222222222224E-2"/>
    <n v="2.0833333333333332E-2"/>
    <m/>
    <s v="Bioraffineria Livorno"/>
    <s v="DDC (Data Driven Construction) Setting with AM"/>
    <n v="100"/>
    <n v="0"/>
    <s v="Q1-Q2-Q3 2025"/>
    <n v="60"/>
    <s v="Q1-Q2-Q3 2025"/>
    <m/>
  </r>
  <r>
    <s v="667111"/>
    <s v="Bassel Taha Mohamed Hassan Keshk"/>
    <s v="Local Agency"/>
    <x v="3"/>
    <x v="0"/>
    <s v="White Collar Local Agency"/>
    <m/>
    <m/>
    <n v="6.666666666666667"/>
    <n v="6.666666666666667"/>
    <n v="240"/>
    <n v="2880"/>
    <n v="2.6041666666666668E-2"/>
    <n v="0"/>
    <m/>
    <s v="DOW Chinok Plant (LP8)"/>
    <s v="DDC (Data Driven Construction) Setting with AM"/>
    <n v="75"/>
    <n v="0"/>
    <s v="Q1-Q2-Q3 2025"/>
    <m/>
    <s v="Hold"/>
    <m/>
  </r>
  <r>
    <s v="667111"/>
    <s v="Bassel Taha Mohamed Hassan Keshk"/>
    <s v="Local Agency"/>
    <x v="3"/>
    <x v="0"/>
    <s v="White Collar Local Agency"/>
    <m/>
    <m/>
    <n v="6.666666666666667"/>
    <n v="6.666666666666667"/>
    <n v="240"/>
    <n v="2880"/>
    <n v="3.125E-2"/>
    <n v="3.125E-2"/>
    <m/>
    <s v="Perdaman Burrup Urea Project"/>
    <s v="STS (Spool Tracking System) Data Entry Support"/>
    <n v="90"/>
    <n v="0"/>
    <s v="from Jan to Dec 2025"/>
    <n v="90"/>
    <s v="from Jan to Dec 2025"/>
    <m/>
  </r>
  <r>
    <s v="667111"/>
    <s v="Bassel Taha Mohamed Hassan Keshk"/>
    <s v="Local Agency"/>
    <x v="3"/>
    <x v="0"/>
    <s v="White Collar Local Agency"/>
    <m/>
    <m/>
    <n v="6.666666666666667"/>
    <n v="6.666666666666667"/>
    <n v="240"/>
    <n v="2880"/>
    <n v="3.125E-2"/>
    <n v="3.125E-2"/>
    <m/>
    <s v="Hail &amp; Ghasha Pkg 1 Island"/>
    <s v="STS (Spool Tracking System) Data Entry Support"/>
    <n v="90"/>
    <n v="0"/>
    <s v="from Jan to Dec 2025"/>
    <n v="90"/>
    <s v="from Jan to Dec 2025"/>
    <m/>
  </r>
  <r>
    <s v="667111"/>
    <s v="Bharat Contractor Divyesh"/>
    <s v="Local Agency"/>
    <x v="0"/>
    <x v="0"/>
    <s v="White Collar Local Agency"/>
    <m/>
    <m/>
    <n v="4.583333333333333"/>
    <n v="4.583333333333333"/>
    <n v="240"/>
    <n v="2880"/>
    <n v="0"/>
    <n v="0"/>
    <s v="HAIL and GHASHA"/>
    <m/>
    <s v="Analisys of Revision"/>
    <m/>
    <n v="0"/>
    <s v="from Jan to Dec 2025"/>
    <m/>
    <m/>
    <m/>
  </r>
  <r>
    <s v="667111"/>
    <s v="Cabingan Carlo"/>
    <s v="Local Agency"/>
    <x v="0"/>
    <x v="0"/>
    <s v="White Collar Local Agency"/>
    <m/>
    <m/>
    <n v="5.416666666666667"/>
    <n v="5.416666666666667"/>
    <n v="240"/>
    <n v="2880"/>
    <n v="1"/>
    <n v="1"/>
    <m/>
    <s v="Hail &amp; Ghasha Pkg 1 Island"/>
    <s v="Spooling operators - Stick Built EPIC"/>
    <n v="2880"/>
    <n v="0"/>
    <s v="from Jan to Dec 2025"/>
    <n v="2880"/>
    <s v="from Jan to Dec 2025"/>
    <m/>
  </r>
  <r>
    <s v="667100"/>
    <s v="Cannella Antonio"/>
    <s v="Saipem SpA Milan"/>
    <x v="2"/>
    <x v="1"/>
    <s v="Middle Manager exp Abu-Dhabi"/>
    <n v="84.82"/>
    <n v="91.81"/>
    <m/>
    <n v="91.81"/>
    <n v="181.75"/>
    <n v="2181"/>
    <n v="0.55020632737276476"/>
    <n v="0.55020632737276476"/>
    <m/>
    <s v="Hail &amp; Ghasha Pkg 1 Island"/>
    <s v="Coordinate the Technical and Operational part of the Fabrication."/>
    <n v="1200"/>
    <n v="110172"/>
    <s v="from Jan to Dec 2025"/>
    <n v="1200"/>
    <s v="from Jan to Dec 2025"/>
    <m/>
  </r>
  <r>
    <s v="667100"/>
    <s v="Cannella Antonio"/>
    <s v="Saipem SpA Milan"/>
    <x v="2"/>
    <x v="1"/>
    <s v="Middle Manager exp Abu-Dhabi"/>
    <n v="84.82"/>
    <n v="91.81"/>
    <m/>
    <n v="91.81"/>
    <n v="181.75"/>
    <n v="2181"/>
    <n v="9.170105456212746E-2"/>
    <n v="9.170105456212746E-2"/>
    <m/>
    <s v="Kaminho FPSO Block 20/11"/>
    <s v="Fabrication Execution Strategy"/>
    <n v="200"/>
    <n v="18362"/>
    <s v="Setup, Q1 2025"/>
    <n v="200"/>
    <s v="Setup, Q1 2025"/>
    <m/>
  </r>
  <r>
    <s v="667100"/>
    <s v="Cannella Antonio"/>
    <s v="Saipem SpA Milan"/>
    <x v="2"/>
    <x v="1"/>
    <s v="Middle Manager exp Abu-Dhabi"/>
    <n v="84.82"/>
    <n v="91.81"/>
    <m/>
    <n v="91.81"/>
    <n v="181.75"/>
    <n v="2181"/>
    <n v="9.170105456212746E-2"/>
    <n v="0"/>
    <m/>
    <s v="Bioraffineria Livorno"/>
    <s v="Fabrication Setup"/>
    <n v="200"/>
    <n v="18362"/>
    <s v="Setup Q1 2025"/>
    <m/>
    <s v="Pending feedback"/>
    <m/>
  </r>
  <r>
    <s v="667100"/>
    <s v="Cannella Antonio"/>
    <s v="Saipem SpA Milan"/>
    <x v="2"/>
    <x v="1"/>
    <s v="Middle Manager exp Abu-Dhabi"/>
    <n v="84.82"/>
    <n v="91.81"/>
    <m/>
    <n v="91.81"/>
    <n v="181.75"/>
    <n v="2181"/>
    <n v="9.170105456212746E-2"/>
    <n v="0"/>
    <m/>
    <s v="DOW Chinok Plant (LP8)"/>
    <s v="Fabrication Setup"/>
    <n v="200"/>
    <n v="18362"/>
    <s v="Setup Q1 2025"/>
    <n v="0"/>
    <s v="Not Required"/>
    <m/>
  </r>
  <r>
    <s v="667100"/>
    <s v="Cannella Antonio"/>
    <s v="Saipem SpA Milan"/>
    <x v="2"/>
    <x v="1"/>
    <s v="Middle Manager exp Abu-Dhabi"/>
    <n v="84.82"/>
    <n v="91.81"/>
    <m/>
    <n v="91.81"/>
    <n v="181.75"/>
    <n v="2181"/>
    <n v="9.170105456212746E-2"/>
    <n v="0"/>
    <m/>
    <s v="Liverpool Bay WP3"/>
    <s v="Fabrication Setup"/>
    <n v="200"/>
    <n v="18362"/>
    <s v="Setup, Q3 2025"/>
    <m/>
    <s v="Hold - to be reviewed in January 2025, after signing the EPC contract with ENI."/>
    <m/>
  </r>
  <r>
    <s v="667100"/>
    <s v="Cannella Antonio"/>
    <s v="Saipem SpA Milan"/>
    <x v="2"/>
    <x v="1"/>
    <s v="Middle Manager exp Abu-Dhabi"/>
    <n v="84.82"/>
    <n v="91.81"/>
    <m/>
    <n v="91.81"/>
    <n v="181.75"/>
    <n v="2181"/>
    <n v="9.170105456212746E-2"/>
    <n v="9.170105456212746E-2"/>
    <m/>
    <s v="Rovuma LNG FEED"/>
    <s v="Fabrication Execution Strategy"/>
    <n v="200"/>
    <n v="18362"/>
    <s v="Setup, Q3 2025"/>
    <n v="200"/>
    <s v="3 steps are required:_x000a_1. Dec 2024, early strategy._x000a_2. Apr 2025, for Yards and RFQ._x000a_3. Aug 2025, final strategy."/>
    <m/>
  </r>
  <r>
    <s v="667100"/>
    <s v="Cannella Antonio"/>
    <s v="Saipem SpA Milan"/>
    <x v="2"/>
    <x v="1"/>
    <s v="Middle Manager exp Abu-Dhabi"/>
    <n v="84.82"/>
    <n v="91.81"/>
    <m/>
    <n v="91.81"/>
    <n v="181.75"/>
    <n v="2181"/>
    <n v="0.11462631820265932"/>
    <n v="0"/>
    <m/>
    <s v="KUTEI FPSO"/>
    <s v="Fabrication Execution Strategy"/>
    <n v="250"/>
    <n v="22952.5"/>
    <s v="Setup, Q3 2025"/>
    <m/>
    <s v="-"/>
    <m/>
  </r>
  <r>
    <s v="667111"/>
    <s v="Cantos Gamier Analyn"/>
    <s v="Local Agency"/>
    <x v="3"/>
    <x v="0"/>
    <s v="White Collar Local Agency"/>
    <m/>
    <m/>
    <n v="5.416666666666667"/>
    <n v="5.416666666666667"/>
    <n v="240"/>
    <n v="2880"/>
    <n v="0.15625"/>
    <n v="7.8125E-2"/>
    <m/>
    <s v="Perdaman Burrup Urea Project"/>
    <s v="CARP/TEKLA Power Fab Data Entry Support"/>
    <n v="450"/>
    <n v="0"/>
    <s v="from Jan to Dec 2025"/>
    <n v="225"/>
    <m/>
    <m/>
  </r>
  <r>
    <s v="667111"/>
    <s v="Cantos Gamier Analyn"/>
    <s v="Local Agency"/>
    <x v="3"/>
    <x v="0"/>
    <s v="White Collar Local Agency"/>
    <m/>
    <m/>
    <n v="5.416666666666667"/>
    <n v="5.416666666666667"/>
    <n v="240"/>
    <n v="2880"/>
    <n v="0.15625"/>
    <n v="0.15625"/>
    <m/>
    <s v="Hail &amp; Ghasha Pkg 1 Island"/>
    <s v="TEKLA Power Fab Data Entry Support"/>
    <n v="450"/>
    <n v="0"/>
    <s v="from Jan to Dec 2025"/>
    <n v="450"/>
    <s v="from Jan to Dec 2025"/>
    <m/>
  </r>
  <r>
    <s v="667111"/>
    <s v="Cantos Gamier Analyn"/>
    <s v="Local Agency"/>
    <x v="3"/>
    <x v="0"/>
    <s v="White Collar Local Agency"/>
    <m/>
    <m/>
    <n v="5.416666666666667"/>
    <n v="5.416666666666667"/>
    <n v="240"/>
    <n v="2880"/>
    <n v="9.375E-2"/>
    <n v="0"/>
    <m/>
    <s v="Kaminho FPSO Block 20/11"/>
    <s v="CARP/TEKLA Power Fab Data Entry Support"/>
    <n v="270"/>
    <n v="0"/>
    <s v="From Apr to Dec 2025"/>
    <n v="0"/>
    <s v="Not Required"/>
    <m/>
  </r>
  <r>
    <s v="667111"/>
    <s v="Cantos Gamier Analyn"/>
    <s v="Local Agency"/>
    <x v="3"/>
    <x v="0"/>
    <s v="White Collar Local Agency"/>
    <m/>
    <m/>
    <n v="5.416666666666667"/>
    <n v="5.416666666666667"/>
    <n v="240"/>
    <n v="2880"/>
    <n v="3.125E-2"/>
    <n v="0"/>
    <m/>
    <s v="Liverpool Bay WP3"/>
    <s v="CARP/TEKLA Power Fab Data Entry Support"/>
    <n v="90"/>
    <n v="0"/>
    <s v="From Oct to Dec 2025"/>
    <m/>
    <s v="Hold - to be reviewed in January 2025, after signing the EPC contract with ENI."/>
    <m/>
  </r>
  <r>
    <s v="667111"/>
    <s v="Cantos Gamier Analyn"/>
    <s v="Local Agency"/>
    <x v="3"/>
    <x v="0"/>
    <s v="White Collar Local Agency"/>
    <m/>
    <m/>
    <n v="5.416666666666667"/>
    <n v="5.416666666666667"/>
    <n v="240"/>
    <n v="2880"/>
    <n v="0.125"/>
    <n v="0.10416666666666667"/>
    <m/>
    <s v="Bioraffineria Livorno"/>
    <s v="CARP/TEKLA Power Fab Data Entry Support"/>
    <n v="360"/>
    <n v="0"/>
    <s v="from Jan to Dec 2025"/>
    <n v="300"/>
    <s v="from Jan to Dec 2025"/>
    <m/>
  </r>
  <r>
    <s v="667111"/>
    <s v="Cantos Gamier Analyn"/>
    <s v="Local Agency"/>
    <x v="3"/>
    <x v="0"/>
    <s v="White Collar Local Agency"/>
    <m/>
    <m/>
    <n v="5.416666666666667"/>
    <n v="5.416666666666667"/>
    <n v="240"/>
    <n v="2880"/>
    <n v="0.125"/>
    <n v="0"/>
    <m/>
    <s v="DOW Chinok Plant (LP8)"/>
    <s v="CARP/TEKLA Power Fab Data Entry Support"/>
    <n v="360"/>
    <n v="0"/>
    <s v="from Jan to Dec 2025"/>
    <n v="0"/>
    <s v="Not Required"/>
    <m/>
  </r>
  <r>
    <s v="667111"/>
    <s v="Cantos Gamier Analyn"/>
    <s v="Local Agency"/>
    <x v="3"/>
    <x v="0"/>
    <s v="White Collar Local Agency"/>
    <m/>
    <m/>
    <n v="5.416666666666667"/>
    <n v="5.416666666666667"/>
    <n v="240"/>
    <n v="2880"/>
    <n v="1.2152777777777778E-2"/>
    <n v="1.2152777777777778E-2"/>
    <m/>
    <s v="Hail &amp; Ghasha Pkg 1 Island"/>
    <s v="TEKLA Power Fab Training"/>
    <n v="35"/>
    <n v="0"/>
    <s v="from Jan to Dec 2025"/>
    <n v="35"/>
    <s v="from Jan to Dec 2025"/>
    <m/>
  </r>
  <r>
    <s v="667111"/>
    <s v="Cantos Gamier Analyn"/>
    <s v="Local Agency"/>
    <x v="3"/>
    <x v="0"/>
    <s v="White Collar Local Agency"/>
    <m/>
    <m/>
    <n v="5.416666666666667"/>
    <n v="5.416666666666667"/>
    <n v="240"/>
    <n v="2880"/>
    <n v="1.2152777777777778E-2"/>
    <n v="0"/>
    <m/>
    <s v="Kaminho FPSO Block 20/11"/>
    <s v="CARP/TEKLA Power Fab Training"/>
    <n v="35"/>
    <n v="0"/>
    <s v="From Apr to Dec 2025"/>
    <n v="0"/>
    <s v="Not Required"/>
    <m/>
  </r>
  <r>
    <s v="667111"/>
    <s v="Cantos Gamier Analyn"/>
    <s v="Local Agency"/>
    <x v="3"/>
    <x v="0"/>
    <s v="White Collar Local Agency"/>
    <m/>
    <m/>
    <n v="5.416666666666667"/>
    <n v="5.416666666666667"/>
    <n v="240"/>
    <n v="2880"/>
    <n v="1.2152777777777778E-2"/>
    <n v="0"/>
    <m/>
    <s v="Liverpool Bay WP3"/>
    <s v="CARP/TEKLA Power Fab Training"/>
    <n v="35"/>
    <n v="0"/>
    <s v="From Oct to Dec 2025"/>
    <m/>
    <s v="Hold - to be reviewed in January 2025, after signing the EPC contract with ENI."/>
    <m/>
  </r>
  <r>
    <s v="667111"/>
    <s v="Cantos Gamier Analyn"/>
    <s v="Local Agency"/>
    <x v="3"/>
    <x v="0"/>
    <s v="White Collar Local Agency"/>
    <m/>
    <m/>
    <n v="5.416666666666667"/>
    <n v="5.416666666666667"/>
    <n v="240"/>
    <n v="2880"/>
    <n v="1.2152777777777778E-2"/>
    <n v="1.2152777777777778E-2"/>
    <m/>
    <s v="Bioraffineria Livorno"/>
    <s v="CARP/TEKLA Power Fab Training"/>
    <n v="35"/>
    <n v="0"/>
    <s v="from Jan to Dec 2025"/>
    <n v="35"/>
    <s v="from Jan to Dec 2025"/>
    <m/>
  </r>
  <r>
    <s v="667111"/>
    <s v="Cantos Gamier Analyn"/>
    <s v="Local Agency"/>
    <x v="3"/>
    <x v="0"/>
    <s v="White Collar Local Agency"/>
    <m/>
    <m/>
    <n v="5.416666666666667"/>
    <n v="5.416666666666667"/>
    <n v="240"/>
    <n v="2880"/>
    <n v="1.2152777777777778E-2"/>
    <n v="0"/>
    <m/>
    <s v="DOW Chinok Plant (LP8)"/>
    <s v="CARP/TEKLA Power Fab Training"/>
    <n v="35"/>
    <n v="0"/>
    <s v="from Jan to Dec 2025"/>
    <n v="0"/>
    <s v="Not Required"/>
    <m/>
  </r>
  <r>
    <s v="667111"/>
    <s v="Cantos Gamier Analyn"/>
    <s v="Local Agency"/>
    <x v="3"/>
    <x v="0"/>
    <s v="White Collar Local Agency"/>
    <m/>
    <m/>
    <n v="5.416666666666667"/>
    <n v="5.416666666666667"/>
    <n v="240"/>
    <n v="2880"/>
    <n v="3.125E-2"/>
    <n v="0"/>
    <m/>
    <s v="NLNG 7 Bonny Island"/>
    <s v="WiTS (Welding Integrated Tracking System) Data Entry Support"/>
    <n v="90"/>
    <n v="0"/>
    <s v="from Jan to Dec 2025"/>
    <n v="0"/>
    <s v="Not Required"/>
    <m/>
  </r>
  <r>
    <s v="667111"/>
    <s v="Cantos Gamier Analyn"/>
    <s v="Local Agency"/>
    <x v="3"/>
    <x v="0"/>
    <s v="White Collar Local Agency"/>
    <m/>
    <m/>
    <n v="5.416666666666667"/>
    <n v="5.416666666666667"/>
    <n v="240"/>
    <n v="2880"/>
    <n v="9.375E-2"/>
    <n v="9.375E-2"/>
    <m/>
    <s v="Hail &amp; Ghasha Pkg 1 Island"/>
    <s v="WiTS (Welding Integrated Tracking System) Data Entry Support"/>
    <n v="270"/>
    <n v="0"/>
    <s v="from Jan to Dec 2025"/>
    <n v="270"/>
    <s v="from Jan to Dec 2025"/>
    <m/>
  </r>
  <r>
    <s v="667111"/>
    <s v="Cantos Gamier Analyn"/>
    <s v="Local Agency"/>
    <x v="3"/>
    <x v="0"/>
    <s v="White Collar Local Agency"/>
    <m/>
    <m/>
    <n v="5.416666666666667"/>
    <n v="5.416666666666667"/>
    <n v="240"/>
    <n v="2880"/>
    <n v="0.10416666666666667"/>
    <n v="0"/>
    <m/>
    <s v="Kaminho FPSO Block 20/11"/>
    <s v="WiTS (Welding Integrated Tracking System) Data Entry Support"/>
    <n v="300"/>
    <n v="0"/>
    <s v="From Apr to Dec 2025"/>
    <n v="0"/>
    <s v="Not Required"/>
    <m/>
  </r>
  <r>
    <s v="667100"/>
    <s v="Casanova Aviles Julio Cesar"/>
    <s v="Saipem SpA Abu Dhabi Branch"/>
    <x v="0"/>
    <x v="1"/>
    <s v="Senior local Abu-Dhabi"/>
    <n v="57.21"/>
    <n v="61.93"/>
    <m/>
    <n v="61.93"/>
    <n v="174.91666666666666"/>
    <n v="2099"/>
    <n v="0.25726536445926634"/>
    <n v="0"/>
    <m/>
    <s v="Perdaman Burrup Urea Project"/>
    <s v="Preparation of General Arrangement, geolocation of Piping Support on Steel Structure (Module)."/>
    <n v="540"/>
    <n v="33442.199999999997"/>
    <s v="from Jan to Jun 2025"/>
    <n v="0"/>
    <s v="Not Required"/>
    <m/>
  </r>
  <r>
    <s v="667100"/>
    <s v="Castro Segura Roberto Jorge"/>
    <s v="Saipem SpA Abu Dhabi Branch"/>
    <x v="0"/>
    <x v="1"/>
    <s v="Senior local Abu-Dhabi"/>
    <n v="57.21"/>
    <n v="61.93"/>
    <m/>
    <n v="61.93"/>
    <n v="174.91666666666666"/>
    <n v="2099"/>
    <n v="0.25726536445926634"/>
    <n v="0.25726536445926634"/>
    <m/>
    <s v="Hail &amp; Ghasha Pkg 1 Island"/>
    <s v="Preparation of General Arrangement, geolocation of Piping Support on Steel Structure (Module). Including Box Fireproofing."/>
    <n v="540"/>
    <n v="33442.199999999997"/>
    <s v="from Jan to Jun 2025"/>
    <n v="540"/>
    <s v="from Jan to Jun 2025"/>
    <m/>
  </r>
  <r>
    <s v="667111"/>
    <s v="Cerritos Leon Juan Diego"/>
    <s v="Local Agency"/>
    <x v="0"/>
    <x v="0"/>
    <s v="White Collar Local Agency"/>
    <m/>
    <m/>
    <n v="6.25"/>
    <n v="6.25"/>
    <n v="240"/>
    <n v="2880"/>
    <n v="0"/>
    <n v="0"/>
    <m/>
    <m/>
    <m/>
    <m/>
    <n v="0"/>
    <m/>
    <m/>
    <m/>
    <m/>
  </r>
  <r>
    <s v="667100"/>
    <s v="Contreras Cesar Raul"/>
    <s v="Saipem SpA Abu Dhabi Branch"/>
    <x v="0"/>
    <x v="1"/>
    <s v="Senior local Abu-Dhabi"/>
    <n v="57.21"/>
    <n v="61.93"/>
    <m/>
    <n v="61.93"/>
    <n v="174.91666666666666"/>
    <n v="2099"/>
    <n v="2.8585040495474036E-2"/>
    <n v="0"/>
    <m/>
    <s v="Bioraffineria Livorno"/>
    <s v="DPR Piping Setting with AM"/>
    <n v="60"/>
    <n v="3715.8"/>
    <s v="Setup Q1 2025"/>
    <m/>
    <s v="Pending feedback"/>
    <m/>
  </r>
  <r>
    <s v="667100"/>
    <s v="Contreras Cesar Raul"/>
    <s v="Saipem SpA Abu Dhabi Branch"/>
    <x v="0"/>
    <x v="1"/>
    <s v="Senior local Abu-Dhabi"/>
    <n v="57.21"/>
    <n v="61.93"/>
    <m/>
    <n v="61.93"/>
    <n v="174.91666666666666"/>
    <n v="2099"/>
    <n v="0.11434016198189614"/>
    <n v="0.11434016198189614"/>
    <m/>
    <s v="Kaminho FPSO Block 20/11"/>
    <s v="DPR Structural/Piping Setting with AM (Topside and Hull)"/>
    <n v="240"/>
    <n v="14863.2"/>
    <s v="Q2 2025"/>
    <n v="240"/>
    <s v="Q2 2025"/>
    <m/>
  </r>
  <r>
    <s v="667100"/>
    <s v="Contreras Cesar Raul"/>
    <s v="Saipem SpA Abu Dhabi Branch"/>
    <x v="0"/>
    <x v="1"/>
    <s v="Senior local Abu-Dhabi"/>
    <n v="57.21"/>
    <n v="61.93"/>
    <m/>
    <n v="61.93"/>
    <n v="174.91666666666666"/>
    <n v="2099"/>
    <n v="0.11434016198189614"/>
    <n v="0.11434016198189614"/>
    <m/>
    <s v="Kaminho FPSO Block 20/11"/>
    <s v="DPR Structural/Piping Setting with AM (Topside and Hull)"/>
    <n v="240"/>
    <n v="14863.2"/>
    <s v="Q2 2025"/>
    <n v="240"/>
    <s v="Q2 2025"/>
    <m/>
  </r>
  <r>
    <s v="667100"/>
    <s v="Contreras Cesar Raul"/>
    <s v="Saipem SpA Abu Dhabi Branch"/>
    <x v="0"/>
    <x v="1"/>
    <s v="Senior local Abu-Dhabi"/>
    <n v="57.21"/>
    <n v="61.93"/>
    <m/>
    <n v="61.93"/>
    <n v="174.91666666666666"/>
    <n v="2099"/>
    <n v="2.8585040495474036E-2"/>
    <n v="0"/>
    <m/>
    <s v="Liverpool Bay WP3"/>
    <s v="DPR Piping Setting with AM"/>
    <n v="60"/>
    <n v="3715.8"/>
    <s v="Setup, Q4 2025"/>
    <m/>
    <s v="Hold - to be reviewed in January 2025, after signing the EPC contract with ENI."/>
    <m/>
  </r>
  <r>
    <s v="667100"/>
    <s v="Contreras Cesar Raul"/>
    <s v="Saipem SpA Abu Dhabi Branch"/>
    <x v="0"/>
    <x v="1"/>
    <s v="Senior local Abu-Dhabi"/>
    <n v="57.21"/>
    <n v="61.93"/>
    <m/>
    <n v="61.93"/>
    <n v="174.91666666666666"/>
    <n v="2099"/>
    <n v="4.7641734159123393E-3"/>
    <n v="0"/>
    <m/>
    <s v="Bioraffineria Livorno"/>
    <s v="Shop Drawing Piping - Estimation"/>
    <n v="10"/>
    <n v="619.29999999999995"/>
    <s v="Setup Q1 2025"/>
    <m/>
    <s v="Pending feedback"/>
    <m/>
  </r>
  <r>
    <s v="667100"/>
    <s v="Contreras Cesar Raul"/>
    <s v="Saipem SpA Abu Dhabi Branch"/>
    <x v="0"/>
    <x v="1"/>
    <s v="Senior local Abu-Dhabi"/>
    <n v="57.21"/>
    <n v="61.93"/>
    <m/>
    <n v="61.93"/>
    <n v="174.91666666666666"/>
    <n v="2099"/>
    <n v="4.7641734159123393E-3"/>
    <n v="0"/>
    <m/>
    <s v="DOW Chinok Plant (LP8)"/>
    <s v="Shop Drawing Piping - Estimation"/>
    <n v="10"/>
    <n v="619.29999999999995"/>
    <s v="Setup Q1 2025"/>
    <n v="0"/>
    <s v="Not Required"/>
    <m/>
  </r>
  <r>
    <s v="667100"/>
    <s v="Contreras Cesar Raul"/>
    <s v="Saipem SpA Abu Dhabi Branch"/>
    <x v="0"/>
    <x v="1"/>
    <s v="Senior local Abu-Dhabi"/>
    <n v="57.21"/>
    <n v="61.93"/>
    <m/>
    <n v="61.93"/>
    <n v="174.91666666666666"/>
    <n v="2099"/>
    <n v="4.7641734159123393E-3"/>
    <n v="0"/>
    <m/>
    <s v="Liverpool Bay WP3"/>
    <s v="Shop Drawing Piping - Estimation"/>
    <n v="10"/>
    <n v="619.29999999999995"/>
    <s v="Setup, Q4 2025"/>
    <m/>
    <s v="Hold - to be reviewed in January 2025, after signing the EPC contract with ENI."/>
    <m/>
  </r>
  <r>
    <s v="667100"/>
    <s v="Contreras Cesar Raul"/>
    <s v="Saipem SpA Abu Dhabi Branch"/>
    <x v="0"/>
    <x v="1"/>
    <s v="Senior local Abu-Dhabi"/>
    <n v="57.21"/>
    <n v="61.93"/>
    <m/>
    <n v="61.93"/>
    <n v="174.91666666666666"/>
    <n v="2099"/>
    <n v="5.2405907575035729E-2"/>
    <n v="0"/>
    <m/>
    <s v="Bioraffineria Livorno"/>
    <s v="Spoolgen Setting with AM"/>
    <n v="110"/>
    <n v="6812.3"/>
    <s v="Setup Q1 2025"/>
    <m/>
    <s v="Pending feedback"/>
    <m/>
  </r>
  <r>
    <s v="667100"/>
    <s v="Contreras Cesar Raul"/>
    <s v="Saipem SpA Abu Dhabi Branch"/>
    <x v="0"/>
    <x v="1"/>
    <s v="Senior local Abu-Dhabi"/>
    <n v="57.21"/>
    <n v="61.93"/>
    <m/>
    <n v="61.93"/>
    <n v="174.91666666666666"/>
    <n v="2099"/>
    <n v="5.2405907575035729E-2"/>
    <n v="0"/>
    <m/>
    <s v="DOW Chinok Plant (LP8)"/>
    <s v="Spoolgen Setting with AM"/>
    <n v="110"/>
    <n v="6812.3"/>
    <s v="Setup Q1 2025"/>
    <n v="0"/>
    <s v="Not Required"/>
    <m/>
  </r>
  <r>
    <s v="667100"/>
    <s v="Contreras Cesar Raul"/>
    <s v="Saipem SpA Abu Dhabi Branch"/>
    <x v="0"/>
    <x v="1"/>
    <s v="Senior local Abu-Dhabi"/>
    <n v="57.21"/>
    <n v="61.93"/>
    <m/>
    <n v="61.93"/>
    <n v="174.91666666666666"/>
    <n v="2099"/>
    <n v="5.2405907575035729E-2"/>
    <n v="5.2405907575035729E-2"/>
    <m/>
    <s v="Kaminho FPSO Block 20/11"/>
    <s v="Spoolgen Setting with AM"/>
    <n v="110"/>
    <n v="6812.3"/>
    <s v="Q2 2025"/>
    <n v="110"/>
    <s v="Q2 2025"/>
    <m/>
  </r>
  <r>
    <s v="667100"/>
    <s v="Contreras Cesar Raul"/>
    <s v="Saipem SpA Abu Dhabi Branch"/>
    <x v="0"/>
    <x v="1"/>
    <s v="Senior local Abu-Dhabi"/>
    <n v="57.21"/>
    <n v="61.93"/>
    <m/>
    <n v="61.93"/>
    <n v="174.91666666666666"/>
    <n v="2099"/>
    <n v="5.2405907575035729E-2"/>
    <n v="0"/>
    <m/>
    <s v="Liverpool Bay WP3"/>
    <s v="Spoolgen Setting with AM"/>
    <n v="110"/>
    <n v="6812.3"/>
    <s v="Setup, Q4 2025"/>
    <m/>
    <s v="Hold - to be reviewed in January 2025, after signing the EPC contract with ENI."/>
    <m/>
  </r>
  <r>
    <s v="667100"/>
    <s v="Contreras Cesar Raul"/>
    <s v="Saipem SpA Abu Dhabi Branch"/>
    <x v="0"/>
    <x v="1"/>
    <s v="Senior local Abu-Dhabi"/>
    <n v="57.21"/>
    <n v="61.93"/>
    <m/>
    <n v="61.93"/>
    <n v="174.91666666666666"/>
    <n v="2099"/>
    <n v="3.3349213911386372E-2"/>
    <n v="0"/>
    <m/>
    <s v="Bioraffineria Livorno"/>
    <s v="Spoolgen Training"/>
    <n v="70"/>
    <n v="4335.1000000000004"/>
    <s v="Setup Q1 2025"/>
    <m/>
    <s v="Pending feedback"/>
    <m/>
  </r>
  <r>
    <s v="667100"/>
    <s v="Contreras Cesar Raul"/>
    <s v="Saipem SpA Abu Dhabi Branch"/>
    <x v="0"/>
    <x v="1"/>
    <s v="Senior local Abu-Dhabi"/>
    <n v="57.21"/>
    <n v="61.93"/>
    <m/>
    <n v="61.93"/>
    <n v="174.91666666666666"/>
    <n v="2099"/>
    <n v="3.3349213911386372E-2"/>
    <n v="0"/>
    <m/>
    <s v="DOW Chinok Plant (LP8)"/>
    <s v="Spoolgen Training"/>
    <n v="70"/>
    <n v="4335.1000000000004"/>
    <s v="Setup Q1 2025"/>
    <n v="0"/>
    <s v="Not Required"/>
    <m/>
  </r>
  <r>
    <s v="667100"/>
    <s v="Contreras Cesar Raul"/>
    <s v="Saipem SpA Abu Dhabi Branch"/>
    <x v="0"/>
    <x v="1"/>
    <s v="Senior local Abu-Dhabi"/>
    <n v="57.21"/>
    <n v="61.93"/>
    <m/>
    <n v="61.93"/>
    <n v="174.91666666666666"/>
    <n v="2099"/>
    <n v="3.3349213911386372E-2"/>
    <n v="3.3349213911386372E-2"/>
    <m/>
    <s v="Kaminho FPSO Block 20/11"/>
    <s v="Spoolgen Training"/>
    <n v="70"/>
    <n v="4335.1000000000004"/>
    <s v="Q2 2025"/>
    <n v="70"/>
    <s v="Q2 2025"/>
    <m/>
  </r>
  <r>
    <s v="667100"/>
    <s v="Contreras Cesar Raul"/>
    <s v="Saipem SpA Abu Dhabi Branch"/>
    <x v="0"/>
    <x v="1"/>
    <s v="Senior local Abu-Dhabi"/>
    <n v="57.21"/>
    <n v="61.93"/>
    <m/>
    <n v="61.93"/>
    <n v="174.91666666666666"/>
    <n v="2099"/>
    <n v="3.3349213911386372E-2"/>
    <n v="0"/>
    <m/>
    <s v="Liverpool Bay WP3"/>
    <s v="Spoolgen Training"/>
    <n v="70"/>
    <n v="4335.1000000000004"/>
    <s v="Setup, Q4 2025"/>
    <m/>
    <s v="Hold - to be reviewed in January 2025, after signing the EPC contract with ENI."/>
    <m/>
  </r>
  <r>
    <s v="667100"/>
    <s v="Contreras Cesar Raul"/>
    <s v="Saipem SpA Abu Dhabi Branch"/>
    <x v="0"/>
    <x v="1"/>
    <s v="Senior local Abu-Dhabi"/>
    <n v="57.21"/>
    <n v="61.93"/>
    <m/>
    <n v="61.93"/>
    <n v="174.91666666666666"/>
    <n v="2099"/>
    <n v="9.5283468318246786E-3"/>
    <n v="0"/>
    <m/>
    <s v="Bioraffineria Livorno"/>
    <s v="Spooling Check List"/>
    <n v="20"/>
    <n v="1238.5999999999999"/>
    <s v="Setup Q1 2025"/>
    <m/>
    <s v="Pending feedback"/>
    <m/>
  </r>
  <r>
    <s v="667100"/>
    <s v="Contreras Cesar Raul"/>
    <s v="Saipem SpA Abu Dhabi Branch"/>
    <x v="0"/>
    <x v="1"/>
    <s v="Senior local Abu-Dhabi"/>
    <n v="57.21"/>
    <n v="61.93"/>
    <m/>
    <n v="61.93"/>
    <n v="174.91666666666666"/>
    <n v="2099"/>
    <n v="9.5283468318246786E-3"/>
    <n v="9.5283468318246786E-3"/>
    <m/>
    <s v="Kaminho FPSO Block 20/11"/>
    <s v="Spooling Check List"/>
    <n v="20"/>
    <n v="1238.5999999999999"/>
    <s v="Q2 2025"/>
    <n v="20"/>
    <s v="Q2 2025"/>
    <m/>
  </r>
  <r>
    <s v="667100"/>
    <s v="Contreras Cesar Raul"/>
    <s v="Saipem SpA Abu Dhabi Branch"/>
    <x v="0"/>
    <x v="1"/>
    <s v="Senior local Abu-Dhabi"/>
    <n v="57.21"/>
    <n v="61.93"/>
    <m/>
    <n v="61.93"/>
    <n v="174.91666666666666"/>
    <n v="2099"/>
    <n v="9.5283468318246786E-3"/>
    <n v="9.5283468318246786E-3"/>
    <m/>
    <s v="Kaminho FPSO Block 20/11"/>
    <s v="Spooling Check List"/>
    <n v="20"/>
    <n v="1238.5999999999999"/>
    <s v="Q2 2025"/>
    <n v="20"/>
    <s v="Q2 2025"/>
    <m/>
  </r>
  <r>
    <s v="667100"/>
    <s v="Contreras Cesar Raul"/>
    <s v="Saipem SpA Abu Dhabi Branch"/>
    <x v="0"/>
    <x v="1"/>
    <s v="Senior local Abu-Dhabi"/>
    <n v="57.21"/>
    <n v="61.93"/>
    <m/>
    <n v="61.93"/>
    <n v="174.91666666666666"/>
    <n v="2099"/>
    <n v="9.5283468318246786E-3"/>
    <n v="0"/>
    <m/>
    <s v="Liverpool Bay WP3"/>
    <s v="Spooling Check List"/>
    <n v="20"/>
    <n v="1238.5999999999999"/>
    <s v="Setup, Q4 2025"/>
    <m/>
    <s v="Hold - to be reviewed in January 2025, after signing the EPC contract with ENI."/>
    <m/>
  </r>
  <r>
    <s v="667100"/>
    <s v="Contreras Cesar Raul"/>
    <s v="Saipem SpA Abu Dhabi Branch"/>
    <x v="0"/>
    <x v="1"/>
    <s v="Senior local Abu-Dhabi"/>
    <n v="57.21"/>
    <n v="61.93"/>
    <m/>
    <n v="61.93"/>
    <n v="174.91666666666666"/>
    <n v="2099"/>
    <n v="0.10290614578370652"/>
    <n v="0.10290614578370652"/>
    <m/>
    <s v="Hail &amp; Ghasha Pkg 1 Island"/>
    <s v="Technical Office Coordinator, carried out workshops for NPCC own portion, relating to Spoolgen Software."/>
    <n v="216"/>
    <n v="13376.88"/>
    <s v="from Jan to Dec 2025"/>
    <n v="216"/>
    <s v="from Jan to Dec 2025"/>
    <m/>
  </r>
  <r>
    <n v="667100"/>
    <s v="El Nahla Mohamed Mohsen Mokhtar Mohamed"/>
    <s v="Saipem SpA Abu Dhabi Branch"/>
    <x v="3"/>
    <x v="1"/>
    <s v="Senior local Abu-Dhabi"/>
    <n v="57.21"/>
    <n v="61.93"/>
    <m/>
    <n v="61.93"/>
    <n v="174.91666666666666"/>
    <n v="2099"/>
    <n v="2.2868032396379228E-2"/>
    <n v="0"/>
    <m/>
    <s v="Berri Abu Ali Crude and KGP"/>
    <s v="DDC (Data Driven Construction) 3D Models Maintenance"/>
    <n v="48"/>
    <n v="2972.64"/>
    <s v="from Jan to Dec 2025"/>
    <n v="0"/>
    <s v="Not Required"/>
    <m/>
  </r>
  <r>
    <n v="667100"/>
    <s v="El Nahla Mohamed Mohsen Mokhtar Mohamed"/>
    <s v="Saipem SpA Abu Dhabi Branch"/>
    <x v="3"/>
    <x v="1"/>
    <s v="Senior local Abu-Dhabi"/>
    <n v="57.21"/>
    <n v="61.93"/>
    <m/>
    <n v="61.93"/>
    <n v="174.91666666666666"/>
    <n v="2099"/>
    <n v="2.2868032396379228E-2"/>
    <n v="2.2868032396379228E-2"/>
    <m/>
    <s v="NLNG 7 Bonny Island"/>
    <s v="DDC (Data Driven Construction) 3D Models Maintenance"/>
    <n v="48"/>
    <n v="2972.64"/>
    <s v="from Jan to Dec 2025"/>
    <n v="48"/>
    <s v="from Jan to Dec 2025"/>
    <m/>
  </r>
  <r>
    <n v="667100"/>
    <s v="El Nahla Mohamed Mohsen Mokhtar Mohamed"/>
    <s v="Saipem SpA Abu Dhabi Branch"/>
    <x v="3"/>
    <x v="1"/>
    <s v="Senior local Abu-Dhabi"/>
    <n v="57.21"/>
    <n v="61.93"/>
    <m/>
    <n v="61.93"/>
    <n v="174.91666666666666"/>
    <n v="2099"/>
    <n v="0.13720819437827536"/>
    <n v="0.13720819437827536"/>
    <m/>
    <s v="Perdaman Burrup Urea Project"/>
    <s v="DDC (Data Driven Construction) 3D Models Maintenance"/>
    <n v="288"/>
    <n v="17835.84"/>
    <s v="from Jan to Dec 2025"/>
    <n v="288"/>
    <s v="from Jan to Dec 2025"/>
    <m/>
  </r>
  <r>
    <n v="667100"/>
    <s v="El Nahla Mohamed Mohsen Mokhtar Mohamed"/>
    <s v="Saipem SpA Abu Dhabi Branch"/>
    <x v="3"/>
    <x v="1"/>
    <s v="Senior local Abu-Dhabi"/>
    <n v="57.21"/>
    <n v="61.93"/>
    <m/>
    <n v="61.93"/>
    <n v="174.91666666666666"/>
    <n v="2099"/>
    <n v="6.8604097189137681E-2"/>
    <n v="6.8604097189137681E-2"/>
    <m/>
    <s v="Hail &amp; Ghasha Pkg 1 Island"/>
    <s v="DDC (Data Driven Construction) 3D Models Maintenance"/>
    <n v="144"/>
    <n v="8917.92"/>
    <s v="from Jan to Dec 2025"/>
    <n v="144"/>
    <s v="from Jan to Dec 2025"/>
    <m/>
  </r>
  <r>
    <n v="667100"/>
    <s v="El Nahla Mohamed Mohsen Mokhtar Mohamed"/>
    <s v="Saipem SpA Abu Dhabi Branch"/>
    <x v="3"/>
    <x v="1"/>
    <s v="Senior local Abu-Dhabi"/>
    <n v="57.21"/>
    <n v="61.93"/>
    <m/>
    <n v="61.93"/>
    <n v="174.91666666666666"/>
    <n v="2099"/>
    <n v="6.8604097189137681E-2"/>
    <n v="6.8604097189137681E-2"/>
    <m/>
    <s v="Kaminho FPSO Block 20/11"/>
    <s v="DDC (Data Driven Construction) 3D Models Maintenance"/>
    <n v="144"/>
    <n v="8917.92"/>
    <s v="From Apr to Dec 2025"/>
    <n v="144"/>
    <s v="From Apr to Dec 2025"/>
    <m/>
  </r>
  <r>
    <n v="667100"/>
    <s v="El Nahla Mohamed Mohsen Mokhtar Mohamed"/>
    <s v="Saipem SpA Abu Dhabi Branch"/>
    <x v="3"/>
    <x v="1"/>
    <s v="Senior local Abu-Dhabi"/>
    <n v="57.21"/>
    <n v="61.93"/>
    <m/>
    <n v="61.93"/>
    <n v="174.91666666666666"/>
    <n v="2099"/>
    <n v="1.715102429728442E-2"/>
    <n v="0"/>
    <m/>
    <s v="Liverpool Bay WP3"/>
    <s v="DDC (Data Driven Construction) 3D Models Maintenance"/>
    <n v="36"/>
    <n v="2229.48"/>
    <s v="From Oct to Dec 2025"/>
    <m/>
    <s v="Hold - to be reviewed in January 2025, after signing the EPC contract with ENI."/>
    <m/>
  </r>
  <r>
    <n v="667100"/>
    <s v="El Nahla Mohamed Mohsen Mokhtar Mohamed"/>
    <s v="Saipem SpA Abu Dhabi Branch"/>
    <x v="3"/>
    <x v="1"/>
    <s v="Senior local Abu-Dhabi"/>
    <n v="57.21"/>
    <n v="61.93"/>
    <m/>
    <n v="61.93"/>
    <n v="174.91666666666666"/>
    <n v="2099"/>
    <n v="6.8604097189137681E-2"/>
    <n v="0"/>
    <m/>
    <s v="Bioraffineria Livorno"/>
    <s v="DDC (Data Driven Construction) 3D Models Maintenance"/>
    <n v="144"/>
    <n v="8917.92"/>
    <s v="from Jan to Dec 2025"/>
    <n v="0"/>
    <s v="Not Required"/>
    <m/>
  </r>
  <r>
    <n v="667100"/>
    <s v="El Nahla Mohamed Mohsen Mokhtar Mohamed"/>
    <s v="Saipem SpA Abu Dhabi Branch"/>
    <x v="3"/>
    <x v="1"/>
    <s v="Senior local Abu-Dhabi"/>
    <n v="57.21"/>
    <n v="61.93"/>
    <m/>
    <n v="61.93"/>
    <n v="174.91666666666666"/>
    <n v="2099"/>
    <n v="6.8604097189137681E-2"/>
    <n v="0"/>
    <m/>
    <s v="DOW Chinok Plant (LP8)"/>
    <s v="DDC (Data Driven Construction) 3D Models Maintenance"/>
    <n v="144"/>
    <n v="8917.92"/>
    <s v="from Jan to Dec 2025"/>
    <m/>
    <s v="Hold"/>
    <m/>
  </r>
  <r>
    <n v="667100"/>
    <s v="El Nahla Mohamed Mohsen Mokhtar Mohamed"/>
    <s v="Saipem SpA Abu Dhabi Branch"/>
    <x v="3"/>
    <x v="1"/>
    <s v="Senior local Abu-Dhabi"/>
    <n v="57.21"/>
    <n v="61.93"/>
    <m/>
    <n v="61.93"/>
    <n v="174.91666666666666"/>
    <n v="2099"/>
    <n v="2.2868032396379228E-2"/>
    <n v="2.2868032396379228E-2"/>
    <m/>
    <s v="Marjan Pkg 10"/>
    <s v="DDC (Data Driven Construction) 3D Models Maintenance"/>
    <n v="48"/>
    <n v="2972.64"/>
    <s v="from Jan to Dec 2025"/>
    <n v="48"/>
    <s v="from Jan to Dec 2025"/>
    <m/>
  </r>
  <r>
    <n v="667100"/>
    <s v="El Nahla Mohamed Mohsen Mokhtar Mohamed"/>
    <s v="Saipem SpA Abu Dhabi Branch"/>
    <x v="3"/>
    <x v="1"/>
    <s v="Senior local Abu-Dhabi"/>
    <n v="57.21"/>
    <n v="61.93"/>
    <m/>
    <n v="61.93"/>
    <n v="174.91666666666666"/>
    <n v="2099"/>
    <n v="2.2868032396379228E-2"/>
    <n v="0"/>
    <m/>
    <s v="Berri Abu Ali Crude and KGP"/>
    <s v="DDC (Data Driven Construction) 3D Reporting"/>
    <n v="48"/>
    <n v="2972.64"/>
    <s v="from Jan to Dec 2025"/>
    <n v="0"/>
    <s v="Not Required"/>
    <m/>
  </r>
  <r>
    <n v="667100"/>
    <s v="El Nahla Mohamed Mohsen Mokhtar Mohamed"/>
    <s v="Saipem SpA Abu Dhabi Branch"/>
    <x v="3"/>
    <x v="1"/>
    <s v="Senior local Abu-Dhabi"/>
    <n v="57.21"/>
    <n v="61.93"/>
    <m/>
    <n v="61.93"/>
    <n v="174.91666666666666"/>
    <n v="2099"/>
    <n v="2.2868032396379228E-2"/>
    <n v="2.2868032396379228E-2"/>
    <m/>
    <s v="NLNG 7 Bonny Island"/>
    <s v="DDC (Data Driven Construction) 3D Reporting"/>
    <n v="48"/>
    <n v="2972.64"/>
    <s v="from Jan to Dec 2025"/>
    <n v="48"/>
    <s v="from Jan to Dec 2025"/>
    <m/>
  </r>
  <r>
    <n v="667100"/>
    <s v="El Nahla Mohamed Mohsen Mokhtar Mohamed"/>
    <s v="Saipem SpA Abu Dhabi Branch"/>
    <x v="3"/>
    <x v="1"/>
    <s v="Senior local Abu-Dhabi"/>
    <n v="57.21"/>
    <n v="61.93"/>
    <m/>
    <n v="61.93"/>
    <n v="174.91666666666666"/>
    <n v="2099"/>
    <n v="6.8604097189137681E-2"/>
    <n v="6.8604097189137681E-2"/>
    <m/>
    <s v="Perdaman Burrup Urea Project"/>
    <s v="DDC (Data Driven Construction) 3D Reporting"/>
    <n v="144"/>
    <n v="8917.92"/>
    <s v="from Jan to Dec 2025"/>
    <n v="144"/>
    <s v="from Jan to Dec 2025"/>
    <m/>
  </r>
  <r>
    <n v="667100"/>
    <s v="El Nahla Mohamed Mohsen Mokhtar Mohamed"/>
    <s v="Saipem SpA Abu Dhabi Branch"/>
    <x v="3"/>
    <x v="1"/>
    <s v="Senior local Abu-Dhabi"/>
    <n v="57.21"/>
    <n v="61.93"/>
    <m/>
    <n v="61.93"/>
    <n v="174.91666666666666"/>
    <n v="2099"/>
    <n v="6.8604097189137681E-2"/>
    <n v="6.8604097189137681E-2"/>
    <m/>
    <s v="Hail &amp; Ghasha Pkg 1 Island"/>
    <s v="DDC (Data Driven Construction) 3D Reporting"/>
    <n v="144"/>
    <n v="8917.92"/>
    <s v="from Jan to Dec 2025"/>
    <n v="144"/>
    <s v="from Jan to Dec 2025"/>
    <m/>
  </r>
  <r>
    <n v="667100"/>
    <s v="El Nahla Mohamed Mohsen Mokhtar Mohamed"/>
    <s v="Saipem SpA Abu Dhabi Branch"/>
    <x v="3"/>
    <x v="1"/>
    <s v="Senior local Abu-Dhabi"/>
    <n v="57.21"/>
    <n v="61.93"/>
    <m/>
    <n v="61.93"/>
    <n v="174.91666666666666"/>
    <n v="2099"/>
    <n v="6.8604097189137681E-2"/>
    <n v="6.8604097189137681E-2"/>
    <m/>
    <s v="Kaminho FPSO Block 20/11"/>
    <s v="DDC (Data Driven Construction) 3D Reporting"/>
    <n v="144"/>
    <n v="8917.92"/>
    <s v="From Apr to Dec 2025"/>
    <n v="144"/>
    <s v="From Apr to Dec 2025"/>
    <m/>
  </r>
  <r>
    <n v="667100"/>
    <s v="El Nahla Mohamed Mohsen Mokhtar Mohamed"/>
    <s v="Saipem SpA Abu Dhabi Branch"/>
    <x v="3"/>
    <x v="1"/>
    <s v="Senior local Abu-Dhabi"/>
    <n v="57.21"/>
    <n v="61.93"/>
    <m/>
    <n v="61.93"/>
    <n v="174.91666666666666"/>
    <n v="2099"/>
    <n v="1.715102429728442E-2"/>
    <n v="0"/>
    <m/>
    <s v="Liverpool Bay WP3"/>
    <s v="DDC (Data Driven Construction) 3D Reporting"/>
    <n v="36"/>
    <n v="2229.48"/>
    <s v="From Oct to Dec 2025"/>
    <m/>
    <s v="Hold - to be reviewed in January 2025, after signing the EPC contract with ENI."/>
    <m/>
  </r>
  <r>
    <n v="667100"/>
    <s v="El Nahla Mohamed Mohsen Mokhtar Mohamed"/>
    <s v="Saipem SpA Abu Dhabi Branch"/>
    <x v="3"/>
    <x v="1"/>
    <s v="Senior local Abu-Dhabi"/>
    <n v="57.21"/>
    <n v="61.93"/>
    <m/>
    <n v="61.93"/>
    <n v="174.91666666666666"/>
    <n v="2099"/>
    <n v="6.8604097189137681E-2"/>
    <n v="0"/>
    <m/>
    <s v="Bioraffineria Livorno"/>
    <s v="DDC (Data Driven Construction) 3D Reporting"/>
    <n v="144"/>
    <n v="8917.92"/>
    <s v="from Jan to Dec 2025"/>
    <n v="0"/>
    <s v="Not Required"/>
    <m/>
  </r>
  <r>
    <n v="667100"/>
    <s v="El Nahla Mohamed Mohsen Mokhtar Mohamed"/>
    <s v="Saipem SpA Abu Dhabi Branch"/>
    <x v="3"/>
    <x v="1"/>
    <s v="Senior local Abu-Dhabi"/>
    <n v="57.21"/>
    <n v="61.93"/>
    <m/>
    <n v="61.93"/>
    <n v="174.91666666666666"/>
    <n v="2099"/>
    <n v="6.8604097189137681E-2"/>
    <n v="0"/>
    <m/>
    <s v="DOW Chinok Plant (LP8)"/>
    <s v="DDC (Data Driven Construction) 3D Reporting"/>
    <n v="144"/>
    <n v="8917.92"/>
    <s v="from Jan to Dec 2025"/>
    <m/>
    <s v="Hold"/>
    <m/>
  </r>
  <r>
    <n v="667100"/>
    <s v="El Nahla Mohamed Mohsen Mokhtar Mohamed"/>
    <s v="Saipem SpA Abu Dhabi Branch"/>
    <x v="3"/>
    <x v="1"/>
    <s v="Senior local Abu-Dhabi"/>
    <n v="57.21"/>
    <n v="61.93"/>
    <m/>
    <n v="61.93"/>
    <n v="174.91666666666666"/>
    <n v="2099"/>
    <n v="2.2868032396379228E-2"/>
    <n v="2.2868032396379228E-2"/>
    <m/>
    <s v="Marjan Pkg 10"/>
    <s v="DDC (Data Driven Construction) 3D Reporting"/>
    <n v="48"/>
    <n v="2972.64"/>
    <s v="from Jan to Dec 2025"/>
    <n v="48"/>
    <s v="from Jan to Dec 2025"/>
    <m/>
  </r>
  <r>
    <s v="667111"/>
    <s v="Elghannam Mohamed"/>
    <s v="Local Agency"/>
    <x v="3"/>
    <x v="0"/>
    <s v="White Collar Local Agency"/>
    <m/>
    <m/>
    <n v="6.666666666666667"/>
    <n v="6.666666666666667"/>
    <n v="240"/>
    <n v="2880"/>
    <n v="1.6666666666666666E-2"/>
    <n v="0"/>
    <m/>
    <s v="Berri Abu Ali Crude and KGP"/>
    <s v="DDC (Data Driven Construction) 3D Models Maintenance"/>
    <n v="48"/>
    <n v="0"/>
    <s v="from Jan to Dec 2025"/>
    <n v="0"/>
    <s v="Not Required"/>
    <m/>
  </r>
  <r>
    <s v="667111"/>
    <s v="Elghannam Mohamed"/>
    <s v="Local Agency"/>
    <x v="3"/>
    <x v="0"/>
    <s v="White Collar Local Agency"/>
    <m/>
    <m/>
    <n v="6.666666666666667"/>
    <n v="6.666666666666667"/>
    <n v="240"/>
    <n v="2880"/>
    <n v="1.6666666666666666E-2"/>
    <n v="1.6666666666666666E-2"/>
    <m/>
    <s v="NLNG 7 Bonny Island"/>
    <s v="DDC (Data Driven Construction) 3D Models Maintenance"/>
    <n v="48"/>
    <n v="0"/>
    <s v="from Jan to Dec 2025"/>
    <n v="48"/>
    <s v="from Jan to Dec 2025"/>
    <m/>
  </r>
  <r>
    <s v="667111"/>
    <s v="Elghannam Mohamed"/>
    <s v="Local Agency"/>
    <x v="3"/>
    <x v="0"/>
    <s v="White Collar Local Agency"/>
    <m/>
    <m/>
    <n v="6.666666666666667"/>
    <n v="6.666666666666667"/>
    <n v="240"/>
    <n v="2880"/>
    <n v="0.05"/>
    <n v="0.05"/>
    <m/>
    <s v="Perdaman Burrup Urea Project"/>
    <s v="DDC (Data Driven Construction) 3D Models Maintenance"/>
    <n v="144"/>
    <n v="0"/>
    <s v="from Jan to Dec 2025"/>
    <n v="144"/>
    <s v="from Jan to Dec 2025"/>
    <m/>
  </r>
  <r>
    <s v="667111"/>
    <s v="Elghannam Mohamed"/>
    <s v="Local Agency"/>
    <x v="3"/>
    <x v="0"/>
    <s v="White Collar Local Agency"/>
    <m/>
    <m/>
    <n v="6.666666666666667"/>
    <n v="6.666666666666667"/>
    <n v="240"/>
    <n v="2880"/>
    <n v="0.05"/>
    <n v="0.05"/>
    <m/>
    <s v="Hail &amp; Ghasha Pkg 1 Island"/>
    <s v="DDC (Data Driven Construction) 3D Models Maintenance"/>
    <n v="144"/>
    <n v="0"/>
    <s v="from Jan to Dec 2025"/>
    <n v="144"/>
    <s v="from Jan to Dec 2025"/>
    <m/>
  </r>
  <r>
    <s v="667111"/>
    <s v="Elghannam Mohamed"/>
    <s v="Local Agency"/>
    <x v="3"/>
    <x v="0"/>
    <s v="White Collar Local Agency"/>
    <m/>
    <m/>
    <n v="6.666666666666667"/>
    <n v="6.666666666666667"/>
    <n v="240"/>
    <n v="2880"/>
    <n v="0.05"/>
    <n v="0.05"/>
    <m/>
    <s v="Kaminho FPSO Block 20/11"/>
    <s v="DDC (Data Driven Construction) 3D Models Maintenance"/>
    <n v="144"/>
    <n v="0"/>
    <s v="From Apr to Dec 2025"/>
    <n v="144"/>
    <s v="From Apr to Dec 2025"/>
    <m/>
  </r>
  <r>
    <s v="667111"/>
    <s v="Elghannam Mohamed"/>
    <s v="Local Agency"/>
    <x v="3"/>
    <x v="0"/>
    <s v="White Collar Local Agency"/>
    <m/>
    <m/>
    <n v="6.666666666666667"/>
    <n v="6.666666666666667"/>
    <n v="240"/>
    <n v="2880"/>
    <n v="1.2500000000000001E-2"/>
    <n v="0"/>
    <m/>
    <s v="Liverpool Bay WP3"/>
    <s v="DDC (Data Driven Construction) 3D Models Maintenance"/>
    <n v="36"/>
    <n v="0"/>
    <s v="From Oct to Dec 2025"/>
    <m/>
    <s v="Hold - to be reviewed in January 2025, after signing the EPC contract with ENI."/>
    <m/>
  </r>
  <r>
    <s v="667111"/>
    <s v="Elghannam Mohamed"/>
    <s v="Local Agency"/>
    <x v="3"/>
    <x v="0"/>
    <s v="White Collar Local Agency"/>
    <m/>
    <m/>
    <n v="6.666666666666667"/>
    <n v="6.666666666666667"/>
    <n v="240"/>
    <n v="2880"/>
    <n v="0.05"/>
    <n v="0"/>
    <m/>
    <s v="Bioraffineria Livorno"/>
    <s v="DDC (Data Driven Construction) 3D Models Maintenance"/>
    <n v="144"/>
    <n v="0"/>
    <s v="from Jan to Dec 2025"/>
    <n v="0"/>
    <s v="Not Required"/>
    <m/>
  </r>
  <r>
    <s v="667111"/>
    <s v="Elghannam Mohamed"/>
    <s v="Local Agency"/>
    <x v="3"/>
    <x v="0"/>
    <s v="White Collar Local Agency"/>
    <m/>
    <m/>
    <n v="6.666666666666667"/>
    <n v="6.666666666666667"/>
    <n v="240"/>
    <n v="2880"/>
    <n v="0.1"/>
    <n v="0"/>
    <m/>
    <s v="DOW Chinok Plant (LP8)"/>
    <s v="DDC (Data Driven Construction) 3D Models Maintenance"/>
    <n v="288"/>
    <n v="0"/>
    <s v="from Jan to Dec 2025"/>
    <m/>
    <s v="Hold"/>
    <m/>
  </r>
  <r>
    <s v="667111"/>
    <s v="Elghannam Mohamed"/>
    <s v="Local Agency"/>
    <x v="3"/>
    <x v="0"/>
    <s v="White Collar Local Agency"/>
    <m/>
    <m/>
    <n v="6.666666666666667"/>
    <n v="6.666666666666667"/>
    <n v="240"/>
    <n v="2880"/>
    <n v="1.6666666666666666E-2"/>
    <n v="1.6666666666666666E-2"/>
    <m/>
    <s v="Marjan Pkg 10"/>
    <s v="DDC (Data Driven Construction) 3D Models Maintenance"/>
    <n v="48"/>
    <n v="0"/>
    <s v="from Jan to Dec 2025"/>
    <n v="48"/>
    <s v="from Jan to Dec 2025"/>
    <m/>
  </r>
  <r>
    <s v="667111"/>
    <s v="Elghannam Mohamed"/>
    <s v="Local Agency"/>
    <x v="3"/>
    <x v="0"/>
    <s v="White Collar Local Agency"/>
    <m/>
    <m/>
    <n v="6.666666666666667"/>
    <n v="6.666666666666667"/>
    <n v="240"/>
    <n v="2880"/>
    <n v="1.6666666666666666E-2"/>
    <n v="0"/>
    <m/>
    <s v="Berri Abu Ali Crude and KGP"/>
    <s v="DDC (Data Driven Construction) 3D Reporting"/>
    <n v="48"/>
    <n v="0"/>
    <s v="from Jan to Dec 2025"/>
    <n v="0"/>
    <s v="Not Required"/>
    <m/>
  </r>
  <r>
    <s v="667111"/>
    <s v="Elghannam Mohamed"/>
    <s v="Local Agency"/>
    <x v="3"/>
    <x v="0"/>
    <s v="White Collar Local Agency"/>
    <m/>
    <m/>
    <n v="6.666666666666667"/>
    <n v="6.666666666666667"/>
    <n v="240"/>
    <n v="2880"/>
    <n v="1.6666666666666666E-2"/>
    <n v="1.6666666666666666E-2"/>
    <m/>
    <s v="NLNG 7 Bonny Island"/>
    <s v="DDC (Data Driven Construction) 3D Reporting"/>
    <n v="48"/>
    <n v="0"/>
    <s v="from Jan to Dec 2025"/>
    <n v="48"/>
    <s v="from Jan to Dec 2025"/>
    <m/>
  </r>
  <r>
    <s v="667111"/>
    <s v="Elghannam Mohamed"/>
    <s v="Local Agency"/>
    <x v="3"/>
    <x v="0"/>
    <s v="White Collar Local Agency"/>
    <m/>
    <m/>
    <n v="6.666666666666667"/>
    <n v="6.666666666666667"/>
    <n v="240"/>
    <n v="2880"/>
    <n v="0.05"/>
    <n v="0.05"/>
    <m/>
    <s v="Perdaman Burrup Urea Project"/>
    <s v="DDC (Data Driven Construction) 3D Reporting"/>
    <n v="144"/>
    <n v="0"/>
    <s v="from Jan to Dec 2025"/>
    <n v="144"/>
    <s v="from Jan to Dec 2025"/>
    <m/>
  </r>
  <r>
    <s v="667111"/>
    <s v="Elghannam Mohamed"/>
    <s v="Local Agency"/>
    <x v="3"/>
    <x v="0"/>
    <s v="White Collar Local Agency"/>
    <m/>
    <m/>
    <n v="6.666666666666667"/>
    <n v="6.666666666666667"/>
    <n v="240"/>
    <n v="2880"/>
    <n v="0.05"/>
    <n v="0.05"/>
    <m/>
    <s v="Hail &amp; Ghasha Pkg 1 Island"/>
    <s v="DDC (Data Driven Construction) 3D Reporting"/>
    <n v="144"/>
    <n v="0"/>
    <s v="from Jan to Dec 2025"/>
    <n v="144"/>
    <s v="from Jan to Dec 2025"/>
    <m/>
  </r>
  <r>
    <s v="667111"/>
    <s v="Elghannam Mohamed"/>
    <s v="Local Agency"/>
    <x v="3"/>
    <x v="0"/>
    <s v="White Collar Local Agency"/>
    <m/>
    <m/>
    <n v="6.666666666666667"/>
    <n v="6.666666666666667"/>
    <n v="240"/>
    <n v="2880"/>
    <n v="0.05"/>
    <n v="0.05"/>
    <m/>
    <s v="Kaminho FPSO Block 20/11"/>
    <s v="DDC (Data Driven Construction) 3D Reporting"/>
    <n v="144"/>
    <n v="0"/>
    <s v="From Apr to Dec 2025"/>
    <n v="144"/>
    <s v="From Apr to Dec 2025"/>
    <m/>
  </r>
  <r>
    <s v="667111"/>
    <s v="Elghannam Mohamed"/>
    <s v="Local Agency"/>
    <x v="3"/>
    <x v="0"/>
    <s v="White Collar Local Agency"/>
    <m/>
    <m/>
    <n v="6.666666666666667"/>
    <n v="6.666666666666667"/>
    <n v="240"/>
    <n v="2880"/>
    <n v="1.2500000000000001E-2"/>
    <n v="0"/>
    <m/>
    <s v="Liverpool Bay WP3"/>
    <s v="DDC (Data Driven Construction) 3D Reporting"/>
    <n v="36"/>
    <n v="0"/>
    <s v="From Oct to Dec 2025"/>
    <m/>
    <s v="Hold - to be reviewed in January 2025, after signing the EPC contract with ENI."/>
    <m/>
  </r>
  <r>
    <s v="667111"/>
    <s v="Elghannam Mohamed"/>
    <s v="Local Agency"/>
    <x v="3"/>
    <x v="0"/>
    <s v="White Collar Local Agency"/>
    <m/>
    <m/>
    <n v="6.666666666666667"/>
    <n v="6.666666666666667"/>
    <n v="240"/>
    <n v="2880"/>
    <n v="0.05"/>
    <n v="0"/>
    <m/>
    <s v="Bioraffineria Livorno"/>
    <s v="DDC (Data Driven Construction) 3D Reporting"/>
    <n v="144"/>
    <n v="0"/>
    <s v="from Jan to Dec 2025"/>
    <n v="0"/>
    <s v="Not Required"/>
    <m/>
  </r>
  <r>
    <s v="667111"/>
    <s v="Elghannam Mohamed"/>
    <s v="Local Agency"/>
    <x v="3"/>
    <x v="0"/>
    <s v="White Collar Local Agency"/>
    <m/>
    <m/>
    <n v="6.666666666666667"/>
    <n v="6.666666666666667"/>
    <n v="240"/>
    <n v="2880"/>
    <n v="0.05"/>
    <n v="0"/>
    <m/>
    <s v="DOW Chinok Plant (LP8)"/>
    <s v="DDC (Data Driven Construction) 3D Reporting"/>
    <n v="144"/>
    <n v="0"/>
    <s v="from Jan to Dec 2025"/>
    <m/>
    <s v="Hold"/>
    <m/>
  </r>
  <r>
    <s v="667111"/>
    <s v="Elghannam Mohamed"/>
    <s v="Local Agency"/>
    <x v="3"/>
    <x v="0"/>
    <s v="White Collar Local Agency"/>
    <m/>
    <m/>
    <n v="6.666666666666667"/>
    <n v="6.666666666666667"/>
    <n v="240"/>
    <n v="2880"/>
    <n v="1.6666666666666666E-2"/>
    <n v="1.6666666666666666E-2"/>
    <m/>
    <s v="Marjan Pkg 10"/>
    <s v="DDC (Data Driven Construction) 3D Reporting"/>
    <n v="48"/>
    <n v="0"/>
    <s v="from Jan to Dec 2025"/>
    <n v="48"/>
    <s v="from Jan to Dec 2025"/>
    <m/>
  </r>
  <r>
    <s v="667111"/>
    <s v="Elghannam Mohamed"/>
    <s v="Local Agency"/>
    <x v="3"/>
    <x v="0"/>
    <s v="White Collar Local Agency"/>
    <m/>
    <m/>
    <n v="6.666666666666667"/>
    <n v="6.666666666666667"/>
    <n v="240"/>
    <n v="2880"/>
    <n v="3.4722222222222224E-2"/>
    <n v="3.4722222222222224E-2"/>
    <m/>
    <s v="Hail &amp; Ghasha Pkg 1 Island"/>
    <s v="DDC (Data Driven Construction) Setting with AM"/>
    <n v="100"/>
    <n v="0"/>
    <s v="Q1-Q2-Q3 2025"/>
    <n v="100"/>
    <s v="Q1-Q2-Q3 2025"/>
    <m/>
  </r>
  <r>
    <s v="667111"/>
    <s v="Elghannam Mohamed"/>
    <s v="Local Agency"/>
    <x v="3"/>
    <x v="0"/>
    <s v="White Collar Local Agency"/>
    <m/>
    <m/>
    <n v="6.666666666666667"/>
    <n v="6.666666666666667"/>
    <n v="240"/>
    <n v="2880"/>
    <n v="2.6041666666666668E-2"/>
    <n v="2.6041666666666668E-2"/>
    <m/>
    <s v="Kaminho FPSO Block 20/11"/>
    <s v="DDC (Data Driven Construction) Setting with AM"/>
    <n v="75"/>
    <n v="0"/>
    <s v="Q2-Q3-Q4 2025"/>
    <n v="75"/>
    <s v="Q2-Q3-Q4 2025"/>
    <m/>
  </r>
  <r>
    <s v="667111"/>
    <s v="Elghannam Mohamed"/>
    <s v="Local Agency"/>
    <x v="3"/>
    <x v="0"/>
    <s v="White Collar Local Agency"/>
    <m/>
    <m/>
    <n v="6.666666666666667"/>
    <n v="6.666666666666667"/>
    <n v="240"/>
    <n v="2880"/>
    <n v="3.4722222222222224E-2"/>
    <n v="0"/>
    <m/>
    <s v="Liverpool Bay WP3"/>
    <s v="DDC (Data Driven Construction) Setting with AM"/>
    <n v="100"/>
    <n v="0"/>
    <s v="Q4 2025"/>
    <m/>
    <s v="Hold - to be reviewed in January 2025, after signing the EPC contract with ENI."/>
    <m/>
  </r>
  <r>
    <s v="667111"/>
    <s v="Elghannam Mohamed"/>
    <s v="Local Agency"/>
    <x v="3"/>
    <x v="0"/>
    <s v="White Collar Local Agency"/>
    <m/>
    <m/>
    <n v="6.666666666666667"/>
    <n v="6.666666666666667"/>
    <n v="240"/>
    <n v="2880"/>
    <n v="2.6041666666666668E-2"/>
    <n v="0"/>
    <m/>
    <s v="Bioraffineria Livorno"/>
    <s v="DDC (Data Driven Construction) Setting with AM"/>
    <n v="75"/>
    <n v="0"/>
    <s v="Q1-Q2-Q3 2025"/>
    <n v="0"/>
    <s v="Not Required"/>
    <m/>
  </r>
  <r>
    <s v="667111"/>
    <s v="Elghannam Mohamed"/>
    <s v="Local Agency"/>
    <x v="3"/>
    <x v="0"/>
    <s v="White Collar Local Agency"/>
    <m/>
    <m/>
    <n v="6.666666666666667"/>
    <n v="6.666666666666667"/>
    <n v="240"/>
    <n v="2880"/>
    <n v="3.4722222222222224E-2"/>
    <n v="0"/>
    <m/>
    <s v="DOW Chinok Plant (LP8)"/>
    <s v="DDC (Data Driven Construction) Setting with AM"/>
    <n v="100"/>
    <n v="0"/>
    <s v="Q1-Q2-Q3 2025"/>
    <m/>
    <s v="Hold"/>
    <m/>
  </r>
  <r>
    <s v="667111"/>
    <s v="Elghannam Mohamed"/>
    <s v="Local Agency"/>
    <x v="3"/>
    <x v="0"/>
    <s v="White Collar Local Agency"/>
    <m/>
    <m/>
    <n v="6.666666666666667"/>
    <n v="6.666666666666667"/>
    <n v="240"/>
    <n v="2880"/>
    <n v="3.125E-2"/>
    <n v="5.2083333333333336E-2"/>
    <m/>
    <s v="Bioraffineria Livorno"/>
    <s v="STS (Spool Tracking System) Data Entry Support"/>
    <n v="90"/>
    <n v="0"/>
    <s v="from Jan to Dec 2025"/>
    <n v="150"/>
    <s v="from Jan to Dec 2025"/>
    <m/>
  </r>
  <r>
    <s v="667111"/>
    <s v="Elghannam Mohamed"/>
    <s v="Local Agency"/>
    <x v="3"/>
    <x v="0"/>
    <s v="White Collar Local Agency"/>
    <m/>
    <m/>
    <n v="6.666666666666667"/>
    <n v="6.666666666666667"/>
    <n v="240"/>
    <n v="2880"/>
    <n v="3.125E-2"/>
    <n v="3.125E-2"/>
    <m/>
    <s v="DOW Chinok Plant (LP8)"/>
    <s v="STS (Spool Tracking System) Data Entry Support"/>
    <n v="90"/>
    <n v="0"/>
    <s v="from Jan to Dec 2025"/>
    <n v="90"/>
    <s v="from Jan to Dec 2025"/>
    <m/>
  </r>
  <r>
    <s v="9ON042"/>
    <s v="Ghionna Francesco"/>
    <s v="Saipem SpA Milan"/>
    <x v="3"/>
    <x v="2"/>
    <s v="White Collar Milan"/>
    <n v="64.23"/>
    <n v="69.510000000000005"/>
    <m/>
    <n v="69.510000000000005"/>
    <n v="141.16666666666666"/>
    <n v="1694"/>
    <n v="5.3128689492325853E-2"/>
    <n v="5.3128689492325853E-2"/>
    <m/>
    <s v="Perdaman Burrup Urea Project"/>
    <s v="STS (Spool Tracking System) Data Entry Support"/>
    <n v="90"/>
    <n v="6255.9000000000005"/>
    <s v="from Jan to Dec 2025"/>
    <n v="90"/>
    <s v="from Jan to Dec 2025"/>
    <m/>
  </r>
  <r>
    <s v="9ON042"/>
    <s v="Ghionna Francesco"/>
    <s v="Saipem SpA Milan"/>
    <x v="3"/>
    <x v="2"/>
    <s v="White Collar Milan"/>
    <n v="64.23"/>
    <n v="69.510000000000005"/>
    <m/>
    <n v="69.510000000000005"/>
    <n v="141.16666666666666"/>
    <n v="1694"/>
    <n v="5.3128689492325853E-2"/>
    <n v="5.3128689492325853E-2"/>
    <m/>
    <s v="Hail &amp; Ghasha Pkg 1 Island"/>
    <s v="STS (Spool Tracking System) Data Entry Support"/>
    <n v="90"/>
    <n v="6255.9000000000005"/>
    <s v="from Jan to Dec 2025"/>
    <n v="90"/>
    <s v="from Jan to Dec 2025"/>
    <m/>
  </r>
  <r>
    <s v="9ON042"/>
    <s v="Ghionna Francesco"/>
    <s v="Saipem SpA Milan"/>
    <x v="3"/>
    <x v="2"/>
    <s v="White Collar Milan"/>
    <n v="64.23"/>
    <n v="69.510000000000005"/>
    <m/>
    <n v="69.510000000000005"/>
    <n v="141.16666666666666"/>
    <n v="1694"/>
    <n v="4.4273907910271547E-2"/>
    <n v="0"/>
    <m/>
    <s v="Kaminho FPSO Block 20/11"/>
    <s v="STS (Spool Tracking System) Data Entry Support"/>
    <n v="75"/>
    <n v="5213.25"/>
    <s v="From Apr to Dec 2025"/>
    <m/>
    <s v="Hold"/>
    <m/>
  </r>
  <r>
    <s v="9ON042"/>
    <s v="Ghionna Francesco"/>
    <s v="Saipem SpA Milan"/>
    <x v="3"/>
    <x v="2"/>
    <s v="White Collar Milan"/>
    <n v="64.23"/>
    <n v="69.510000000000005"/>
    <m/>
    <n v="69.510000000000005"/>
    <n v="141.16666666666666"/>
    <n v="1694"/>
    <n v="1.770956316410862E-2"/>
    <n v="0"/>
    <m/>
    <s v="Liverpool Bay WP3"/>
    <s v="STS (Spool Tracking System) Data Entry Support"/>
    <n v="30"/>
    <n v="2085.3000000000002"/>
    <s v="From Oct to Dec 2025"/>
    <m/>
    <s v="Hold - to be reviewed in January 2025, after signing the EPC contract with ENI."/>
    <m/>
  </r>
  <r>
    <s v="9ON042"/>
    <s v="Ghionna Francesco"/>
    <s v="Saipem SpA Milan"/>
    <x v="3"/>
    <x v="2"/>
    <s v="White Collar Milan"/>
    <n v="64.23"/>
    <n v="69.510000000000005"/>
    <m/>
    <n v="69.510000000000005"/>
    <n v="141.16666666666666"/>
    <n v="1694"/>
    <n v="0.10625737898465171"/>
    <n v="0"/>
    <m/>
    <s v="NLNG 7 Bonny Island"/>
    <s v="WiTS (Welding Integrated Tracking System) Data Entry Support"/>
    <n v="180"/>
    <n v="12511.800000000001"/>
    <s v="from Jan to Dec 2025"/>
    <n v="0"/>
    <s v="Not Required"/>
    <m/>
  </r>
  <r>
    <s v="9ON042"/>
    <s v="Ghionna Francesco"/>
    <s v="Saipem SpA Milan"/>
    <x v="3"/>
    <x v="2"/>
    <s v="White Collar Milan"/>
    <n v="64.23"/>
    <n v="69.510000000000005"/>
    <m/>
    <n v="69.510000000000005"/>
    <n v="141.16666666666666"/>
    <n v="1694"/>
    <n v="0.10625737898465171"/>
    <n v="0"/>
    <m/>
    <s v="Perdaman Burrup Urea Project"/>
    <s v="WiTS (Welding Integrated Tracking System) Data Entry Support"/>
    <n v="180"/>
    <n v="12511.800000000001"/>
    <s v="from Jan to Dec 2025"/>
    <n v="0"/>
    <s v="Not Required"/>
    <m/>
  </r>
  <r>
    <s v="9ON042"/>
    <s v="Ghionna Francesco"/>
    <s v="Saipem SpA Milan"/>
    <x v="3"/>
    <x v="2"/>
    <s v="White Collar Milan"/>
    <n v="64.23"/>
    <n v="69.510000000000005"/>
    <m/>
    <n v="69.510000000000005"/>
    <n v="141.16666666666666"/>
    <n v="1694"/>
    <n v="0.10625737898465171"/>
    <n v="5.9031877213695398E-2"/>
    <m/>
    <s v="Jafurah Pkg 4"/>
    <s v="WiTS (Welding Integrated Tracking System) Data Entry Support"/>
    <n v="180"/>
    <n v="12511.800000000001"/>
    <s v="from Jan to Dec 2025"/>
    <n v="100"/>
    <s v="From Jan to Apr 2025"/>
    <m/>
  </r>
  <r>
    <s v="9ON042"/>
    <s v="Ghionna Francesco"/>
    <s v="Saipem SpA Milan"/>
    <x v="3"/>
    <x v="2"/>
    <s v="White Collar Milan"/>
    <n v="64.23"/>
    <n v="69.510000000000005"/>
    <m/>
    <n v="69.510000000000005"/>
    <n v="141.16666666666666"/>
    <n v="1694"/>
    <n v="0.15938606847697756"/>
    <n v="0.15938606847697756"/>
    <m/>
    <s v="Kaminho FPSO Block 20/11"/>
    <s v="WiTS (Welding Integrated Tracking System) Data Entry Support"/>
    <n v="270"/>
    <n v="18767.7"/>
    <s v="From Apr to Dec 2025"/>
    <n v="270"/>
    <s v="From Apr to Dec 2025"/>
    <m/>
  </r>
  <r>
    <s v="9ON042"/>
    <s v="Ghionna Francesco"/>
    <s v="Saipem SpA Milan"/>
    <x v="3"/>
    <x v="2"/>
    <s v="White Collar Milan"/>
    <n v="64.23"/>
    <n v="69.510000000000005"/>
    <m/>
    <n v="69.510000000000005"/>
    <n v="141.16666666666666"/>
    <n v="1694"/>
    <n v="5.3128689492325853E-2"/>
    <n v="0"/>
    <m/>
    <s v="Liverpool Bay WP3"/>
    <s v="WiTS (Welding Integrated Tracking System) Data Entry Support"/>
    <n v="90"/>
    <n v="6255.9000000000005"/>
    <s v="From Oct to Dec 2025"/>
    <m/>
    <s v="Hold - to be reviewed in January 2025, after signing the EPC contract with ENI."/>
    <m/>
  </r>
  <r>
    <s v="9ON042"/>
    <s v="Ghionna Francesco"/>
    <s v="Saipem SpA Milan"/>
    <x v="3"/>
    <x v="2"/>
    <s v="White Collar Milan"/>
    <n v="64.23"/>
    <n v="69.510000000000005"/>
    <m/>
    <n v="69.510000000000005"/>
    <n v="141.16666666666666"/>
    <n v="1694"/>
    <n v="0.10625737898465171"/>
    <n v="0"/>
    <m/>
    <s v="NGC Phase 1 Project"/>
    <s v="WiTS (Welding Integrated Tracking System) Data Entry Support"/>
    <n v="180"/>
    <n v="12511.800000000001"/>
    <s v="from Jan to Dec 2025"/>
    <n v="0"/>
    <s v="Not Required"/>
    <m/>
  </r>
  <r>
    <s v="9ON042"/>
    <s v="Ghionna Francesco"/>
    <s v="Saipem SpA Milan"/>
    <x v="3"/>
    <x v="2"/>
    <s v="White Collar Milan"/>
    <n v="64.23"/>
    <n v="69.510000000000005"/>
    <m/>
    <n v="69.510000000000005"/>
    <n v="141.16666666666666"/>
    <n v="1694"/>
    <n v="0.10625737898465171"/>
    <n v="0"/>
    <m/>
    <s v="Congo LNG/Scarabeo 5 Conversion"/>
    <s v="WiTS (Welding Integrated Tracking System) Data Entry Support"/>
    <n v="180"/>
    <n v="12511.800000000001"/>
    <s v="from Jan to Dec 2025"/>
    <n v="0"/>
    <s v="Not Required"/>
    <m/>
  </r>
  <r>
    <n v="667100"/>
    <s v="Giganto Lea Grace"/>
    <s v="Saipem SpA Abu Dhabi Branch"/>
    <x v="0"/>
    <x v="1"/>
    <s v="Senior local Abu-Dhabi"/>
    <n v="57.21"/>
    <n v="61.93"/>
    <m/>
    <n v="61.93"/>
    <n v="174.91666666666666"/>
    <n v="2099"/>
    <n v="5.7170080990948072E-2"/>
    <n v="5.7170080990948072E-2"/>
    <m/>
    <s v="Perdaman Burrup Urea Project"/>
    <s v="Document Controller"/>
    <n v="120"/>
    <n v="7431.6"/>
    <s v="from Jan to Dec 2025"/>
    <n v="120"/>
    <s v="from Jan to Dec 2025"/>
    <m/>
  </r>
  <r>
    <n v="667100"/>
    <s v="Giganto Lea Grace"/>
    <s v="Saipem SpA Abu Dhabi Branch"/>
    <x v="0"/>
    <x v="1"/>
    <s v="Senior local Abu-Dhabi"/>
    <n v="57.21"/>
    <n v="61.93"/>
    <m/>
    <n v="61.93"/>
    <n v="174.91666666666666"/>
    <n v="2099"/>
    <n v="0.12863268222963317"/>
    <n v="0.12863268222963317"/>
    <m/>
    <s v="Perdaman Burrup Urea Project"/>
    <s v="Document Controller"/>
    <n v="270"/>
    <n v="16721.099999999999"/>
    <s v="from Jan to Jun 2025"/>
    <n v="270"/>
    <s v="from Jan to Jun 2025"/>
    <m/>
  </r>
  <r>
    <n v="667100"/>
    <s v="Giganto Lea Grace"/>
    <s v="Saipem SpA Abu Dhabi Branch"/>
    <x v="0"/>
    <x v="1"/>
    <s v="Senior local Abu-Dhabi"/>
    <n v="57.21"/>
    <n v="61.93"/>
    <m/>
    <n v="61.93"/>
    <n v="174.91666666666666"/>
    <n v="2099"/>
    <n v="0.12863268222963317"/>
    <n v="5.7170080990948072E-2"/>
    <m/>
    <s v="Jafurah Pkg 4"/>
    <s v="Document Controller"/>
    <n v="270"/>
    <n v="16721.099999999999"/>
    <s v="from Jan to Dec 2025"/>
    <n v="120"/>
    <s v="From Jan to Apr 2025"/>
    <m/>
  </r>
  <r>
    <n v="667100"/>
    <s v="Giganto Lea Grace"/>
    <s v="Saipem SpA Abu Dhabi Branch"/>
    <x v="0"/>
    <x v="1"/>
    <s v="Senior local Abu-Dhabi"/>
    <n v="57.21"/>
    <n v="61.93"/>
    <m/>
    <n v="61.93"/>
    <n v="174.91666666666666"/>
    <n v="2099"/>
    <n v="0.25726536445926634"/>
    <n v="9.5283468318246786E-2"/>
    <m/>
    <s v="NGC Phase 1 Project"/>
    <s v="Document Controller"/>
    <n v="540"/>
    <n v="33442.199999999997"/>
    <s v="from Jan to Dec 2025"/>
    <n v="200"/>
    <s v="from Jan to Mar 2025"/>
    <m/>
  </r>
  <r>
    <n v="667100"/>
    <s v="Giganto Lea Grace"/>
    <s v="Saipem SpA Abu Dhabi Branch"/>
    <x v="0"/>
    <x v="1"/>
    <s v="Senior local Abu-Dhabi"/>
    <n v="57.21"/>
    <n v="61.93"/>
    <m/>
    <n v="61.93"/>
    <n v="174.91666666666666"/>
    <n v="2099"/>
    <n v="0.12863268222963317"/>
    <n v="0.12863268222963317"/>
    <m/>
    <s v="Haifa Ammonia Plant"/>
    <s v="Document Controller"/>
    <n v="270"/>
    <n v="16721.099999999999"/>
    <s v="from Jan to Dec 2025"/>
    <n v="270"/>
    <s v="from Jan to Dec 2025"/>
    <m/>
  </r>
  <r>
    <n v="667100"/>
    <s v="Giganto Lea Grace"/>
    <s v="Saipem SpA Abu Dhabi Branch"/>
    <x v="0"/>
    <x v="1"/>
    <s v="Senior local Abu-Dhabi"/>
    <n v="57.21"/>
    <n v="61.93"/>
    <m/>
    <n v="61.93"/>
    <n v="174.91666666666666"/>
    <n v="2099"/>
    <n v="2.4297284421152931E-2"/>
    <n v="0"/>
    <m/>
    <s v="Liverpool Bay WP3"/>
    <s v="Document Controller"/>
    <n v="51"/>
    <n v="3158.43"/>
    <s v="from Nov to Dec 2026"/>
    <m/>
    <s v="Hold - to be reviewed in January 2025, after signing the EPC contract with ENI."/>
    <m/>
  </r>
  <r>
    <n v="667100"/>
    <s v="Giganto Lea Grace"/>
    <s v="Saipem SpA Abu Dhabi Branch"/>
    <x v="0"/>
    <x v="1"/>
    <s v="Senior local Abu-Dhabi"/>
    <n v="57.21"/>
    <n v="61.93"/>
    <m/>
    <n v="61.93"/>
    <n v="174.91666666666666"/>
    <n v="2099"/>
    <n v="0.13387327298713672"/>
    <n v="0"/>
    <m/>
    <s v="Bioraffineria Livorno"/>
    <s v="Document Controller"/>
    <n v="281"/>
    <n v="17402.329999999998"/>
    <s v="from Jan to Dec 2025"/>
    <m/>
    <s v="Pending feedback"/>
    <m/>
  </r>
  <r>
    <n v="667100"/>
    <s v="Giganto Lea Grace"/>
    <s v="Saipem SpA Abu Dhabi Branch"/>
    <x v="0"/>
    <x v="1"/>
    <s v="Senior local Abu-Dhabi"/>
    <n v="57.21"/>
    <n v="61.93"/>
    <m/>
    <n v="61.93"/>
    <n v="174.91666666666666"/>
    <n v="2099"/>
    <n v="0.40257265364459266"/>
    <n v="0.40257265364459266"/>
    <m/>
    <s v="Hail &amp; Ghasha Pkg 1 Island"/>
    <s v="Document Controller, Piping."/>
    <n v="845"/>
    <n v="52330.85"/>
    <s v="from Jan to Dec 2025"/>
    <n v="845"/>
    <s v="from Jan to Dec 2025"/>
    <m/>
  </r>
  <r>
    <n v="667100"/>
    <s v="Giganto Lea Grace"/>
    <s v="Saipem SpA Abu Dhabi Branch"/>
    <x v="0"/>
    <x v="1"/>
    <s v="Senior local Abu-Dhabi"/>
    <n v="57.21"/>
    <n v="61.93"/>
    <m/>
    <n v="61.93"/>
    <n v="174.91666666666666"/>
    <n v="2099"/>
    <n v="2.1438780371605525E-2"/>
    <n v="2.1438780371605525E-2"/>
    <m/>
    <s v="Perdaman Burrup Urea Project"/>
    <s v="Document Controller, Steel Structure."/>
    <n v="45"/>
    <n v="2786.85"/>
    <s v="from Nov 2024 to Mar 2025"/>
    <n v="45"/>
    <s v="from Nov 2024 to Mar 2025"/>
    <m/>
  </r>
  <r>
    <n v="667100"/>
    <s v="Giganto Lea Grace"/>
    <s v="Saipem SpA Abu Dhabi Branch"/>
    <x v="0"/>
    <x v="1"/>
    <s v="Senior local Abu-Dhabi"/>
    <n v="57.21"/>
    <n v="61.93"/>
    <m/>
    <n v="61.93"/>
    <n v="174.91666666666666"/>
    <n v="2099"/>
    <n v="0.25726536445926634"/>
    <n v="0.25726536445926634"/>
    <m/>
    <s v="Hail &amp; Ghasha Pkg 1 Island"/>
    <s v="Document Controller, Steel Structure."/>
    <n v="540"/>
    <n v="33442.199999999997"/>
    <s v="from Jan to Dec 2025"/>
    <n v="540"/>
    <s v="from Jan to Dec 2025"/>
    <m/>
  </r>
  <r>
    <n v="667100"/>
    <s v="Giganto Lea Grace"/>
    <s v="Saipem SpA Abu Dhabi Branch"/>
    <x v="0"/>
    <x v="1"/>
    <s v="Senior local Abu-Dhabi"/>
    <n v="57.21"/>
    <n v="61.93"/>
    <m/>
    <n v="61.93"/>
    <n v="174.91666666666666"/>
    <n v="2099"/>
    <n v="0.15626488804192473"/>
    <n v="0"/>
    <m/>
    <s v="DOW Chinok Plant (LP8)"/>
    <s v="Document Controller."/>
    <n v="328"/>
    <n v="20313.04"/>
    <s v="from Jan to Dec 2025"/>
    <n v="0"/>
    <s v="Not Required"/>
    <m/>
  </r>
  <r>
    <s v="9ON042"/>
    <s v="Gioso Alex"/>
    <s v="Saipem SpA Milan"/>
    <x v="3"/>
    <x v="2"/>
    <s v="Middle Manager Milan"/>
    <n v="82.14"/>
    <n v="88.9"/>
    <m/>
    <n v="88.9"/>
    <n v="140.83333333333334"/>
    <n v="1690"/>
    <n v="4.142011834319527E-2"/>
    <n v="0"/>
    <m/>
    <s v="Perdaman Burrup Urea Project"/>
    <s v="Completion Dossier Setting with AM"/>
    <n v="70"/>
    <n v="6223"/>
    <s v="Q1-Q2-Q3 2025"/>
    <n v="0"/>
    <s v="Not Required"/>
    <m/>
  </r>
  <r>
    <s v="9ON042"/>
    <s v="Gioso Alex"/>
    <s v="Saipem SpA Milan"/>
    <x v="3"/>
    <x v="2"/>
    <s v="Middle Manager Milan"/>
    <n v="82.14"/>
    <n v="88.9"/>
    <m/>
    <n v="88.9"/>
    <n v="140.83333333333334"/>
    <n v="1690"/>
    <n v="4.142011834319527E-2"/>
    <n v="4.142011834319527E-2"/>
    <m/>
    <s v="Hail &amp; Ghasha Pkg 1 Island"/>
    <s v="Completion Dossier Setting with AM"/>
    <n v="70"/>
    <n v="6223"/>
    <s v="Q1-Q2-Q3 2025"/>
    <n v="70"/>
    <s v="Q1-Q2-Q3 2025"/>
    <m/>
  </r>
  <r>
    <s v="9ON042"/>
    <s v="Gioso Alex"/>
    <s v="Saipem SpA Milan"/>
    <x v="3"/>
    <x v="2"/>
    <s v="Middle Manager Milan"/>
    <n v="82.14"/>
    <n v="88.9"/>
    <m/>
    <n v="88.9"/>
    <n v="140.83333333333334"/>
    <n v="1690"/>
    <n v="4.142011834319527E-2"/>
    <n v="4.142011834319527E-2"/>
    <m/>
    <s v="Kaminho FPSO Block 20/11"/>
    <s v="Completion Dossier Setting with AM"/>
    <n v="70"/>
    <n v="6223"/>
    <s v="Q2-Q3-Q4 2025"/>
    <n v="70"/>
    <s v="Q2-Q3-Q4 2025"/>
    <m/>
  </r>
  <r>
    <s v="9ON042"/>
    <s v="Gioso Alex"/>
    <s v="Saipem SpA Milan"/>
    <x v="3"/>
    <x v="2"/>
    <s v="Middle Manager Milan"/>
    <n v="82.14"/>
    <n v="88.9"/>
    <m/>
    <n v="88.9"/>
    <n v="140.83333333333334"/>
    <n v="1690"/>
    <n v="4.142011834319527E-2"/>
    <n v="0"/>
    <m/>
    <s v="Liverpool Bay WP3"/>
    <s v="Completion Dossier Setting with AM"/>
    <n v="70"/>
    <n v="6223"/>
    <s v="Q4 2025"/>
    <m/>
    <s v="Hold - to be reviewed in January 2025, after signing the EPC contract with ENI."/>
    <m/>
  </r>
  <r>
    <s v="9ON042"/>
    <s v="Gioso Alex"/>
    <s v="Saipem SpA Milan"/>
    <x v="3"/>
    <x v="2"/>
    <s v="Middle Manager Milan"/>
    <n v="82.14"/>
    <n v="88.9"/>
    <m/>
    <n v="88.9"/>
    <n v="140.83333333333334"/>
    <n v="1690"/>
    <n v="4.142011834319527E-2"/>
    <n v="4.142011834319527E-2"/>
    <m/>
    <s v="Bioraffineria Livorno"/>
    <s v="Completion Dossier Setting with AM"/>
    <n v="70"/>
    <n v="6223"/>
    <s v="Q1-Q2-Q3 2025"/>
    <n v="70"/>
    <s v="Q1-Q2-Q3 2025"/>
    <m/>
  </r>
  <r>
    <s v="9ON042"/>
    <s v="Gioso Alex"/>
    <s v="Saipem SpA Milan"/>
    <x v="3"/>
    <x v="2"/>
    <s v="Middle Manager Milan"/>
    <n v="82.14"/>
    <n v="88.9"/>
    <m/>
    <n v="88.9"/>
    <n v="140.83333333333334"/>
    <n v="1690"/>
    <n v="4.142011834319527E-2"/>
    <n v="0"/>
    <m/>
    <s v="DOW Chinok Plant (LP8)"/>
    <s v="Completion Dossier Setting with AM"/>
    <n v="70"/>
    <n v="6223"/>
    <s v="Q1-Q2-Q3 2025"/>
    <m/>
    <s v="Hold"/>
    <m/>
  </r>
  <r>
    <s v="9ON042"/>
    <s v="Gioso Alex"/>
    <s v="Saipem SpA Milan"/>
    <x v="3"/>
    <x v="2"/>
    <s v="Middle Manager Milan"/>
    <n v="82.14"/>
    <n v="88.9"/>
    <m/>
    <n v="88.9"/>
    <n v="140.83333333333334"/>
    <n v="1690"/>
    <n v="1.4792899408284023E-2"/>
    <n v="1.4792899408284023E-2"/>
    <m/>
    <s v="Hail &amp; Ghasha Pkg 1 Island"/>
    <s v="DDC (Data Driven Construction) Setting with AM"/>
    <n v="25"/>
    <n v="2222.5"/>
    <s v="Q1-Q2-Q3 2025"/>
    <n v="25"/>
    <s v="Q1-Q2-Q3 2025"/>
    <m/>
  </r>
  <r>
    <s v="9ON042"/>
    <s v="Gioso Alex"/>
    <s v="Saipem SpA Milan"/>
    <x v="3"/>
    <x v="2"/>
    <s v="Middle Manager Milan"/>
    <n v="82.14"/>
    <n v="88.9"/>
    <m/>
    <n v="88.9"/>
    <n v="140.83333333333334"/>
    <n v="1690"/>
    <n v="1.4792899408284023E-2"/>
    <n v="1.4792899408284023E-2"/>
    <m/>
    <s v="Kaminho FPSO Block 20/11"/>
    <s v="DDC (Data Driven Construction) Setting with AM"/>
    <n v="25"/>
    <n v="2222.5"/>
    <s v="Q2-Q3-Q4 2025"/>
    <n v="25"/>
    <s v="Q2-Q3-Q4 2025"/>
    <m/>
  </r>
  <r>
    <s v="9ON042"/>
    <s v="Gioso Alex"/>
    <s v="Saipem SpA Milan"/>
    <x v="3"/>
    <x v="2"/>
    <s v="Middle Manager Milan"/>
    <n v="82.14"/>
    <n v="88.9"/>
    <m/>
    <n v="88.9"/>
    <n v="140.83333333333334"/>
    <n v="1690"/>
    <n v="1.4792899408284023E-2"/>
    <n v="0"/>
    <m/>
    <s v="Liverpool Bay WP3"/>
    <s v="DDC (Data Driven Construction) Setting with AM"/>
    <n v="25"/>
    <n v="2222.5"/>
    <s v="Q4 2025"/>
    <m/>
    <s v="Hold - to be reviewed in January 2025, after signing the EPC contract with ENI."/>
    <m/>
  </r>
  <r>
    <s v="9ON042"/>
    <s v="Gioso Alex"/>
    <s v="Saipem SpA Milan"/>
    <x v="3"/>
    <x v="2"/>
    <s v="Middle Manager Milan"/>
    <n v="82.14"/>
    <n v="88.9"/>
    <m/>
    <n v="88.9"/>
    <n v="140.83333333333334"/>
    <n v="1690"/>
    <n v="1.4792899408284023E-2"/>
    <n v="0"/>
    <m/>
    <s v="Bioraffineria Livorno"/>
    <s v="DDC (Data Driven Construction) Setting with AM"/>
    <n v="25"/>
    <n v="2222.5"/>
    <s v="Q1-Q2-Q3 2025"/>
    <n v="0"/>
    <s v="Not Required"/>
    <m/>
  </r>
  <r>
    <s v="9ON042"/>
    <s v="Gioso Alex"/>
    <s v="Saipem SpA Milan"/>
    <x v="3"/>
    <x v="2"/>
    <s v="Middle Manager Milan"/>
    <n v="82.14"/>
    <n v="88.9"/>
    <m/>
    <n v="88.9"/>
    <n v="140.83333333333334"/>
    <n v="1690"/>
    <n v="1.4792899408284023E-2"/>
    <n v="0"/>
    <m/>
    <s v="DOW Chinok Plant (LP8)"/>
    <s v="DDC (Data Driven Construction) Setting with AM"/>
    <n v="25"/>
    <n v="2222.5"/>
    <s v="Q1-Q2-Q3 2025"/>
    <m/>
    <s v="Hold"/>
    <m/>
  </r>
  <r>
    <s v="9ON042"/>
    <s v="Gioso Alex"/>
    <s v="Saipem SpA Milan"/>
    <x v="3"/>
    <x v="2"/>
    <s v="Middle Manager Milan"/>
    <n v="82.14"/>
    <n v="88.9"/>
    <m/>
    <n v="88.9"/>
    <n v="140.83333333333334"/>
    <n v="1690"/>
    <n v="4.142011834319527E-2"/>
    <n v="4.142011834319527E-2"/>
    <m/>
    <s v="Perdaman Burrup Urea Project"/>
    <s v="Digital Test Pack Setting with AM"/>
    <n v="70"/>
    <n v="6223"/>
    <s v="Q1-Q2-Q3 2025"/>
    <n v="70"/>
    <s v="Q1-Q2-Q3 2025"/>
    <m/>
  </r>
  <r>
    <s v="9ON042"/>
    <s v="Gioso Alex"/>
    <s v="Saipem SpA Milan"/>
    <x v="3"/>
    <x v="2"/>
    <s v="Middle Manager Milan"/>
    <n v="82.14"/>
    <n v="88.9"/>
    <m/>
    <n v="88.9"/>
    <n v="140.83333333333334"/>
    <n v="1690"/>
    <n v="4.142011834319527E-2"/>
    <n v="4.142011834319527E-2"/>
    <m/>
    <s v="Hail &amp; Ghasha Pkg 1 Island"/>
    <s v="Digital Test Pack Setting with AM"/>
    <n v="70"/>
    <n v="6223"/>
    <s v="Q1-Q2-Q3 2025"/>
    <n v="70"/>
    <s v="Q1-Q2-Q3 2025"/>
    <m/>
  </r>
  <r>
    <s v="9ON042"/>
    <s v="Gioso Alex"/>
    <s v="Saipem SpA Milan"/>
    <x v="3"/>
    <x v="2"/>
    <s v="Middle Manager Milan"/>
    <n v="82.14"/>
    <n v="88.9"/>
    <m/>
    <n v="88.9"/>
    <n v="140.83333333333334"/>
    <n v="1690"/>
    <n v="4.142011834319527E-2"/>
    <n v="0"/>
    <m/>
    <s v="Kaminho FPSO Block 20/11"/>
    <s v="Digital Test Pack Setting with AM"/>
    <n v="70"/>
    <n v="6223"/>
    <s v="Q2-Q3-Q4 2025"/>
    <m/>
    <s v="Hold"/>
    <m/>
  </r>
  <r>
    <s v="9ON042"/>
    <s v="Gioso Alex"/>
    <s v="Saipem SpA Milan"/>
    <x v="3"/>
    <x v="2"/>
    <s v="Middle Manager Milan"/>
    <n v="82.14"/>
    <n v="88.9"/>
    <m/>
    <n v="88.9"/>
    <n v="140.83333333333334"/>
    <n v="1690"/>
    <n v="4.142011834319527E-2"/>
    <n v="0"/>
    <m/>
    <s v="Liverpool Bay WP3"/>
    <s v="Digital Test Pack Setting with AM"/>
    <n v="70"/>
    <n v="6223"/>
    <s v="Q4 2025"/>
    <m/>
    <s v="Hold - to be reviewed in January 2025, after signing the EPC contract with ENI."/>
    <m/>
  </r>
  <r>
    <s v="9ON042"/>
    <s v="Gioso Alex"/>
    <s v="Saipem SpA Milan"/>
    <x v="3"/>
    <x v="2"/>
    <s v="Middle Manager Milan"/>
    <n v="82.14"/>
    <n v="88.9"/>
    <m/>
    <n v="88.9"/>
    <n v="140.83333333333334"/>
    <n v="1690"/>
    <n v="4.142011834319527E-2"/>
    <n v="4.142011834319527E-2"/>
    <m/>
    <s v="Bioraffineria Livorno"/>
    <s v="Digital Test Pack Setting with AM"/>
    <n v="70"/>
    <n v="6223"/>
    <s v="Q1-Q2-Q3 2025"/>
    <n v="70"/>
    <s v="Q1-Q2-Q3 2025"/>
    <m/>
  </r>
  <r>
    <s v="9ON042"/>
    <s v="Gioso Alex"/>
    <s v="Saipem SpA Milan"/>
    <x v="3"/>
    <x v="2"/>
    <s v="Middle Manager Milan"/>
    <n v="82.14"/>
    <n v="88.9"/>
    <m/>
    <n v="88.9"/>
    <n v="140.83333333333334"/>
    <n v="1690"/>
    <n v="4.142011834319527E-2"/>
    <n v="0"/>
    <m/>
    <s v="DOW Chinok Plant (LP8)"/>
    <s v="Digital Test Pack Setting with AM"/>
    <n v="70"/>
    <n v="6223"/>
    <s v="Q1-Q2-Q3 2025"/>
    <m/>
    <s v="Hold"/>
    <m/>
  </r>
  <r>
    <s v="9ON042"/>
    <s v="Gioso Alex"/>
    <s v="Saipem SpA Milan"/>
    <x v="3"/>
    <x v="2"/>
    <s v="Middle Manager Milan"/>
    <n v="82.14"/>
    <n v="88.9"/>
    <m/>
    <n v="88.9"/>
    <n v="140.83333333333334"/>
    <n v="1690"/>
    <n v="3.5502958579881658E-2"/>
    <n v="0"/>
    <m/>
    <s v="Perdaman Burrup Urea Project"/>
    <s v="Punch List Setting with AM"/>
    <n v="60"/>
    <n v="5334"/>
    <s v="Q1-Q2-Q3 2025"/>
    <n v="0"/>
    <s v="Not Required"/>
    <m/>
  </r>
  <r>
    <s v="9ON042"/>
    <s v="Gioso Alex"/>
    <s v="Saipem SpA Milan"/>
    <x v="3"/>
    <x v="2"/>
    <s v="Middle Manager Milan"/>
    <n v="82.14"/>
    <n v="88.9"/>
    <m/>
    <n v="88.9"/>
    <n v="140.83333333333334"/>
    <n v="1690"/>
    <n v="3.5502958579881658E-2"/>
    <n v="3.5502958579881658E-2"/>
    <m/>
    <s v="Hail &amp; Ghasha Pkg 1 Island"/>
    <s v="Punch List Setting with AM"/>
    <n v="60"/>
    <n v="5334"/>
    <s v="Q1-Q2-Q3 2025"/>
    <n v="60"/>
    <s v="Q1-Q2-Q3 2025"/>
    <m/>
  </r>
  <r>
    <s v="9ON042"/>
    <s v="Gioso Alex"/>
    <s v="Saipem SpA Milan"/>
    <x v="3"/>
    <x v="2"/>
    <s v="Middle Manager Milan"/>
    <n v="82.14"/>
    <n v="88.9"/>
    <m/>
    <n v="88.9"/>
    <n v="140.83333333333334"/>
    <n v="1690"/>
    <n v="3.5502958579881658E-2"/>
    <n v="0"/>
    <m/>
    <s v="Kaminho FPSO Block 20/11"/>
    <s v="Punch List Setting with AM"/>
    <n v="60"/>
    <n v="5334"/>
    <s v="Q2-Q3-Q4 2025"/>
    <n v="0"/>
    <s v="Not Required"/>
    <m/>
  </r>
  <r>
    <s v="9ON042"/>
    <s v="Gioso Alex"/>
    <s v="Saipem SpA Milan"/>
    <x v="3"/>
    <x v="2"/>
    <s v="Middle Manager Milan"/>
    <n v="82.14"/>
    <n v="88.9"/>
    <m/>
    <n v="88.9"/>
    <n v="140.83333333333334"/>
    <n v="1690"/>
    <n v="3.5502958579881658E-2"/>
    <n v="0"/>
    <m/>
    <s v="Liverpool Bay WP3"/>
    <s v="Punch List Setting with AM"/>
    <n v="60"/>
    <n v="5334"/>
    <s v="Q4 2025"/>
    <m/>
    <s v="Hold - to be reviewed in January 2025, after signing the EPC contract with ENI."/>
    <m/>
  </r>
  <r>
    <s v="9ON042"/>
    <s v="Gioso Alex"/>
    <s v="Saipem SpA Milan"/>
    <x v="3"/>
    <x v="2"/>
    <s v="Middle Manager Milan"/>
    <n v="82.14"/>
    <n v="88.9"/>
    <m/>
    <n v="88.9"/>
    <n v="140.83333333333334"/>
    <n v="1690"/>
    <n v="3.5502958579881658E-2"/>
    <n v="3.5502958579881658E-2"/>
    <m/>
    <s v="Bioraffineria Livorno"/>
    <s v="Punch List Setting with AM"/>
    <n v="60"/>
    <n v="5334"/>
    <s v="Q1-Q2-Q3 2025"/>
    <n v="60"/>
    <s v="Pending feedback"/>
    <m/>
  </r>
  <r>
    <s v="9ON042"/>
    <s v="Gioso Alex"/>
    <s v="Saipem SpA Milan"/>
    <x v="3"/>
    <x v="2"/>
    <s v="Middle Manager Milan"/>
    <n v="82.14"/>
    <n v="88.9"/>
    <m/>
    <n v="88.9"/>
    <n v="140.83333333333334"/>
    <n v="1690"/>
    <n v="3.5502958579881658E-2"/>
    <n v="3.5502958579881658E-2"/>
    <m/>
    <s v="DOW Chinok Plant (LP8)"/>
    <s v="Punch List Setting with AM"/>
    <n v="60"/>
    <n v="5334"/>
    <s v="Q1-Q2-Q3 2025"/>
    <n v="60"/>
    <s v="Q1-Q2-Q3 2025"/>
    <m/>
  </r>
  <r>
    <s v="9ON042"/>
    <s v="Gioso Alex"/>
    <s v="Saipem SpA Milan"/>
    <x v="3"/>
    <x v="2"/>
    <s v="Middle Manager Milan"/>
    <n v="82.14"/>
    <n v="88.9"/>
    <m/>
    <n v="88.9"/>
    <n v="140.83333333333334"/>
    <n v="1690"/>
    <n v="3.5502958579881658E-2"/>
    <n v="0"/>
    <m/>
    <s v="Perdaman Burrup Urea Project"/>
    <s v="Support Management Setting with AM"/>
    <n v="60"/>
    <n v="5334"/>
    <s v="Q1-Q2-Q3 2025"/>
    <n v="0"/>
    <s v="Not Required"/>
    <m/>
  </r>
  <r>
    <s v="9ON042"/>
    <s v="Gioso Alex"/>
    <s v="Saipem SpA Milan"/>
    <x v="3"/>
    <x v="2"/>
    <s v="Middle Manager Milan"/>
    <n v="82.14"/>
    <n v="88.9"/>
    <m/>
    <n v="88.9"/>
    <n v="140.83333333333334"/>
    <n v="1690"/>
    <n v="3.5502958579881658E-2"/>
    <n v="3.5502958579881658E-2"/>
    <m/>
    <s v="Hail &amp; Ghasha Pkg 1 Island"/>
    <s v="Support Management Setting with AM"/>
    <n v="60"/>
    <n v="5334"/>
    <s v="Q1-Q2-Q3 2025"/>
    <n v="60"/>
    <s v="Q1-Q2-Q3 2025"/>
    <m/>
  </r>
  <r>
    <s v="9ON042"/>
    <s v="Gioso Alex"/>
    <s v="Saipem SpA Milan"/>
    <x v="3"/>
    <x v="2"/>
    <s v="Middle Manager Milan"/>
    <n v="82.14"/>
    <n v="88.9"/>
    <m/>
    <n v="88.9"/>
    <n v="140.83333333333334"/>
    <n v="1690"/>
    <n v="3.5502958579881658E-2"/>
    <n v="3.5502958579881658E-2"/>
    <m/>
    <s v="Kaminho FPSO Block 20/11"/>
    <s v="Support Management Setting with AM"/>
    <n v="60"/>
    <n v="5334"/>
    <s v="Q2-Q3-Q4 2025"/>
    <n v="60"/>
    <s v="Q2-Q3-Q4 2025"/>
    <m/>
  </r>
  <r>
    <s v="9ON042"/>
    <s v="Gioso Alex"/>
    <s v="Saipem SpA Milan"/>
    <x v="3"/>
    <x v="2"/>
    <s v="Middle Manager Milan"/>
    <n v="82.14"/>
    <n v="88.9"/>
    <m/>
    <n v="88.9"/>
    <n v="140.83333333333334"/>
    <n v="1690"/>
    <n v="3.5502958579881658E-2"/>
    <n v="0"/>
    <m/>
    <s v="Liverpool Bay WP3"/>
    <s v="Support Management Setting with AM"/>
    <n v="60"/>
    <n v="5334"/>
    <s v="Q4 2025"/>
    <m/>
    <s v="Hold - to be reviewed in January 2025, after signing the EPC contract with ENI."/>
    <m/>
  </r>
  <r>
    <s v="9ON042"/>
    <s v="Gioso Alex"/>
    <s v="Saipem SpA Milan"/>
    <x v="3"/>
    <x v="2"/>
    <s v="Middle Manager Milan"/>
    <n v="82.14"/>
    <n v="88.9"/>
    <m/>
    <n v="88.9"/>
    <n v="140.83333333333334"/>
    <n v="1690"/>
    <n v="3.5502958579881658E-2"/>
    <n v="0"/>
    <m/>
    <s v="Bioraffineria Livorno"/>
    <s v="Support Management Setting with AM"/>
    <n v="60"/>
    <n v="5334"/>
    <s v="Q1-Q2-Q3 2025"/>
    <n v="0"/>
    <s v="Not Required"/>
    <m/>
  </r>
  <r>
    <s v="9ON042"/>
    <s v="Gioso Alex"/>
    <s v="Saipem SpA Milan"/>
    <x v="3"/>
    <x v="2"/>
    <s v="Middle Manager Milan"/>
    <n v="82.14"/>
    <n v="88.9"/>
    <m/>
    <n v="88.9"/>
    <n v="140.83333333333334"/>
    <n v="1690"/>
    <n v="3.5502958579881658E-2"/>
    <n v="3.5502958579881658E-2"/>
    <m/>
    <s v="DOW Chinok Plant (LP8)"/>
    <s v="Support Management Setting with AM"/>
    <n v="60"/>
    <n v="5334"/>
    <s v="Q1-Q2-Q3 2025"/>
    <n v="60"/>
    <s v="Q1-Q2-Q3 2025"/>
    <m/>
  </r>
  <r>
    <s v="667111"/>
    <s v="Gutierrez Sanchez Elba Cecilia"/>
    <s v="Local Agency"/>
    <x v="0"/>
    <x v="0"/>
    <s v="White Collar Local Agency"/>
    <m/>
    <m/>
    <n v="6.25"/>
    <n v="6.25"/>
    <n v="240"/>
    <n v="2880"/>
    <n v="0"/>
    <n v="0"/>
    <s v="proposal demob"/>
    <m/>
    <m/>
    <m/>
    <n v="0"/>
    <m/>
    <m/>
    <m/>
    <m/>
  </r>
  <r>
    <s v="667100"/>
    <s v="Hernandez Dominguez Marco Antonio"/>
    <s v="Saipem SpA Abu Dhabi Branch"/>
    <x v="3"/>
    <x v="1"/>
    <s v="Senior local Abu-Dhabi"/>
    <n v="57.21"/>
    <n v="61.93"/>
    <m/>
    <n v="61.93"/>
    <n v="174.91666666666666"/>
    <n v="2099"/>
    <n v="0.12863268222963317"/>
    <n v="6.4316341114816586E-2"/>
    <m/>
    <s v="Perdaman Burrup Urea Project"/>
    <s v="CARP/TEKLA Power Fab Data Entry Support"/>
    <n v="270"/>
    <n v="16721.099999999999"/>
    <s v="from Jan to Dec 2025"/>
    <n v="135"/>
    <m/>
    <m/>
  </r>
  <r>
    <s v="667100"/>
    <s v="Hernandez Dominguez Marco Antonio"/>
    <s v="Saipem SpA Abu Dhabi Branch"/>
    <x v="3"/>
    <x v="1"/>
    <s v="Senior local Abu-Dhabi"/>
    <n v="57.21"/>
    <n v="61.93"/>
    <m/>
    <n v="61.93"/>
    <n v="174.91666666666666"/>
    <n v="2099"/>
    <n v="0.12863268222963317"/>
    <n v="0.12863268222963317"/>
    <m/>
    <s v="Hail &amp; Ghasha Pkg 1 Island"/>
    <s v="TEKLA Power Fab Data Entry Support"/>
    <n v="270"/>
    <n v="16721.099999999999"/>
    <s v="from Jan to Dec 2025"/>
    <n v="270"/>
    <s v="from Jan to Dec 2025"/>
    <m/>
  </r>
  <r>
    <s v="667100"/>
    <s v="Hernandez Dominguez Marco Antonio"/>
    <s v="Saipem SpA Abu Dhabi Branch"/>
    <x v="3"/>
    <x v="1"/>
    <s v="Senior local Abu-Dhabi"/>
    <n v="57.21"/>
    <n v="61.93"/>
    <m/>
    <n v="61.93"/>
    <n v="174.91666666666666"/>
    <n v="2099"/>
    <n v="0.12863268222963317"/>
    <n v="0"/>
    <m/>
    <s v="Kaminho FPSO Block 20/11"/>
    <s v="CARP/TEKLA Power Fab Data Entry Support"/>
    <n v="270"/>
    <n v="16721.099999999999"/>
    <s v="From Apr to Dec 2025"/>
    <n v="0"/>
    <s v="Not Required"/>
    <m/>
  </r>
  <r>
    <s v="667100"/>
    <s v="Hernandez Dominguez Marco Antonio"/>
    <s v="Saipem SpA Abu Dhabi Branch"/>
    <x v="3"/>
    <x v="1"/>
    <s v="Senior local Abu-Dhabi"/>
    <n v="57.21"/>
    <n v="61.93"/>
    <m/>
    <n v="61.93"/>
    <n v="174.91666666666666"/>
    <n v="2099"/>
    <n v="4.287756074321105E-2"/>
    <n v="0"/>
    <m/>
    <s v="Liverpool Bay WP3"/>
    <s v="CARP/TEKLA Power Fab Data Entry Support"/>
    <n v="90"/>
    <n v="5573.7"/>
    <s v="From Oct to Dec 2025"/>
    <m/>
    <s v="Hold - to be reviewed in January 2025, after signing the EPC contract with ENI."/>
    <m/>
  </r>
  <r>
    <s v="667100"/>
    <s v="Hernandez Dominguez Marco Antonio"/>
    <s v="Saipem SpA Abu Dhabi Branch"/>
    <x v="3"/>
    <x v="1"/>
    <s v="Senior local Abu-Dhabi"/>
    <n v="57.21"/>
    <n v="61.93"/>
    <m/>
    <n v="61.93"/>
    <n v="174.91666666666666"/>
    <n v="2099"/>
    <n v="0.1715102429728442"/>
    <n v="0"/>
    <m/>
    <s v="Bioraffineria Livorno"/>
    <s v="CARP/TEKLA Power Fab Data Entry Support"/>
    <n v="360"/>
    <n v="22294.799999999999"/>
    <s v="from Jan to Dec 2025"/>
    <n v="0"/>
    <s v="Not Required"/>
    <m/>
  </r>
  <r>
    <s v="667100"/>
    <s v="Hernandez Dominguez Marco Antonio"/>
    <s v="Saipem SpA Abu Dhabi Branch"/>
    <x v="3"/>
    <x v="1"/>
    <s v="Senior local Abu-Dhabi"/>
    <n v="57.21"/>
    <n v="61.93"/>
    <m/>
    <n v="61.93"/>
    <n v="174.91666666666666"/>
    <n v="2099"/>
    <n v="0.1715102429728442"/>
    <n v="0"/>
    <m/>
    <s v="DOW Chinok Plant (LP8)"/>
    <s v="CARP/TEKLA Power Fab Data Entry Support"/>
    <n v="360"/>
    <n v="22294.799999999999"/>
    <s v="from Jan to Dec 2025"/>
    <n v="0"/>
    <s v="Not Required"/>
    <m/>
  </r>
  <r>
    <s v="667100"/>
    <s v="Hernandez Dominguez Marco Antonio"/>
    <s v="Saipem SpA Abu Dhabi Branch"/>
    <x v="3"/>
    <x v="1"/>
    <s v="Senior local Abu-Dhabi"/>
    <n v="57.21"/>
    <n v="61.93"/>
    <m/>
    <n v="61.93"/>
    <n v="174.91666666666666"/>
    <n v="2099"/>
    <n v="2.8585040495474036E-2"/>
    <n v="2.8585040495474036E-2"/>
    <m/>
    <s v="Hail &amp; Ghasha Pkg 1 Island"/>
    <s v="TEKLA Power Fab Setting with AM"/>
    <n v="60"/>
    <n v="3715.8"/>
    <s v="Q1-Q2-Q3 2025"/>
    <n v="60"/>
    <s v="Q1-Q2-Q3 2025"/>
    <m/>
  </r>
  <r>
    <s v="667100"/>
    <s v="Hernandez Dominguez Marco Antonio"/>
    <s v="Saipem SpA Abu Dhabi Branch"/>
    <x v="3"/>
    <x v="1"/>
    <s v="Senior local Abu-Dhabi"/>
    <n v="57.21"/>
    <n v="61.93"/>
    <m/>
    <n v="61.93"/>
    <n v="174.91666666666666"/>
    <n v="2099"/>
    <n v="2.8585040495474036E-2"/>
    <n v="0"/>
    <m/>
    <s v="Kaminho FPSO Block 20/11"/>
    <s v="CARP/TEKLA Power Fab Setting with AM"/>
    <n v="60"/>
    <n v="3715.8"/>
    <s v="Q2-Q3-Q4 2025"/>
    <n v="0"/>
    <s v="Not Required"/>
    <m/>
  </r>
  <r>
    <s v="667100"/>
    <s v="Hernandez Dominguez Marco Antonio"/>
    <s v="Saipem SpA Abu Dhabi Branch"/>
    <x v="3"/>
    <x v="1"/>
    <s v="Senior local Abu-Dhabi"/>
    <n v="57.21"/>
    <n v="61.93"/>
    <m/>
    <n v="61.93"/>
    <n v="174.91666666666666"/>
    <n v="2099"/>
    <n v="2.8585040495474036E-2"/>
    <n v="0"/>
    <m/>
    <s v="Liverpool Bay WP3"/>
    <s v="CARP/TEKLA Power Fab Setting with AM"/>
    <n v="60"/>
    <n v="3715.8"/>
    <s v="Q4 2025"/>
    <m/>
    <s v="Hold - to be reviewed in January 2025, after signing the EPC contract with ENI."/>
    <m/>
  </r>
  <r>
    <s v="667100"/>
    <s v="Hernandez Dominguez Marco Antonio"/>
    <s v="Saipem SpA Abu Dhabi Branch"/>
    <x v="3"/>
    <x v="1"/>
    <s v="Senior local Abu-Dhabi"/>
    <n v="57.21"/>
    <n v="61.93"/>
    <m/>
    <n v="61.93"/>
    <n v="174.91666666666666"/>
    <n v="2099"/>
    <n v="2.8585040495474036E-2"/>
    <n v="2.8585040495474036E-2"/>
    <m/>
    <s v="Bioraffineria Livorno"/>
    <s v="CARP/TEKLA Power Fab Setting with AM"/>
    <n v="60"/>
    <n v="3715.8"/>
    <s v="Q1-Q2-Q3 2025"/>
    <n v="60"/>
    <s v="Q1-Q2-Q3 2025"/>
    <m/>
  </r>
  <r>
    <s v="667100"/>
    <s v="Hernandez Dominguez Marco Antonio"/>
    <s v="Saipem SpA Abu Dhabi Branch"/>
    <x v="3"/>
    <x v="1"/>
    <s v="Senior local Abu-Dhabi"/>
    <n v="57.21"/>
    <n v="61.93"/>
    <m/>
    <n v="61.93"/>
    <n v="174.91666666666666"/>
    <n v="2099"/>
    <n v="2.8585040495474036E-2"/>
    <n v="0"/>
    <m/>
    <s v="DOW Chinok Plant (LP8)"/>
    <s v="CARP/TEKLA Power Fab Setting with AM"/>
    <n v="60"/>
    <n v="3715.8"/>
    <s v="Q1-Q2-Q3 2025"/>
    <n v="0"/>
    <s v="Not Required"/>
    <m/>
  </r>
  <r>
    <s v="667100"/>
    <s v="Hernandez Dominguez Marco Antonio"/>
    <s v="Saipem SpA Abu Dhabi Branch"/>
    <x v="3"/>
    <x v="1"/>
    <s v="Senior local Abu-Dhabi"/>
    <n v="57.21"/>
    <n v="61.93"/>
    <m/>
    <n v="61.93"/>
    <n v="174.91666666666666"/>
    <n v="2099"/>
    <n v="1.6674606955693186E-2"/>
    <n v="1.6674606955693186E-2"/>
    <m/>
    <s v="Hail &amp; Ghasha Pkg 1 Island"/>
    <s v="TEKLA Power Fab Training"/>
    <n v="35"/>
    <n v="2167.5500000000002"/>
    <s v="from Jan to Dec 2025"/>
    <n v="35"/>
    <s v="from Jan to Dec 2025"/>
    <m/>
  </r>
  <r>
    <s v="667100"/>
    <s v="Hernandez Dominguez Marco Antonio"/>
    <s v="Saipem SpA Abu Dhabi Branch"/>
    <x v="3"/>
    <x v="1"/>
    <s v="Senior local Abu-Dhabi"/>
    <n v="57.21"/>
    <n v="61.93"/>
    <m/>
    <n v="61.93"/>
    <n v="174.91666666666666"/>
    <n v="2099"/>
    <n v="1.6674606955693186E-2"/>
    <n v="0"/>
    <m/>
    <s v="Kaminho FPSO Block 20/11"/>
    <s v="CARP/TEKLA Power Fab Training"/>
    <n v="35"/>
    <n v="2167.5500000000002"/>
    <s v="From Apr to Dec 2025"/>
    <n v="0"/>
    <s v="Not Required"/>
    <m/>
  </r>
  <r>
    <s v="667100"/>
    <s v="Hernandez Dominguez Marco Antonio"/>
    <s v="Saipem SpA Abu Dhabi Branch"/>
    <x v="3"/>
    <x v="1"/>
    <s v="Senior local Abu-Dhabi"/>
    <n v="57.21"/>
    <n v="61.93"/>
    <m/>
    <n v="61.93"/>
    <n v="174.91666666666666"/>
    <n v="2099"/>
    <n v="1.6674606955693186E-2"/>
    <n v="0"/>
    <m/>
    <s v="Liverpool Bay WP3"/>
    <s v="CARP/TEKLA Power Fab Training"/>
    <n v="35"/>
    <n v="2167.5500000000002"/>
    <s v="From Oct to Dec 2025"/>
    <m/>
    <s v="Hold - to be reviewed in January 2025, after signing the EPC contract with ENI."/>
    <m/>
  </r>
  <r>
    <s v="667100"/>
    <s v="Hernandez Dominguez Marco Antonio"/>
    <s v="Saipem SpA Abu Dhabi Branch"/>
    <x v="3"/>
    <x v="1"/>
    <s v="Senior local Abu-Dhabi"/>
    <n v="57.21"/>
    <n v="61.93"/>
    <m/>
    <n v="61.93"/>
    <n v="174.91666666666666"/>
    <n v="2099"/>
    <n v="1.6674606955693186E-2"/>
    <n v="1.6674606955693186E-2"/>
    <m/>
    <s v="Bioraffineria Livorno"/>
    <s v="CARP/TEKLA Power Fab Training"/>
    <n v="35"/>
    <n v="2167.5500000000002"/>
    <s v="from Jan to Dec 2025"/>
    <n v="35"/>
    <s v="from Jan to Dec 2025"/>
    <m/>
  </r>
  <r>
    <s v="667100"/>
    <s v="Hernandez Dominguez Marco Antonio"/>
    <s v="Saipem SpA Abu Dhabi Branch"/>
    <x v="3"/>
    <x v="1"/>
    <s v="Senior local Abu-Dhabi"/>
    <n v="57.21"/>
    <n v="61.93"/>
    <m/>
    <n v="61.93"/>
    <n v="174.91666666666666"/>
    <n v="2099"/>
    <n v="1.6674606955693186E-2"/>
    <n v="0"/>
    <m/>
    <s v="DOW Chinok Plant (LP8)"/>
    <s v="CARP/TEKLA Power Fab Training"/>
    <n v="35"/>
    <n v="2167.5500000000002"/>
    <s v="from Jan to Dec 2025"/>
    <n v="0"/>
    <s v="Not Required"/>
    <m/>
  </r>
  <r>
    <s v="667111"/>
    <s v="Hernandez Dominguez Jorge Luis"/>
    <s v="Local Agency"/>
    <x v="0"/>
    <x v="0"/>
    <s v="White Collar Local Agency"/>
    <m/>
    <m/>
    <n v="6.25"/>
    <n v="6.25"/>
    <n v="240"/>
    <n v="2880"/>
    <n v="0"/>
    <n v="0"/>
    <m/>
    <m/>
    <m/>
    <m/>
    <n v="0"/>
    <m/>
    <m/>
    <m/>
    <m/>
  </r>
  <r>
    <s v="667111"/>
    <s v="Hidalgo Omar"/>
    <s v="Local Agency"/>
    <x v="0"/>
    <x v="0"/>
    <s v="White Collar Local Agency"/>
    <m/>
    <m/>
    <n v="6.25"/>
    <n v="6.25"/>
    <n v="240"/>
    <n v="2880"/>
    <n v="0"/>
    <n v="0"/>
    <s v="proposal demob"/>
    <m/>
    <m/>
    <m/>
    <n v="0"/>
    <m/>
    <m/>
    <m/>
    <m/>
  </r>
  <r>
    <s v="667111"/>
    <s v="Imam Md Faisal"/>
    <s v="Local Agency"/>
    <x v="0"/>
    <x v="0"/>
    <s v="White Collar Local Agency"/>
    <m/>
    <m/>
    <n v="5.416666666666667"/>
    <n v="5.416666666666667"/>
    <n v="240"/>
    <n v="2880"/>
    <n v="0"/>
    <n v="0"/>
    <s v="HAIL and GHASHA"/>
    <m/>
    <s v="Analisys of Revision"/>
    <m/>
    <n v="0"/>
    <s v="from Jan to Dec 2025"/>
    <m/>
    <m/>
    <m/>
  </r>
  <r>
    <s v="667111"/>
    <s v="Jalando-on John Eric Facun"/>
    <s v="Local Agency"/>
    <x v="0"/>
    <x v="0"/>
    <s v="White Collar Local Agency"/>
    <m/>
    <m/>
    <n v="5.416666666666667"/>
    <n v="5.416666666666667"/>
    <n v="240"/>
    <n v="2880"/>
    <n v="1"/>
    <n v="1"/>
    <m/>
    <s v="Hail &amp; Ghasha Pkg 1 Island"/>
    <s v="Spooling operators - Stick Built no Metallic"/>
    <n v="2880"/>
    <n v="0"/>
    <s v="from Jan to Dec 2025"/>
    <n v="2880"/>
    <s v="from Jan to Dec 2025"/>
    <m/>
  </r>
  <r>
    <s v="667111"/>
    <s v="Jarrar Walid"/>
    <s v="Local Agency"/>
    <x v="3"/>
    <x v="0"/>
    <s v="White Collar Local Agency"/>
    <m/>
    <m/>
    <n v="6.666666666666667"/>
    <n v="6.666666666666667"/>
    <n v="240"/>
    <n v="2880"/>
    <n v="1.6666666666666666E-2"/>
    <n v="0"/>
    <m/>
    <s v="Berri Abu Ali Crude and KGP"/>
    <s v="DDC (Data Driven Construction) 3D Reporting"/>
    <n v="48"/>
    <n v="0"/>
    <s v="from Jan to Dec 2025"/>
    <n v="0"/>
    <s v="Not Required"/>
    <m/>
  </r>
  <r>
    <s v="667111"/>
    <s v="Jarrar Walid"/>
    <s v="Local Agency"/>
    <x v="3"/>
    <x v="0"/>
    <s v="White Collar Local Agency"/>
    <m/>
    <m/>
    <n v="6.666666666666667"/>
    <n v="6.666666666666667"/>
    <n v="240"/>
    <n v="2880"/>
    <n v="1.6666666666666666E-2"/>
    <n v="1.6666666666666666E-2"/>
    <m/>
    <s v="NLNG 7 Bonny Island"/>
    <s v="DDC (Data Driven Construction) 3D Reporting"/>
    <n v="48"/>
    <n v="0"/>
    <s v="from Jan to Dec 2025"/>
    <n v="48"/>
    <s v="from Jan to Dec 2025"/>
    <m/>
  </r>
  <r>
    <s v="667111"/>
    <s v="Jarrar Walid"/>
    <s v="Local Agency"/>
    <x v="3"/>
    <x v="0"/>
    <s v="White Collar Local Agency"/>
    <m/>
    <m/>
    <n v="6.666666666666667"/>
    <n v="6.666666666666667"/>
    <n v="240"/>
    <n v="2880"/>
    <n v="0.05"/>
    <n v="0.05"/>
    <m/>
    <s v="Perdaman Burrup Urea Project"/>
    <s v="DDC (Data Driven Construction) 3D Reporting"/>
    <n v="144"/>
    <n v="0"/>
    <s v="from Jan to Dec 2025"/>
    <n v="144"/>
    <s v="from Jan to Dec 2025"/>
    <m/>
  </r>
  <r>
    <s v="667111"/>
    <s v="Jarrar Walid"/>
    <s v="Local Agency"/>
    <x v="3"/>
    <x v="0"/>
    <s v="White Collar Local Agency"/>
    <m/>
    <m/>
    <n v="6.666666666666667"/>
    <n v="6.666666666666667"/>
    <n v="240"/>
    <n v="2880"/>
    <n v="0.05"/>
    <n v="0.05"/>
    <m/>
    <s v="Hail &amp; Ghasha Pkg 1 Island"/>
    <s v="DDC (Data Driven Construction) 3D Reporting"/>
    <n v="144"/>
    <n v="0"/>
    <s v="from Jan to Dec 2025"/>
    <n v="144"/>
    <s v="from Jan to Dec 2025"/>
    <m/>
  </r>
  <r>
    <s v="667111"/>
    <s v="Jarrar Walid"/>
    <s v="Local Agency"/>
    <x v="3"/>
    <x v="0"/>
    <s v="White Collar Local Agency"/>
    <m/>
    <m/>
    <n v="6.666666666666667"/>
    <n v="6.666666666666667"/>
    <n v="240"/>
    <n v="2880"/>
    <n v="0.05"/>
    <n v="0.05"/>
    <m/>
    <s v="Kaminho FPSO Block 20/11"/>
    <s v="DDC (Data Driven Construction) 3D Reporting"/>
    <n v="144"/>
    <n v="0"/>
    <s v="From Apr to Dec 2025"/>
    <n v="144"/>
    <s v="From Apr to Dec 2025"/>
    <m/>
  </r>
  <r>
    <s v="667111"/>
    <s v="Jarrar Walid"/>
    <s v="Local Agency"/>
    <x v="3"/>
    <x v="0"/>
    <s v="White Collar Local Agency"/>
    <m/>
    <m/>
    <n v="6.666666666666667"/>
    <n v="6.666666666666667"/>
    <n v="240"/>
    <n v="2880"/>
    <n v="1.2500000000000001E-2"/>
    <n v="0"/>
    <m/>
    <s v="Liverpool Bay WP3"/>
    <s v="DDC (Data Driven Construction) 3D Reporting"/>
    <n v="36"/>
    <n v="0"/>
    <s v="From Oct to Dec 2025"/>
    <m/>
    <s v="Hold - to be reviewed in January 2025, after signing the EPC contract with ENI."/>
    <m/>
  </r>
  <r>
    <s v="667111"/>
    <s v="Jarrar Walid"/>
    <s v="Local Agency"/>
    <x v="3"/>
    <x v="0"/>
    <s v="White Collar Local Agency"/>
    <m/>
    <m/>
    <n v="6.666666666666667"/>
    <n v="6.666666666666667"/>
    <n v="240"/>
    <n v="2880"/>
    <n v="0.05"/>
    <n v="0"/>
    <m/>
    <s v="Bioraffineria Livorno"/>
    <s v="DDC (Data Driven Construction) 3D Reporting"/>
    <n v="144"/>
    <n v="0"/>
    <s v="from Jan to Dec 2025"/>
    <n v="0"/>
    <s v="Not Required"/>
    <m/>
  </r>
  <r>
    <s v="667111"/>
    <s v="Jarrar Walid"/>
    <s v="Local Agency"/>
    <x v="3"/>
    <x v="0"/>
    <s v="White Collar Local Agency"/>
    <m/>
    <m/>
    <n v="6.666666666666667"/>
    <n v="6.666666666666667"/>
    <n v="240"/>
    <n v="2880"/>
    <n v="0.05"/>
    <n v="0"/>
    <m/>
    <s v="DOW Chinok Plant (LP8)"/>
    <s v="DDC (Data Driven Construction) 3D Reporting"/>
    <n v="144"/>
    <n v="0"/>
    <s v="from Jan to Dec 2025"/>
    <m/>
    <s v="Hold"/>
    <m/>
  </r>
  <r>
    <s v="667111"/>
    <s v="Jarrar Walid"/>
    <s v="Local Agency"/>
    <x v="3"/>
    <x v="0"/>
    <s v="White Collar Local Agency"/>
    <m/>
    <m/>
    <n v="6.666666666666667"/>
    <n v="6.666666666666667"/>
    <n v="240"/>
    <n v="2880"/>
    <n v="1.6666666666666666E-2"/>
    <n v="1.6666666666666666E-2"/>
    <m/>
    <s v="Marjan Pkg 10"/>
    <s v="DDC (Data Driven Construction) 3D Reporting"/>
    <n v="48"/>
    <n v="0"/>
    <s v="from Jan to Dec 2025"/>
    <n v="48"/>
    <s v="from Jan to Dec 2025"/>
    <m/>
  </r>
  <r>
    <s v="667111"/>
    <s v="Jarrar Walid"/>
    <s v="Local Agency"/>
    <x v="3"/>
    <x v="0"/>
    <s v="White Collar Local Agency"/>
    <m/>
    <m/>
    <n v="6.666666666666667"/>
    <n v="6.666666666666667"/>
    <n v="240"/>
    <n v="2880"/>
    <n v="3.125E-2"/>
    <n v="0"/>
    <m/>
    <s v="Perdaman Burrup Urea Project"/>
    <s v="WiTS (Welding Integrated Tracking System) Data Entry Support"/>
    <n v="90"/>
    <n v="0"/>
    <s v="from Jan to Dec 2025"/>
    <n v="0"/>
    <s v="Not Required"/>
    <m/>
  </r>
  <r>
    <s v="667111"/>
    <s v="Jarrar Walid"/>
    <s v="Local Agency"/>
    <x v="3"/>
    <x v="0"/>
    <s v="White Collar Local Agency"/>
    <m/>
    <m/>
    <n v="6.666666666666667"/>
    <n v="6.666666666666667"/>
    <n v="240"/>
    <n v="2880"/>
    <n v="6.25E-2"/>
    <n v="6.25E-2"/>
    <m/>
    <s v="Haifa Ammonia Plant"/>
    <s v="WiTS (Welding Integrated Tracking System) Data Entry Support"/>
    <n v="180"/>
    <n v="0"/>
    <s v="from Jan to Dec 2025"/>
    <n v="180"/>
    <s v="from Jan to Dec 2025"/>
    <m/>
  </r>
  <r>
    <s v="667111"/>
    <s v="Jarrar Walid"/>
    <s v="Local Agency"/>
    <x v="3"/>
    <x v="0"/>
    <s v="White Collar Local Agency"/>
    <m/>
    <m/>
    <n v="6.666666666666667"/>
    <n v="6.666666666666667"/>
    <n v="240"/>
    <n v="2880"/>
    <n v="0.15625"/>
    <n v="0.15625"/>
    <m/>
    <s v="Hail &amp; Ghasha Pkg 1 Island"/>
    <s v="WiTS (Welding Integrated Tracking System) Data Entry Support"/>
    <n v="450"/>
    <n v="0"/>
    <s v="from Jan to Dec 2025"/>
    <n v="450"/>
    <s v="from Jan to Dec 2025"/>
    <m/>
  </r>
  <r>
    <s v="667111"/>
    <s v="Jarrar Walid"/>
    <s v="Local Agency"/>
    <x v="3"/>
    <x v="0"/>
    <s v="White Collar Local Agency"/>
    <m/>
    <m/>
    <n v="6.666666666666667"/>
    <n v="6.666666666666667"/>
    <n v="240"/>
    <n v="2880"/>
    <n v="3.125E-2"/>
    <n v="0"/>
    <m/>
    <s v="Jafurah Pkg 4"/>
    <s v="WiTS (Welding Integrated Tracking System) Data Entry Support"/>
    <n v="90"/>
    <n v="0"/>
    <s v="from Jan to Dec 2025"/>
    <n v="0"/>
    <s v="Not Required"/>
    <m/>
  </r>
  <r>
    <s v="667111"/>
    <s v="Jarrar Walid"/>
    <s v="Local Agency"/>
    <x v="3"/>
    <x v="0"/>
    <s v="White Collar Local Agency"/>
    <m/>
    <m/>
    <n v="6.666666666666667"/>
    <n v="6.666666666666667"/>
    <n v="240"/>
    <n v="2880"/>
    <n v="3.125E-2"/>
    <n v="0"/>
    <m/>
    <s v="Liverpool Bay WP3"/>
    <s v="WiTS (Welding Integrated Tracking System) Data Entry Support"/>
    <n v="90"/>
    <n v="0"/>
    <s v="From Oct to Dec 2025"/>
    <m/>
    <s v="Hold - to be reviewed in January 2025, after signing the EPC contract with ENI."/>
    <m/>
  </r>
  <r>
    <s v="667111"/>
    <s v="Jarrar Walid"/>
    <s v="Local Agency"/>
    <x v="3"/>
    <x v="0"/>
    <s v="White Collar Local Agency"/>
    <m/>
    <m/>
    <n v="6.666666666666667"/>
    <n v="6.666666666666667"/>
    <n v="240"/>
    <n v="2880"/>
    <n v="0.15972222222222221"/>
    <n v="0.1736111111111111"/>
    <m/>
    <s v="Bioraffineria Livorno"/>
    <s v="WiTS (Welding Integrated Tracking System) Data Entry Support"/>
    <n v="460"/>
    <n v="0"/>
    <s v="from Jan to Dec 2025"/>
    <n v="500"/>
    <s v="from Jan to Dec 2025"/>
    <m/>
  </r>
  <r>
    <s v="667111"/>
    <s v="Jarrar Walid"/>
    <s v="Local Agency"/>
    <x v="3"/>
    <x v="0"/>
    <s v="White Collar Local Agency"/>
    <m/>
    <m/>
    <n v="6.666666666666667"/>
    <n v="6.666666666666667"/>
    <n v="240"/>
    <n v="2880"/>
    <n v="0.15972222222222221"/>
    <n v="0.15972222222222221"/>
    <m/>
    <s v="DOW Chinok Plant (LP8)"/>
    <s v="WiTS (Welding Integrated Tracking System) Data Entry Support"/>
    <n v="460"/>
    <n v="0"/>
    <s v="from Jan to Dec 2025"/>
    <n v="460"/>
    <s v="from Jan to Dec 2025"/>
    <m/>
  </r>
  <r>
    <s v="667111"/>
    <s v="Jarrar Walid"/>
    <s v="Local Agency"/>
    <x v="3"/>
    <x v="0"/>
    <s v="White Collar Local Agency"/>
    <m/>
    <m/>
    <n v="6.666666666666667"/>
    <n v="6.666666666666667"/>
    <n v="240"/>
    <n v="2880"/>
    <n v="2.7777777777777776E-2"/>
    <n v="0"/>
    <m/>
    <s v="NGC Phase 1 Project"/>
    <s v="WiTS (Welding Integrated Tracking System) Data Entry Support"/>
    <n v="80"/>
    <n v="0"/>
    <s v="from Jan to Dec 2025"/>
    <n v="0"/>
    <s v="Not Required"/>
    <m/>
  </r>
  <r>
    <s v="667111"/>
    <s v="Jarrar Walid"/>
    <s v="Local Agency"/>
    <x v="3"/>
    <x v="0"/>
    <s v="White Collar Local Agency"/>
    <m/>
    <m/>
    <n v="6.666666666666667"/>
    <n v="6.666666666666667"/>
    <n v="240"/>
    <n v="2880"/>
    <n v="2.7777777777777776E-2"/>
    <n v="0"/>
    <m/>
    <s v="Congo LNG/Scarabeo 5 Conversion"/>
    <s v="WiTS (Welding Integrated Tracking System) Data Entry Support"/>
    <n v="80"/>
    <n v="0"/>
    <s v="from Jan to Dec 2025"/>
    <n v="0"/>
    <s v="Not Required"/>
    <m/>
  </r>
  <r>
    <s v="667111"/>
    <s v="Juarez Fernando"/>
    <s v="Local Agency"/>
    <x v="0"/>
    <x v="0"/>
    <s v="White Collar Local Agency"/>
    <m/>
    <m/>
    <n v="6.25"/>
    <n v="6.25"/>
    <n v="240"/>
    <n v="2880"/>
    <n v="0"/>
    <n v="0"/>
    <s v="proposal demob"/>
    <m/>
    <m/>
    <m/>
    <n v="0"/>
    <m/>
    <m/>
    <m/>
    <m/>
  </r>
  <r>
    <s v="667111"/>
    <s v="Juarez Mercado Eunice"/>
    <s v="Local Agency"/>
    <x v="0"/>
    <x v="0"/>
    <s v="White Collar Local Agency"/>
    <m/>
    <m/>
    <n v="6.25"/>
    <n v="6.25"/>
    <n v="240"/>
    <n v="2880"/>
    <n v="0"/>
    <n v="0"/>
    <s v="proposal demob"/>
    <m/>
    <m/>
    <m/>
    <n v="0"/>
    <m/>
    <m/>
    <m/>
    <m/>
  </r>
  <r>
    <s v="667111"/>
    <s v="Karukaparambil Antony Francis"/>
    <s v="Local Agency"/>
    <x v="0"/>
    <x v="0"/>
    <s v="White Collar Local Agency"/>
    <m/>
    <m/>
    <n v="5.416666666666667"/>
    <n v="5.416666666666667"/>
    <n v="240"/>
    <n v="2880"/>
    <n v="0"/>
    <n v="0"/>
    <m/>
    <m/>
    <m/>
    <m/>
    <n v="0"/>
    <m/>
    <m/>
    <m/>
    <m/>
  </r>
  <r>
    <s v="667111"/>
    <s v="Kavya JG  Kavya JG "/>
    <s v="Local Agency"/>
    <x v="0"/>
    <x v="0"/>
    <s v="White Collar Local Agency"/>
    <m/>
    <m/>
    <n v="6.25"/>
    <n v="6.25"/>
    <n v="240"/>
    <n v="2880"/>
    <n v="0"/>
    <n v="0"/>
    <m/>
    <m/>
    <m/>
    <m/>
    <n v="0"/>
    <m/>
    <m/>
    <m/>
    <m/>
  </r>
  <r>
    <s v="667100"/>
    <s v="Kazi Ilayas Saeed"/>
    <s v="Saipem SpA Abu Dhabi Branch"/>
    <x v="0"/>
    <x v="1"/>
    <s v="Senior local Abu-Dhabi"/>
    <n v="57.21"/>
    <n v="61.93"/>
    <m/>
    <n v="61.93"/>
    <n v="174.91666666666666"/>
    <n v="2099"/>
    <n v="0.25726536445926634"/>
    <n v="9.5283468318246786E-2"/>
    <m/>
    <s v="Jafurah Pkg 4"/>
    <s v="Spooling Coordinator."/>
    <n v="540"/>
    <n v="33442.199999999997"/>
    <s v="from Jan to Dec 2025"/>
    <n v="200"/>
    <s v="From Jan to Apr 2025"/>
    <m/>
  </r>
  <r>
    <s v="667100"/>
    <s v="Kazi Ilayas Saeed"/>
    <s v="Saipem SpA Abu Dhabi Branch"/>
    <x v="0"/>
    <x v="1"/>
    <s v="Senior local Abu-Dhabi"/>
    <n v="57.21"/>
    <n v="61.93"/>
    <m/>
    <n v="61.93"/>
    <n v="174.91666666666666"/>
    <n v="2099"/>
    <n v="0.25726536445926634"/>
    <n v="0.25726536445926634"/>
    <m/>
    <s v="Haifa Ammonia Plant"/>
    <s v="Spooling Coordinator."/>
    <n v="540"/>
    <n v="33442.199999999997"/>
    <s v="from Jan to Dec 2025"/>
    <n v="540"/>
    <s v="from Jan to Dec 2025"/>
    <m/>
  </r>
  <r>
    <s v="667100"/>
    <s v="Kazi Ilayas Saeed"/>
    <s v="Saipem SpA Abu Dhabi Branch"/>
    <x v="0"/>
    <x v="1"/>
    <s v="Senior local Abu-Dhabi"/>
    <n v="57.21"/>
    <n v="61.93"/>
    <m/>
    <n v="61.93"/>
    <n v="174.91666666666666"/>
    <n v="2099"/>
    <n v="2.4297284421152931E-2"/>
    <n v="0"/>
    <m/>
    <s v="Liverpool Bay WP3"/>
    <s v="Spooling Coordinator."/>
    <n v="51"/>
    <n v="3158.43"/>
    <s v="from Nov to Dec 2026"/>
    <m/>
    <s v="Hold - to be reviewed in January 2025, after signing the EPC contract with ENI."/>
    <m/>
  </r>
  <r>
    <s v="667100"/>
    <s v="Kazi Ilayas Saeed"/>
    <s v="Saipem SpA Abu Dhabi Branch"/>
    <x v="0"/>
    <x v="1"/>
    <s v="Senior local Abu-Dhabi"/>
    <n v="57.21"/>
    <n v="61.93"/>
    <m/>
    <n v="61.93"/>
    <n v="174.91666666666666"/>
    <n v="2099"/>
    <n v="0.5359695092901382"/>
    <n v="0"/>
    <m/>
    <s v="Bioraffineria Livorno"/>
    <s v="Spooling Coordinator."/>
    <n v="1125"/>
    <n v="69671.25"/>
    <s v="from Jan to Dec 2025"/>
    <m/>
    <s v="Pending feedback"/>
    <m/>
  </r>
  <r>
    <s v="667100"/>
    <s v="Kazi Ilayas Saeed"/>
    <s v="Saipem SpA Abu Dhabi Branch"/>
    <x v="0"/>
    <x v="1"/>
    <s v="Senior local Abu-Dhabi"/>
    <n v="57.21"/>
    <n v="61.93"/>
    <m/>
    <n v="61.93"/>
    <n v="174.91666666666666"/>
    <n v="2099"/>
    <n v="0.31252977608384946"/>
    <n v="0"/>
    <m/>
    <s v="DOW Chinok Plant (LP8)"/>
    <s v="Spooling Coordinator."/>
    <n v="656"/>
    <n v="40626.080000000002"/>
    <s v="from Jan to Dec 2025"/>
    <n v="0"/>
    <s v="Not Required"/>
    <m/>
  </r>
  <r>
    <s v="667111"/>
    <s v="Lovidioro Ronnie"/>
    <s v="Local Agency"/>
    <x v="3"/>
    <x v="0"/>
    <s v="White Collar Local Agency"/>
    <m/>
    <m/>
    <n v="7.5"/>
    <n v="7.5"/>
    <n v="240"/>
    <n v="2880"/>
    <n v="0.125"/>
    <n v="3.4722222222222224E-2"/>
    <m/>
    <s v="NGC Phase 1 Project"/>
    <s v="MAGA (Material Management) Data Entry Support"/>
    <n v="360"/>
    <n v="0"/>
    <s v="from Jan to Dec 2025"/>
    <n v="100"/>
    <s v="from Jan to Feb 2025"/>
    <m/>
  </r>
  <r>
    <s v="667111"/>
    <s v="Lovidioro Ronnie"/>
    <s v="Local Agency"/>
    <x v="3"/>
    <x v="0"/>
    <s v="White Collar Local Agency"/>
    <m/>
    <m/>
    <n v="7.5"/>
    <n v="7.5"/>
    <n v="240"/>
    <n v="2880"/>
    <n v="8.3333333333333329E-2"/>
    <n v="0"/>
    <m/>
    <s v="P79"/>
    <s v="MAGA (Material Management) Data Entry Support"/>
    <n v="240"/>
    <n v="0"/>
    <s v="Q1 2025"/>
    <n v="0"/>
    <s v="Not Required"/>
    <m/>
  </r>
  <r>
    <s v="667111"/>
    <s v="Lovidioro Ronnie"/>
    <s v="Local Agency"/>
    <x v="3"/>
    <x v="0"/>
    <s v="White Collar Local Agency"/>
    <m/>
    <m/>
    <n v="7.5"/>
    <n v="7.5"/>
    <n v="240"/>
    <n v="2880"/>
    <n v="0.125"/>
    <n v="0"/>
    <m/>
    <s v="Congo LNG/Scarabeo 5 Conversion"/>
    <s v="MAGA (Material Management) Data Entry Support"/>
    <n v="360"/>
    <n v="0"/>
    <s v="from Jan to Dec 2025"/>
    <n v="0"/>
    <s v="Not Required"/>
    <m/>
  </r>
  <r>
    <s v="667111"/>
    <s v="Lovidioro Ronnie"/>
    <s v="Local Agency"/>
    <x v="3"/>
    <x v="0"/>
    <s v="White Collar Local Agency"/>
    <m/>
    <m/>
    <n v="7.5"/>
    <n v="7.5"/>
    <n v="240"/>
    <n v="2880"/>
    <n v="3.125E-2"/>
    <n v="3.125E-2"/>
    <m/>
    <s v="Perdaman Burrup Urea Project"/>
    <s v="STS (Spool Tracking System) Data Entry Support"/>
    <n v="90"/>
    <n v="0"/>
    <s v="from Jan to Dec 2025"/>
    <n v="90"/>
    <s v="from Jan to Dec 2025"/>
    <m/>
  </r>
  <r>
    <s v="667111"/>
    <s v="Lovidioro Ronnie"/>
    <s v="Local Agency"/>
    <x v="3"/>
    <x v="0"/>
    <s v="White Collar Local Agency"/>
    <m/>
    <m/>
    <n v="7.5"/>
    <n v="7.5"/>
    <n v="240"/>
    <n v="2880"/>
    <n v="3.125E-2"/>
    <n v="3.125E-2"/>
    <m/>
    <s v="Hail &amp; Ghasha Pkg 1 Island"/>
    <s v="STS (Spool Tracking System) Data Entry Support"/>
    <n v="90"/>
    <n v="0"/>
    <s v="from Jan to Dec 2025"/>
    <n v="90"/>
    <s v="from Jan to Dec 2025"/>
    <m/>
  </r>
  <r>
    <s v="667111"/>
    <s v="Lovidioro Ronnie"/>
    <s v="Local Agency"/>
    <x v="3"/>
    <x v="0"/>
    <s v="White Collar Local Agency"/>
    <m/>
    <m/>
    <n v="7.5"/>
    <n v="7.5"/>
    <n v="240"/>
    <n v="2880"/>
    <n v="2.6041666666666668E-2"/>
    <n v="0"/>
    <m/>
    <s v="Kaminho FPSO Block 20/11"/>
    <s v="STS (Spool Tracking System) Data Entry Support"/>
    <n v="75"/>
    <n v="0"/>
    <s v="From Apr to Dec 2025"/>
    <m/>
    <s v="Hold"/>
    <m/>
  </r>
  <r>
    <s v="667111"/>
    <s v="Lovidioro Ronnie"/>
    <s v="Local Agency"/>
    <x v="3"/>
    <x v="0"/>
    <s v="White Collar Local Agency"/>
    <m/>
    <m/>
    <n v="7.5"/>
    <n v="7.5"/>
    <n v="240"/>
    <n v="2880"/>
    <n v="1.0416666666666666E-2"/>
    <n v="0"/>
    <m/>
    <s v="Liverpool Bay WP3"/>
    <s v="STS (Spool Tracking System) Data Entry Support"/>
    <n v="30"/>
    <n v="0"/>
    <s v="From Oct to Dec 2025"/>
    <m/>
    <s v="Hold - to be reviewed in January 2025, after signing the EPC contract with ENI."/>
    <m/>
  </r>
  <r>
    <s v="667111"/>
    <s v="Lovidioro Ronnie"/>
    <s v="Local Agency"/>
    <x v="3"/>
    <x v="0"/>
    <s v="White Collar Local Agency"/>
    <m/>
    <m/>
    <n v="7.5"/>
    <n v="7.5"/>
    <n v="240"/>
    <n v="2880"/>
    <n v="3.125E-2"/>
    <n v="0"/>
    <m/>
    <s v="Bioraffineria Livorno"/>
    <s v="STS (Spool Tracking System) Data Entry Support"/>
    <n v="90"/>
    <n v="0"/>
    <s v="from Jan to Dec 2025"/>
    <n v="0"/>
    <s v="Not Required"/>
    <m/>
  </r>
  <r>
    <s v="667111"/>
    <s v="Lovidioro Ronnie"/>
    <s v="Local Agency"/>
    <x v="3"/>
    <x v="0"/>
    <s v="White Collar Local Agency"/>
    <m/>
    <m/>
    <n v="7.5"/>
    <n v="7.5"/>
    <n v="240"/>
    <n v="2880"/>
    <n v="3.125E-2"/>
    <n v="3.125E-2"/>
    <m/>
    <s v="DOW Chinok Plant (LP8)"/>
    <s v="STS (Spool Tracking System) Data Entry Support"/>
    <n v="90"/>
    <n v="0"/>
    <s v="from Jan to Dec 2025"/>
    <n v="90"/>
    <s v="from Jan to Dec 2025"/>
    <m/>
  </r>
  <r>
    <s v="667111"/>
    <s v="Lovidioro Ronnie"/>
    <s v="Local Agency"/>
    <x v="3"/>
    <x v="0"/>
    <s v="White Collar Local Agency"/>
    <m/>
    <m/>
    <n v="7.5"/>
    <n v="7.5"/>
    <n v="240"/>
    <n v="2880"/>
    <n v="3.125E-2"/>
    <n v="0"/>
    <m/>
    <s v="NLNG 7 Bonny Island"/>
    <s v="WiTS (Welding Integrated Tracking System) Data Entry Support"/>
    <n v="90"/>
    <n v="0"/>
    <s v="from Jan to Dec 2025"/>
    <n v="0"/>
    <s v="Not Required"/>
    <m/>
  </r>
  <r>
    <s v="667111"/>
    <s v="Lovidioro Ronnie"/>
    <s v="Local Agency"/>
    <x v="3"/>
    <x v="0"/>
    <s v="White Collar Local Agency"/>
    <m/>
    <m/>
    <n v="7.5"/>
    <n v="7.5"/>
    <n v="240"/>
    <n v="2880"/>
    <n v="3.125E-2"/>
    <n v="0"/>
    <m/>
    <s v="Perdaman Burrup Urea Project"/>
    <s v="WiTS (Welding Integrated Tracking System) Data Entry Support"/>
    <n v="90"/>
    <n v="0"/>
    <s v="from Jan to Dec 2025"/>
    <n v="0"/>
    <s v="Not Required"/>
    <m/>
  </r>
  <r>
    <s v="667111"/>
    <s v="Lovidioro Ronnie"/>
    <s v="Local Agency"/>
    <x v="3"/>
    <x v="0"/>
    <s v="White Collar Local Agency"/>
    <m/>
    <m/>
    <n v="7.5"/>
    <n v="7.5"/>
    <n v="240"/>
    <n v="2880"/>
    <n v="3.125E-2"/>
    <n v="3.125E-2"/>
    <m/>
    <s v="Haifa Ammonia Plant"/>
    <s v="WiTS (Welding Integrated Tracking System) Data Entry Support"/>
    <n v="90"/>
    <n v="0"/>
    <s v="from Jan to Dec 2025"/>
    <n v="90"/>
    <s v="from Jan to Dec 2025"/>
    <m/>
  </r>
  <r>
    <s v="667111"/>
    <s v="Lovidioro Ronnie"/>
    <s v="Local Agency"/>
    <x v="3"/>
    <x v="0"/>
    <s v="White Collar Local Agency"/>
    <m/>
    <m/>
    <n v="7.5"/>
    <n v="7.5"/>
    <n v="240"/>
    <n v="2880"/>
    <n v="3.125E-2"/>
    <n v="0"/>
    <m/>
    <s v="Jafurah Pkg 4"/>
    <s v="WiTS (Welding Integrated Tracking System) Data Entry Support"/>
    <n v="90"/>
    <n v="0"/>
    <s v="from Jan to Dec 2025"/>
    <n v="0"/>
    <s v="Not Required"/>
    <m/>
  </r>
  <r>
    <s v="667111"/>
    <s v="Lovidioro Ronnie"/>
    <s v="Local Agency"/>
    <x v="3"/>
    <x v="0"/>
    <s v="White Collar Local Agency"/>
    <m/>
    <m/>
    <n v="7.5"/>
    <n v="7.5"/>
    <n v="240"/>
    <n v="2880"/>
    <n v="0.125"/>
    <n v="0"/>
    <m/>
    <s v="Bioraffineria Livorno"/>
    <s v="WiTS (Welding Integrated Tracking System) Data Entry Support"/>
    <n v="360"/>
    <n v="0"/>
    <s v="from Jan to Dec 2025"/>
    <n v="0"/>
    <s v="Not Required"/>
    <m/>
  </r>
  <r>
    <s v="667111"/>
    <s v="Lovidioro Ronnie"/>
    <s v="Local Agency"/>
    <x v="3"/>
    <x v="0"/>
    <s v="White Collar Local Agency"/>
    <m/>
    <m/>
    <n v="7.5"/>
    <n v="7.5"/>
    <n v="240"/>
    <n v="2880"/>
    <n v="0.125"/>
    <n v="0.125"/>
    <m/>
    <s v="DOW Chinok Plant (LP8)"/>
    <s v="WiTS (Welding Integrated Tracking System) Data Entry Support"/>
    <n v="360"/>
    <n v="0"/>
    <s v="from Jan to Dec 2025"/>
    <n v="360"/>
    <s v="from Jan to Dec 2025"/>
    <m/>
  </r>
  <r>
    <s v="667111"/>
    <s v="Lovidioro Ronnie"/>
    <s v="Local Agency"/>
    <x v="3"/>
    <x v="0"/>
    <s v="White Collar Local Agency"/>
    <m/>
    <m/>
    <n v="7.5"/>
    <n v="7.5"/>
    <n v="240"/>
    <n v="2880"/>
    <n v="6.25E-2"/>
    <n v="6.0763888888888888E-2"/>
    <m/>
    <s v="NGC Phase 1 Project"/>
    <s v="WiTS (Welding Integrated Tracking System) Data Entry Support"/>
    <n v="180"/>
    <n v="0"/>
    <s v="from Jan to Dec 2025"/>
    <n v="175"/>
    <s v="from Jan to Jun 2025"/>
    <m/>
  </r>
  <r>
    <s v="667111"/>
    <s v="Lovidioro Ronnie"/>
    <s v="Local Agency"/>
    <x v="3"/>
    <x v="0"/>
    <s v="White Collar Local Agency"/>
    <m/>
    <m/>
    <n v="7.5"/>
    <n v="7.5"/>
    <n v="240"/>
    <n v="2880"/>
    <n v="6.25E-2"/>
    <n v="0"/>
    <m/>
    <s v="Congo LNG/Scarabeo 5 Conversion"/>
    <s v="WiTS (Welding Integrated Tracking System) Data Entry Support"/>
    <n v="180"/>
    <n v="0"/>
    <s v="from Jan to Dec 2025"/>
    <n v="0"/>
    <s v="Not Required"/>
    <m/>
  </r>
  <r>
    <s v="667111"/>
    <s v="Macias Ojeda Mariano Marco Antonio"/>
    <s v="Local Agency"/>
    <x v="0"/>
    <x v="0"/>
    <s v="White Collar Local Agency"/>
    <m/>
    <m/>
    <n v="5.416666666666667"/>
    <n v="5.416666666666667"/>
    <n v="240"/>
    <n v="2880"/>
    <n v="1"/>
    <n v="1"/>
    <m/>
    <s v="Hail &amp; Ghasha Pkg 1 Island"/>
    <s v="Spooling operators - PARs Technomak"/>
    <n v="2880"/>
    <n v="0"/>
    <s v="from Jan to Dec 2025"/>
    <n v="2880"/>
    <s v="from Jan to Dec 2025"/>
    <m/>
  </r>
  <r>
    <s v="667111"/>
    <s v="Mahesa Putra Benny"/>
    <s v="Local Agency"/>
    <x v="0"/>
    <x v="0"/>
    <s v="White Collar Local Agency"/>
    <m/>
    <m/>
    <n v="5.416666666666667"/>
    <n v="5.416666666666667"/>
    <n v="240"/>
    <n v="2880"/>
    <n v="1"/>
    <n v="1"/>
    <m/>
    <s v="Hail &amp; Ghasha Pkg 1 Island"/>
    <s v="Spooling operators - Stick Built EPIC"/>
    <n v="2880"/>
    <n v="0"/>
    <s v="from Jan to Dec 2025"/>
    <n v="2880"/>
    <s v="from Jan to Dec 2025"/>
    <m/>
  </r>
  <r>
    <s v="667100"/>
    <s v="Manansala Fermin"/>
    <s v="Saipem SpA Abu Dhabi Branch"/>
    <x v="3"/>
    <x v="1"/>
    <s v="Senior local Abu-Dhabi"/>
    <n v="57.21"/>
    <n v="61.93"/>
    <m/>
    <n v="61.93"/>
    <n v="174.91666666666666"/>
    <n v="2099"/>
    <n v="0.1715102429728442"/>
    <n v="0"/>
    <m/>
    <s v="NGC Phase 1 Project"/>
    <s v="MAGA (Material Management) Data Entry Support"/>
    <n v="360"/>
    <n v="22294.799999999999"/>
    <s v="from Jan to Dec 2025"/>
    <n v="0"/>
    <s v="Not Required"/>
    <m/>
  </r>
  <r>
    <s v="667100"/>
    <s v="Manansala Fermin"/>
    <s v="Saipem SpA Abu Dhabi Branch"/>
    <x v="3"/>
    <x v="1"/>
    <s v="Senior local Abu-Dhabi"/>
    <n v="57.21"/>
    <n v="61.93"/>
    <m/>
    <n v="61.93"/>
    <n v="174.91666666666666"/>
    <n v="2099"/>
    <n v="0.11434016198189614"/>
    <n v="0"/>
    <m/>
    <s v="P79"/>
    <s v="MAGA (Material Management) Data Entry Support"/>
    <n v="240"/>
    <n v="14863.2"/>
    <s v="Q1 2025"/>
    <n v="0"/>
    <s v="Not Required"/>
    <m/>
  </r>
  <r>
    <s v="667100"/>
    <s v="Manansala Fermin"/>
    <s v="Saipem SpA Abu Dhabi Branch"/>
    <x v="3"/>
    <x v="1"/>
    <s v="Senior local Abu-Dhabi"/>
    <n v="57.21"/>
    <n v="61.93"/>
    <m/>
    <n v="61.93"/>
    <n v="174.91666666666666"/>
    <n v="2099"/>
    <n v="0.1715102429728442"/>
    <n v="0"/>
    <m/>
    <s v="Congo LNG/Scarabeo 5 Conversion"/>
    <s v="MAGA (Material Management) Data Entry Support"/>
    <n v="360"/>
    <n v="22294.799999999999"/>
    <s v="from Jan to Dec 2025"/>
    <n v="0"/>
    <s v="Not Required"/>
    <m/>
  </r>
  <r>
    <s v="667100"/>
    <s v="Manansala Fermin"/>
    <s v="Saipem SpA Abu Dhabi Branch"/>
    <x v="3"/>
    <x v="1"/>
    <s v="Senior local Abu-Dhabi"/>
    <n v="57.21"/>
    <n v="61.93"/>
    <m/>
    <n v="61.93"/>
    <n v="174.91666666666666"/>
    <n v="2099"/>
    <n v="2.8585040495474036E-2"/>
    <n v="2.8585040495474036E-2"/>
    <m/>
    <s v="Hail &amp; Ghasha Pkg 1 Island"/>
    <s v="MAGA (Material Management) Setting with AM"/>
    <n v="60"/>
    <n v="3715.8"/>
    <s v="Q1-Q2-Q3 2025"/>
    <n v="60"/>
    <s v="Q1-Q2-Q3 2025"/>
    <m/>
  </r>
  <r>
    <s v="667100"/>
    <s v="Manansala Fermin"/>
    <s v="Saipem SpA Abu Dhabi Branch"/>
    <x v="3"/>
    <x v="1"/>
    <s v="Senior local Abu-Dhabi"/>
    <n v="57.21"/>
    <n v="61.93"/>
    <m/>
    <n v="61.93"/>
    <n v="174.91666666666666"/>
    <n v="2099"/>
    <n v="2.8585040495474036E-2"/>
    <n v="2.8585040495474036E-2"/>
    <m/>
    <s v="Kaminho FPSO Block 20/11"/>
    <s v="MAGA (Material Management) Setting with AM"/>
    <n v="60"/>
    <n v="3715.8"/>
    <s v="Q2-Q3-Q4 2025"/>
    <n v="60"/>
    <s v="Q2-Q3-Q4 2025"/>
    <m/>
  </r>
  <r>
    <s v="667100"/>
    <s v="Manansala Fermin"/>
    <s v="Saipem SpA Abu Dhabi Branch"/>
    <x v="3"/>
    <x v="1"/>
    <s v="Senior local Abu-Dhabi"/>
    <n v="57.21"/>
    <n v="61.93"/>
    <m/>
    <n v="61.93"/>
    <n v="174.91666666666666"/>
    <n v="2099"/>
    <n v="2.8585040495474036E-2"/>
    <n v="0"/>
    <m/>
    <s v="Liverpool Bay WP3"/>
    <s v="MAGA (Material Management) Setting with AM"/>
    <n v="60"/>
    <n v="3715.8"/>
    <s v="Q4 2025"/>
    <m/>
    <s v="Hold - to be reviewed in January 2025, after signing the EPC contract with ENI."/>
    <m/>
  </r>
  <r>
    <s v="667100"/>
    <s v="Manansala Fermin"/>
    <s v="Saipem SpA Abu Dhabi Branch"/>
    <x v="3"/>
    <x v="1"/>
    <s v="Senior local Abu-Dhabi"/>
    <n v="57.21"/>
    <n v="61.93"/>
    <m/>
    <n v="61.93"/>
    <n v="174.91666666666666"/>
    <n v="2099"/>
    <n v="2.8585040495474036E-2"/>
    <n v="0"/>
    <m/>
    <s v="Bioraffineria Livorno"/>
    <s v="MAGA (Material Management) Setting with AM"/>
    <n v="60"/>
    <n v="3715.8"/>
    <s v="Q1-Q2-Q3 2025"/>
    <n v="0"/>
    <s v="Not Required"/>
    <m/>
  </r>
  <r>
    <s v="667100"/>
    <s v="Manansala Fermin"/>
    <s v="Saipem SpA Abu Dhabi Branch"/>
    <x v="3"/>
    <x v="1"/>
    <s v="Senior local Abu-Dhabi"/>
    <n v="57.21"/>
    <n v="61.93"/>
    <m/>
    <n v="61.93"/>
    <n v="174.91666666666666"/>
    <n v="2099"/>
    <n v="2.8585040495474036E-2"/>
    <n v="2.8585040495474036E-2"/>
    <m/>
    <s v="DOW Chinok Plant (LP8)"/>
    <s v="MAGA (Material Management) Setting with AM"/>
    <n v="60"/>
    <n v="3715.8"/>
    <s v="Q1-Q2-Q3 2025"/>
    <n v="60"/>
    <s v="Q1-Q2-Q3 2025"/>
    <m/>
  </r>
  <r>
    <s v="667100"/>
    <s v="Manansala Fermin"/>
    <s v="Saipem SpA Abu Dhabi Branch"/>
    <x v="3"/>
    <x v="1"/>
    <s v="Senior local Abu-Dhabi"/>
    <n v="57.21"/>
    <n v="61.93"/>
    <m/>
    <n v="61.93"/>
    <n v="174.91666666666666"/>
    <n v="2099"/>
    <n v="3.3349213911386372E-2"/>
    <n v="3.3349213911386372E-2"/>
    <m/>
    <s v="Hail &amp; Ghasha Pkg 1 Island"/>
    <s v="MAGA (Material Management) Training"/>
    <n v="70"/>
    <n v="4335.1000000000004"/>
    <s v="Q1-Q2-Q3 2025"/>
    <n v="70"/>
    <s v="Q1-Q2-Q3 2025"/>
    <m/>
  </r>
  <r>
    <s v="667100"/>
    <s v="Manansala Fermin"/>
    <s v="Saipem SpA Abu Dhabi Branch"/>
    <x v="3"/>
    <x v="1"/>
    <s v="Senior local Abu-Dhabi"/>
    <n v="57.21"/>
    <n v="61.93"/>
    <m/>
    <n v="61.93"/>
    <n v="174.91666666666666"/>
    <n v="2099"/>
    <n v="3.3349213911386372E-2"/>
    <n v="0"/>
    <m/>
    <s v="Kaminho FPSO Block 20/11"/>
    <s v="MAGA (Material Management) Training"/>
    <n v="70"/>
    <n v="4335.1000000000004"/>
    <s v="Q2-Q3-Q4 2025"/>
    <n v="0"/>
    <s v="Not Required"/>
    <m/>
  </r>
  <r>
    <s v="667100"/>
    <s v="Manansala Fermin"/>
    <s v="Saipem SpA Abu Dhabi Branch"/>
    <x v="3"/>
    <x v="1"/>
    <s v="Senior local Abu-Dhabi"/>
    <n v="57.21"/>
    <n v="61.93"/>
    <m/>
    <n v="61.93"/>
    <n v="174.91666666666666"/>
    <n v="2099"/>
    <n v="3.3349213911386372E-2"/>
    <n v="0"/>
    <m/>
    <s v="Liverpool Bay WP3"/>
    <s v="MAGA (Material Management) Training"/>
    <n v="70"/>
    <n v="4335.1000000000004"/>
    <s v="Q4 2025"/>
    <m/>
    <s v="Hold - to be reviewed in January 2025, after signing the EPC contract with ENI."/>
    <m/>
  </r>
  <r>
    <s v="667100"/>
    <s v="Manansala Fermin"/>
    <s v="Saipem SpA Abu Dhabi Branch"/>
    <x v="3"/>
    <x v="1"/>
    <s v="Senior local Abu-Dhabi"/>
    <n v="57.21"/>
    <n v="61.93"/>
    <m/>
    <n v="61.93"/>
    <n v="174.91666666666666"/>
    <n v="2099"/>
    <n v="3.3349213911386372E-2"/>
    <n v="0"/>
    <m/>
    <s v="Bioraffineria Livorno"/>
    <s v="MAGA (Material Management) Training"/>
    <n v="70"/>
    <n v="4335.1000000000004"/>
    <s v="Q1-Q2-Q3 2025"/>
    <n v="0"/>
    <s v="Not Required"/>
    <m/>
  </r>
  <r>
    <s v="667100"/>
    <s v="Manansala Fermin"/>
    <s v="Saipem SpA Abu Dhabi Branch"/>
    <x v="3"/>
    <x v="1"/>
    <s v="Senior local Abu-Dhabi"/>
    <n v="57.21"/>
    <n v="61.93"/>
    <m/>
    <n v="61.93"/>
    <n v="174.91666666666666"/>
    <n v="2099"/>
    <n v="3.3349213911386372E-2"/>
    <n v="3.3349213911386372E-2"/>
    <m/>
    <s v="DOW Chinok Plant (LP8)"/>
    <s v="MAGA (Material Management) Training"/>
    <n v="70"/>
    <n v="4335.1000000000004"/>
    <s v="Q1-Q2-Q3 2025"/>
    <n v="70"/>
    <s v="Q1-Q2-Q3 2025"/>
    <m/>
  </r>
  <r>
    <s v="667100"/>
    <s v="Manansala Fermin"/>
    <s v="Saipem SpA Abu Dhabi Branch"/>
    <x v="3"/>
    <x v="1"/>
    <s v="Senior local Abu-Dhabi"/>
    <n v="57.21"/>
    <n v="61.93"/>
    <m/>
    <n v="61.93"/>
    <n v="174.91666666666666"/>
    <n v="2099"/>
    <n v="2.8585040495474036E-2"/>
    <n v="2.8585040495474036E-2"/>
    <m/>
    <s v="Hail &amp; Ghasha Pkg 1 Island"/>
    <s v="PRESERVATION Setting with AM"/>
    <n v="60"/>
    <n v="3715.8"/>
    <s v="Q1-Q2-Q3 2025"/>
    <n v="60"/>
    <s v="Q1-Q2-Q3 2025"/>
    <m/>
  </r>
  <r>
    <s v="667100"/>
    <s v="Manansala Fermin"/>
    <s v="Saipem SpA Abu Dhabi Branch"/>
    <x v="3"/>
    <x v="1"/>
    <s v="Senior local Abu-Dhabi"/>
    <n v="57.21"/>
    <n v="61.93"/>
    <m/>
    <n v="61.93"/>
    <n v="174.91666666666666"/>
    <n v="2099"/>
    <n v="2.8585040495474036E-2"/>
    <n v="2.8585040495474036E-2"/>
    <m/>
    <s v="Kaminho FPSO Block 20/11"/>
    <s v="PRESERVATION Setting with AM"/>
    <n v="60"/>
    <n v="3715.8"/>
    <s v="Q2-Q3-Q4 2025"/>
    <n v="60"/>
    <s v="Q2-Q3-Q4 2025"/>
    <m/>
  </r>
  <r>
    <s v="667100"/>
    <s v="Manansala Fermin"/>
    <s v="Saipem SpA Abu Dhabi Branch"/>
    <x v="3"/>
    <x v="1"/>
    <s v="Senior local Abu-Dhabi"/>
    <n v="57.21"/>
    <n v="61.93"/>
    <m/>
    <n v="61.93"/>
    <n v="174.91666666666666"/>
    <n v="2099"/>
    <n v="2.8585040495474036E-2"/>
    <n v="0"/>
    <m/>
    <s v="Liverpool Bay WP3"/>
    <s v="PRESERVATION Setting with AM"/>
    <n v="60"/>
    <n v="3715.8"/>
    <s v="Q4 2025"/>
    <m/>
    <s v="Hold - to be reviewed in January 2025, after signing the EPC contract with ENI."/>
    <m/>
  </r>
  <r>
    <s v="667100"/>
    <s v="Manansala Fermin"/>
    <s v="Saipem SpA Abu Dhabi Branch"/>
    <x v="3"/>
    <x v="1"/>
    <s v="Senior local Abu-Dhabi"/>
    <n v="57.21"/>
    <n v="61.93"/>
    <m/>
    <n v="61.93"/>
    <n v="174.91666666666666"/>
    <n v="2099"/>
    <n v="2.8585040495474036E-2"/>
    <n v="2.8585040495474036E-2"/>
    <m/>
    <s v="Bioraffineria Livorno"/>
    <s v="PRESERVATION Setting with AM"/>
    <n v="60"/>
    <n v="3715.8"/>
    <s v="Q1-Q2-Q3 2025"/>
    <n v="60"/>
    <s v="Pending feedback"/>
    <m/>
  </r>
  <r>
    <s v="667100"/>
    <s v="Manansala Fermin"/>
    <s v="Saipem SpA Abu Dhabi Branch"/>
    <x v="3"/>
    <x v="1"/>
    <s v="Senior local Abu-Dhabi"/>
    <n v="57.21"/>
    <n v="61.93"/>
    <m/>
    <n v="61.93"/>
    <n v="174.91666666666666"/>
    <n v="2099"/>
    <n v="2.8585040495474036E-2"/>
    <n v="2.8585040495474036E-2"/>
    <m/>
    <s v="DOW Chinok Plant (LP8)"/>
    <s v="PRESERVATION Setting with AM"/>
    <n v="60"/>
    <n v="3715.8"/>
    <s v="Q1-Q2-Q3 2025"/>
    <n v="60"/>
    <s v="Q1-Q2-Q3 2025"/>
    <m/>
  </r>
  <r>
    <s v="667100"/>
    <s v="Manansala Fermin"/>
    <s v="Saipem SpA Abu Dhabi Branch"/>
    <x v="3"/>
    <x v="1"/>
    <s v="Senior local Abu-Dhabi"/>
    <n v="57.21"/>
    <n v="61.93"/>
    <m/>
    <n v="61.93"/>
    <n v="174.91666666666666"/>
    <n v="2099"/>
    <n v="3.3349213911386372E-2"/>
    <n v="3.3349213911386372E-2"/>
    <m/>
    <s v="Hail &amp; Ghasha Pkg 1 Island"/>
    <s v="PRESERVATION Training"/>
    <n v="70"/>
    <n v="4335.1000000000004"/>
    <s v="Q1-Q2-Q3 2025"/>
    <n v="70"/>
    <s v="Q1-Q2-Q3 2025"/>
    <m/>
  </r>
  <r>
    <s v="667100"/>
    <s v="Manansala Fermin"/>
    <s v="Saipem SpA Abu Dhabi Branch"/>
    <x v="3"/>
    <x v="1"/>
    <s v="Senior local Abu-Dhabi"/>
    <n v="57.21"/>
    <n v="61.93"/>
    <m/>
    <n v="61.93"/>
    <n v="174.91666666666666"/>
    <n v="2099"/>
    <n v="3.3349213911386372E-2"/>
    <n v="3.3349213911386372E-2"/>
    <m/>
    <s v="Kaminho FPSO Block 20/11"/>
    <s v="PRESERVATION Training"/>
    <n v="70"/>
    <n v="4335.1000000000004"/>
    <s v="Q2-Q3-Q4 2025"/>
    <n v="70"/>
    <s v="Q2-Q3-Q4 2025"/>
    <m/>
  </r>
  <r>
    <s v="667100"/>
    <s v="Manansala Fermin"/>
    <s v="Saipem SpA Abu Dhabi Branch"/>
    <x v="3"/>
    <x v="1"/>
    <s v="Senior local Abu-Dhabi"/>
    <n v="57.21"/>
    <n v="61.93"/>
    <m/>
    <n v="61.93"/>
    <n v="174.91666666666666"/>
    <n v="2099"/>
    <n v="3.3349213911386372E-2"/>
    <n v="0"/>
    <m/>
    <s v="Liverpool Bay WP3"/>
    <s v="PRESERVATION Training"/>
    <n v="70"/>
    <n v="4335.1000000000004"/>
    <s v="Q4 2025"/>
    <m/>
    <s v="Hold - to be reviewed in January 2025, after signing the EPC contract with ENI."/>
    <m/>
  </r>
  <r>
    <s v="667100"/>
    <s v="Manansala Fermin"/>
    <s v="Saipem SpA Abu Dhabi Branch"/>
    <x v="3"/>
    <x v="1"/>
    <s v="Senior local Abu-Dhabi"/>
    <n v="57.21"/>
    <n v="61.93"/>
    <m/>
    <n v="61.93"/>
    <n v="174.91666666666666"/>
    <n v="2099"/>
    <n v="3.3349213911386372E-2"/>
    <n v="3.3349213911386372E-2"/>
    <m/>
    <s v="Bioraffineria Livorno"/>
    <s v="PRESERVATION Training"/>
    <n v="70"/>
    <n v="4335.1000000000004"/>
    <s v="Q1-Q2-Q3 2025"/>
    <n v="70"/>
    <s v="Pending feedback"/>
    <m/>
  </r>
  <r>
    <s v="667100"/>
    <s v="Manansala Fermin"/>
    <s v="Saipem SpA Abu Dhabi Branch"/>
    <x v="3"/>
    <x v="1"/>
    <s v="Senior local Abu-Dhabi"/>
    <n v="57.21"/>
    <n v="61.93"/>
    <m/>
    <n v="61.93"/>
    <n v="174.91666666666666"/>
    <n v="2099"/>
    <n v="3.3349213911386372E-2"/>
    <n v="3.3349213911386372E-2"/>
    <m/>
    <s v="DOW Chinok Plant (LP8)"/>
    <s v="PRESERVATION Training"/>
    <n v="70"/>
    <n v="4335.1000000000004"/>
    <s v="Q1-Q2-Q3 2025"/>
    <n v="70"/>
    <s v="Q1-Q2-Q3 2025"/>
    <m/>
  </r>
  <r>
    <s v="667111"/>
    <s v="Marlowe  Jose"/>
    <s v="Local Agency"/>
    <x v="0"/>
    <x v="0"/>
    <s v="White Collar Local Agency"/>
    <m/>
    <m/>
    <n v="7.5"/>
    <n v="7.5"/>
    <n v="240"/>
    <n v="2880"/>
    <n v="0"/>
    <n v="0"/>
    <m/>
    <m/>
    <m/>
    <m/>
    <n v="0"/>
    <m/>
    <m/>
    <m/>
    <m/>
  </r>
  <r>
    <s v="667111"/>
    <s v="Mina Froiland"/>
    <s v="Local Agency"/>
    <x v="0"/>
    <x v="0"/>
    <s v="White Collar Local Agency"/>
    <m/>
    <m/>
    <n v="5.416666666666667"/>
    <n v="5.416666666666667"/>
    <n v="240"/>
    <n v="2880"/>
    <n v="1"/>
    <n v="1"/>
    <m/>
    <s v="Hail &amp; Ghasha Pkg 1 Island"/>
    <s v="Spooling operators - PARs Technomak"/>
    <n v="2880"/>
    <n v="0"/>
    <s v="from Jan to Dec 2025"/>
    <n v="2880"/>
    <s v="from Jan to Dec 2025"/>
    <m/>
  </r>
  <r>
    <s v="667100"/>
    <s v="Mualla Al Ali Ahmed Hamad Yousef "/>
    <s v="Saipem SpA Abu Dhabi Branch"/>
    <x v="1"/>
    <x v="1"/>
    <s v="Senior local Abu-Dhabi"/>
    <n v="57.21"/>
    <n v="61.93"/>
    <m/>
    <n v="61.93"/>
    <n v="174.91666666666666"/>
    <n v="2099"/>
    <n v="0"/>
    <n v="0"/>
    <m/>
    <m/>
    <m/>
    <m/>
    <n v="0"/>
    <m/>
    <m/>
    <m/>
    <m/>
  </r>
  <r>
    <s v="667111"/>
    <s v="Nijith Appozhathel "/>
    <s v="Local Agency"/>
    <x v="2"/>
    <x v="0"/>
    <s v="White Collar Local Agency"/>
    <m/>
    <m/>
    <m/>
    <m/>
    <m/>
    <m/>
    <m/>
    <m/>
    <m/>
    <s v="Haifa Ammonia Plant"/>
    <s v="Feasibility study, piping spool and erection."/>
    <n v="1440"/>
    <n v="0"/>
    <s v="from Jan to Dec 2025"/>
    <n v="1440"/>
    <s v="from Jan to Dec 2025"/>
    <m/>
  </r>
  <r>
    <s v="667111"/>
    <s v="Nijith Appozhathel "/>
    <s v="Local Agency"/>
    <x v="2"/>
    <x v="0"/>
    <s v="White Collar Local Agency"/>
    <m/>
    <m/>
    <m/>
    <m/>
    <m/>
    <m/>
    <m/>
    <m/>
    <m/>
    <s v="NGC Phase 1 Project"/>
    <s v="Feasibility study, piping spool."/>
    <n v="360"/>
    <n v="0"/>
    <s v="from Jan to Mar 2025"/>
    <n v="100"/>
    <s v="from Jan to Mar 2025"/>
    <m/>
  </r>
  <r>
    <s v="667111"/>
    <s v="Nijith Appozhathel "/>
    <s v="Local Agency"/>
    <x v="2"/>
    <x v="0"/>
    <s v="White Collar Local Agency"/>
    <m/>
    <m/>
    <m/>
    <m/>
    <m/>
    <m/>
    <m/>
    <m/>
    <m/>
    <s v="Liverpool Bay WP3"/>
    <s v="Feasibility study, piping spool."/>
    <n v="1440"/>
    <n v="0"/>
    <s v="from Nov to Dec 2026"/>
    <m/>
    <s v="Hold - to be reviewed in January 2025, after signing the EPC contract with ENI."/>
    <m/>
  </r>
  <r>
    <s v="667100"/>
    <s v="Otniukov Nikita"/>
    <s v="Saipem SpA Abu Dhabi Branch"/>
    <x v="2"/>
    <x v="1"/>
    <s v="Senior local Abu-Dhabi"/>
    <n v="57.21"/>
    <n v="61.93"/>
    <m/>
    <n v="61.93"/>
    <n v="174.91666666666666"/>
    <n v="2099"/>
    <e v="#VALUE!"/>
    <n v="0"/>
    <m/>
    <s v="DOW Chinok Plant (LP8)"/>
    <s v="Supervision Vendor ASSENT - Steel Engineering Company (Dubai), Steel Structure."/>
    <n v="450"/>
    <n v="27868.5"/>
    <s v="from Jan to Oct 2025"/>
    <n v="450"/>
    <s v="from Jan to Oct 2025"/>
    <m/>
  </r>
  <r>
    <s v="667111"/>
    <s v="Perez Roderick"/>
    <s v="Local Agency"/>
    <x v="0"/>
    <x v="0"/>
    <s v="White Collar Local Agency"/>
    <m/>
    <m/>
    <n v="5.416666666666667"/>
    <n v="5.416666666666667"/>
    <n v="240"/>
    <n v="2880"/>
    <e v="#VALUE!"/>
    <n v="0"/>
    <m/>
    <s v="Hail &amp; Ghasha Pkg 1 Island"/>
    <s v="Spooling operators - Stick Built no Metallic"/>
    <n v="2880"/>
    <n v="0"/>
    <s v="from Jan to Dec 2025"/>
    <n v="2880"/>
    <s v="from Jan to Dec 2025"/>
    <m/>
  </r>
  <r>
    <s v="667111"/>
    <s v="Premraj Hirekar Rahul"/>
    <s v="Local Agency"/>
    <x v="3"/>
    <x v="0"/>
    <s v="White Collar Local Agency"/>
    <m/>
    <m/>
    <m/>
    <m/>
    <m/>
    <m/>
    <m/>
    <m/>
    <m/>
    <s v="Perdaman Burrup Urea Project"/>
    <s v="STS (Spool Tracking System) Data Entry Support"/>
    <n v="90"/>
    <n v="0"/>
    <s v="from Jan to Dec 2025"/>
    <n v="90"/>
    <s v="from Jan to Dec 2025"/>
    <m/>
  </r>
  <r>
    <s v="667111"/>
    <s v="Premraj Hirekar Rahul"/>
    <s v="Local Agency"/>
    <x v="3"/>
    <x v="0"/>
    <s v="White Collar Local Agency"/>
    <m/>
    <m/>
    <m/>
    <m/>
    <m/>
    <m/>
    <m/>
    <m/>
    <m/>
    <s v="Hail &amp; Ghasha Pkg 1 Island"/>
    <s v="STS (Spool Tracking System) Data Entry Support"/>
    <n v="90"/>
    <n v="0"/>
    <s v="from Jan to Dec 2025"/>
    <n v="90"/>
    <s v="from Jan to Dec 2025"/>
    <m/>
  </r>
  <r>
    <s v="667111"/>
    <s v="Premraj Hirekar Rahul"/>
    <s v="Local Agency"/>
    <x v="3"/>
    <x v="0"/>
    <s v="White Collar Local Agency"/>
    <m/>
    <m/>
    <m/>
    <m/>
    <m/>
    <m/>
    <m/>
    <m/>
    <m/>
    <s v="Kaminho FPSO Block 20/11"/>
    <s v="STS (Spool Tracking System) Data Entry Support"/>
    <n v="75"/>
    <n v="0"/>
    <s v="From Apr to Dec 2025"/>
    <m/>
    <s v="Hold"/>
    <m/>
  </r>
  <r>
    <s v="667111"/>
    <s v="Premraj Hirekar Rahul"/>
    <s v="Local Agency"/>
    <x v="3"/>
    <x v="0"/>
    <s v="White Collar Local Agency"/>
    <m/>
    <m/>
    <m/>
    <m/>
    <m/>
    <m/>
    <m/>
    <m/>
    <m/>
    <s v="Liverpool Bay WP3"/>
    <s v="STS (Spool Tracking System) Data Entry Support"/>
    <n v="30"/>
    <n v="0"/>
    <s v="From Oct to Dec 2025"/>
    <m/>
    <s v="Hold - to be reviewed in January 2025, after signing the EPC contract with ENI."/>
    <m/>
  </r>
  <r>
    <s v="667111"/>
    <s v="Premraj Hirekar Rahul"/>
    <s v="Local Agency"/>
    <x v="3"/>
    <x v="0"/>
    <s v="White Collar Local Agency"/>
    <m/>
    <m/>
    <m/>
    <m/>
    <m/>
    <m/>
    <m/>
    <m/>
    <m/>
    <s v="Bioraffineria Livorno"/>
    <s v="STS (Spool Tracking System) Data Entry Support"/>
    <n v="90"/>
    <n v="0"/>
    <s v="from Jan to Dec 2025"/>
    <n v="0"/>
    <s v="Not Required"/>
    <m/>
  </r>
  <r>
    <s v="667111"/>
    <s v="Premraj Hirekar Rahul"/>
    <s v="Local Agency"/>
    <x v="3"/>
    <x v="0"/>
    <s v="White Collar Local Agency"/>
    <m/>
    <m/>
    <m/>
    <m/>
    <m/>
    <m/>
    <m/>
    <m/>
    <m/>
    <s v="DOW Chinok Plant (LP8)"/>
    <s v="STS (Spool Tracking System) Data Entry Support"/>
    <n v="90"/>
    <n v="0"/>
    <s v="from Jan to Dec 2025"/>
    <n v="90"/>
    <s v="from Jan to Dec 2025"/>
    <m/>
  </r>
  <r>
    <s v="667111"/>
    <s v="Premraj Hirekar Rahul"/>
    <s v="Local Agency"/>
    <x v="3"/>
    <x v="0"/>
    <s v="White Collar Local Agency"/>
    <m/>
    <m/>
    <m/>
    <m/>
    <m/>
    <m/>
    <m/>
    <m/>
    <m/>
    <s v="NLNG 7 Bonny Island"/>
    <s v="WiTS (Welding Integrated Tracking System) Data Entry Support"/>
    <n v="180"/>
    <n v="0"/>
    <s v="from Jan to Dec 2025"/>
    <n v="0"/>
    <s v="Not Required"/>
    <m/>
  </r>
  <r>
    <s v="667111"/>
    <s v="Premraj Hirekar Rahul"/>
    <s v="Local Agency"/>
    <x v="3"/>
    <x v="0"/>
    <s v="White Collar Local Agency"/>
    <m/>
    <m/>
    <m/>
    <m/>
    <m/>
    <m/>
    <m/>
    <m/>
    <m/>
    <s v="Perdaman Burrup Urea Project"/>
    <s v="WiTS (Welding Integrated Tracking System) Data Entry Support"/>
    <n v="180"/>
    <n v="0"/>
    <s v="from Jan to Dec 2025"/>
    <n v="0"/>
    <s v="Not Required"/>
    <m/>
  </r>
  <r>
    <s v="667111"/>
    <s v="Premraj Hirekar Rahul"/>
    <s v="Local Agency"/>
    <x v="3"/>
    <x v="0"/>
    <s v="White Collar Local Agency"/>
    <m/>
    <m/>
    <m/>
    <m/>
    <m/>
    <m/>
    <m/>
    <m/>
    <m/>
    <s v="Haifa Ammonia Plant"/>
    <s v="WiTS (Welding Integrated Tracking System) Data Entry Support"/>
    <n v="90"/>
    <n v="0"/>
    <s v="from Jan to Dec 2025"/>
    <n v="90"/>
    <s v="from Jan to Dec 2025"/>
    <m/>
  </r>
  <r>
    <s v="667111"/>
    <s v="Premraj Hirekar Rahul"/>
    <s v="Local Agency"/>
    <x v="3"/>
    <x v="0"/>
    <s v="White Collar Local Agency"/>
    <m/>
    <m/>
    <m/>
    <m/>
    <m/>
    <m/>
    <m/>
    <m/>
    <m/>
    <s v="Hail &amp; Ghasha Pkg 1 Island"/>
    <s v="WiTS (Welding Integrated Tracking System) Data Entry Support"/>
    <n v="360"/>
    <n v="0"/>
    <s v="from Jan to Dec 2025"/>
    <n v="360"/>
    <s v="from Jan to Dec 2025"/>
    <m/>
  </r>
  <r>
    <s v="667111"/>
    <s v="Premraj Hirekar Rahul"/>
    <s v="Local Agency"/>
    <x v="3"/>
    <x v="0"/>
    <s v="White Collar Local Agency"/>
    <m/>
    <m/>
    <m/>
    <m/>
    <m/>
    <m/>
    <m/>
    <m/>
    <m/>
    <s v="Jafurah Pkg 4"/>
    <s v="WiTS (Welding Integrated Tracking System) Data Entry Support"/>
    <n v="180"/>
    <n v="0"/>
    <s v="from Jan to Dec 2025"/>
    <n v="100"/>
    <s v="From Jan to Apr 2025"/>
    <m/>
  </r>
  <r>
    <s v="667111"/>
    <s v="Premraj Hirekar Rahul"/>
    <s v="Local Agency"/>
    <x v="3"/>
    <x v="0"/>
    <s v="White Collar Local Agency"/>
    <m/>
    <m/>
    <m/>
    <m/>
    <m/>
    <m/>
    <m/>
    <m/>
    <m/>
    <s v="Kaminho FPSO Block 20/11"/>
    <s v="WiTS (Welding Integrated Tracking System) Data Entry Support"/>
    <n v="270"/>
    <n v="0"/>
    <s v="From Apr to Dec 2025"/>
    <n v="0"/>
    <s v="Not Required"/>
    <m/>
  </r>
  <r>
    <s v="667111"/>
    <s v="Premraj Hirekar Rahul"/>
    <s v="Local Agency"/>
    <x v="3"/>
    <x v="0"/>
    <s v="White Collar Local Agency"/>
    <m/>
    <m/>
    <m/>
    <m/>
    <m/>
    <m/>
    <m/>
    <m/>
    <m/>
    <s v="Liverpool Bay WP3"/>
    <s v="WiTS (Welding Integrated Tracking System) Data Entry Support"/>
    <n v="90"/>
    <n v="0"/>
    <s v="From Oct to Dec 2025"/>
    <m/>
    <s v="Hold - to be reviewed in January 2025, after signing the EPC contract with ENI."/>
    <m/>
  </r>
  <r>
    <s v="667111"/>
    <s v="Premraj Hirekar Rahul"/>
    <s v="Local Agency"/>
    <x v="3"/>
    <x v="0"/>
    <s v="White Collar Local Agency"/>
    <m/>
    <m/>
    <m/>
    <m/>
    <m/>
    <m/>
    <m/>
    <m/>
    <m/>
    <s v="Bioraffineria Livorno"/>
    <s v="WiTS (Welding Integrated Tracking System) Data Entry Support"/>
    <n v="360"/>
    <n v="0"/>
    <s v="from Jan to Dec 2025"/>
    <n v="0"/>
    <s v="Not Required"/>
    <m/>
  </r>
  <r>
    <s v="667111"/>
    <s v="Premraj Hirekar Rahul"/>
    <s v="Local Agency"/>
    <x v="3"/>
    <x v="0"/>
    <s v="White Collar Local Agency"/>
    <m/>
    <m/>
    <m/>
    <m/>
    <m/>
    <m/>
    <m/>
    <m/>
    <m/>
    <s v="DOW Chinok Plant (LP8)"/>
    <s v="WiTS (Welding Integrated Tracking System) Data Entry Support"/>
    <n v="360"/>
    <n v="0"/>
    <s v="from Jan to Dec 2025"/>
    <n v="360"/>
    <s v="from Jan to Dec 2025"/>
    <m/>
  </r>
  <r>
    <s v="667111"/>
    <s v="Premraj Hirekar Rahul"/>
    <s v="Local Agency"/>
    <x v="3"/>
    <x v="0"/>
    <s v="White Collar Local Agency"/>
    <m/>
    <m/>
    <m/>
    <m/>
    <m/>
    <m/>
    <m/>
    <m/>
    <m/>
    <s v="NGC Phase 1 Project"/>
    <s v="WiTS (Welding Integrated Tracking System) Data Entry Support"/>
    <n v="180"/>
    <n v="0"/>
    <s v="from Jan to Dec 2025"/>
    <n v="175"/>
    <s v="from Jan to Jun 2025"/>
    <m/>
  </r>
  <r>
    <s v="667111"/>
    <s v="Premraj Hirekar Rahul"/>
    <s v="Local Agency"/>
    <x v="3"/>
    <x v="0"/>
    <s v="White Collar Local Agency"/>
    <m/>
    <m/>
    <m/>
    <m/>
    <m/>
    <m/>
    <m/>
    <m/>
    <m/>
    <s v="Congo LNG/Scarabeo 5 Conversion"/>
    <s v="WiTS (Welding Integrated Tracking System) Data Entry Support"/>
    <n v="180"/>
    <n v="0"/>
    <s v="from Jan to Dec 2025"/>
    <n v="0"/>
    <s v="Not Required"/>
    <m/>
  </r>
  <r>
    <s v="667100"/>
    <s v="Ramirez Gerardo"/>
    <s v="Saipem SpA Abu Dhabi Branch"/>
    <x v="0"/>
    <x v="1"/>
    <s v="Senior local Abu-Dhabi"/>
    <n v="57.21"/>
    <n v="61.93"/>
    <m/>
    <n v="61.93"/>
    <n v="174.91666666666666"/>
    <n v="2099"/>
    <e v="#VALUE!"/>
    <n v="0"/>
    <m/>
    <s v="Perdaman Burrup Urea Project"/>
    <s v="Preparation of General Arrangement, geolocation of Piping Support on Steel Structure (Module)."/>
    <n v="270"/>
    <n v="16721.099999999999"/>
    <s v="from Jan to Jun 2025"/>
    <n v="0"/>
    <s v="Not Required"/>
    <m/>
  </r>
  <r>
    <s v="667100"/>
    <s v="Ramirez Gerardo"/>
    <s v="Saipem SpA Abu Dhabi Branch"/>
    <x v="0"/>
    <x v="1"/>
    <s v="Senior local Abu-Dhabi"/>
    <n v="57.21"/>
    <n v="61.93"/>
    <m/>
    <n v="61.93"/>
    <n v="174.91666666666666"/>
    <n v="2099"/>
    <e v="#VALUE!"/>
    <n v="0"/>
    <m/>
    <s v="Hail &amp; Ghasha Pkg 1 Island"/>
    <s v="Preparation of General Arrangement, geolocation of Piping Support on Steel Structure (Module)."/>
    <n v="270"/>
    <n v="16721.099999999999"/>
    <s v="from Jan to Jun 2025"/>
    <n v="270"/>
    <s v="from Jan to Jun 2025"/>
    <m/>
  </r>
  <r>
    <s v="667111"/>
    <s v="Renz Dione Macarai"/>
    <s v="Local Agency"/>
    <x v="0"/>
    <x v="0"/>
    <s v="White Collar Local Agency"/>
    <m/>
    <m/>
    <n v="5.416666666666667"/>
    <n v="5.416666666666667"/>
    <n v="240"/>
    <n v="2880"/>
    <e v="#VALUE!"/>
    <n v="0"/>
    <m/>
    <s v="Hail &amp; Ghasha Pkg 1 Island"/>
    <s v="Spooling operators - Stick Built no Metallic"/>
    <n v="2880"/>
    <n v="0"/>
    <s v="from Jan to Dec 2025"/>
    <n v="2880"/>
    <s v="from Jan to Dec 2025"/>
    <m/>
  </r>
  <r>
    <s v="667111"/>
    <s v="Rinu Joseph"/>
    <s v="Local Agency"/>
    <x v="0"/>
    <x v="0"/>
    <s v="White Collar Local Agency"/>
    <m/>
    <m/>
    <n v="5.416666666666667"/>
    <n v="5.416666666666667"/>
    <n v="240"/>
    <n v="2880"/>
    <e v="#VALUE!"/>
    <n v="0"/>
    <s v="HAIL and GHASHA"/>
    <m/>
    <s v="Analisys of Revision"/>
    <m/>
    <n v="0"/>
    <s v="from Jan to Dec 2025"/>
    <m/>
    <m/>
    <m/>
  </r>
  <r>
    <s v="667111"/>
    <s v="Riogusti Marzola"/>
    <s v="Local Agency"/>
    <x v="0"/>
    <x v="0"/>
    <s v="White Collar Local Agency"/>
    <m/>
    <m/>
    <n v="5.416666666666667"/>
    <n v="5.416666666666667"/>
    <m/>
    <m/>
    <m/>
    <m/>
    <s v="proposal demob"/>
    <m/>
    <m/>
    <m/>
    <n v="0"/>
    <m/>
    <m/>
    <m/>
    <m/>
  </r>
  <r>
    <s v="9ON042"/>
    <s v="Rizzuti Francesco"/>
    <s v="Saipem SpA Milan"/>
    <x v="3"/>
    <x v="2"/>
    <s v="White Collar Milan"/>
    <n v="64.23"/>
    <n v="69.510000000000005"/>
    <m/>
    <n v="69.510000000000005"/>
    <n v="141.16666666666666"/>
    <n v="1694"/>
    <e v="#VALUE!"/>
    <n v="0"/>
    <m/>
    <s v="Berri Abu Ali Crude and KGP"/>
    <s v="DDC (Data Driven Construction) 3D Models Maintenance"/>
    <n v="96"/>
    <n v="6672.9600000000009"/>
    <s v="from Jan to Dec 2025"/>
    <n v="0"/>
    <s v="Not Required"/>
    <m/>
  </r>
  <r>
    <s v="9ON042"/>
    <s v="Rizzuti Francesco"/>
    <s v="Saipem SpA Milan"/>
    <x v="3"/>
    <x v="2"/>
    <s v="White Collar Milan"/>
    <n v="64.23"/>
    <n v="69.510000000000005"/>
    <m/>
    <n v="69.510000000000005"/>
    <n v="141.16666666666666"/>
    <n v="1694"/>
    <e v="#VALUE!"/>
    <n v="0"/>
    <m/>
    <s v="NLNG 7 Bonny Island"/>
    <s v="DDC (Data Driven Construction) 3D Models Maintenance"/>
    <n v="96"/>
    <n v="6672.9600000000009"/>
    <s v="from Jan to Dec 2025"/>
    <n v="96"/>
    <s v="from Jan to Dec 2025"/>
    <m/>
  </r>
  <r>
    <s v="9ON042"/>
    <s v="Rizzuti Francesco"/>
    <s v="Saipem SpA Milan"/>
    <x v="3"/>
    <x v="2"/>
    <s v="White Collar Milan"/>
    <n v="64.23"/>
    <n v="69.510000000000005"/>
    <m/>
    <n v="69.510000000000005"/>
    <n v="141.16666666666666"/>
    <n v="1694"/>
    <e v="#VALUE!"/>
    <n v="0"/>
    <m/>
    <s v="Perdaman Burrup Urea Project"/>
    <s v="DDC (Data Driven Construction) 3D Models Maintenance"/>
    <n v="144"/>
    <n v="10009.44"/>
    <s v="from Jan to Dec 2025"/>
    <n v="144"/>
    <s v="from Jan to Dec 2025"/>
    <m/>
  </r>
  <r>
    <s v="9ON042"/>
    <s v="Rizzuti Francesco"/>
    <s v="Saipem SpA Milan"/>
    <x v="3"/>
    <x v="2"/>
    <s v="White Collar Milan"/>
    <n v="64.23"/>
    <n v="69.510000000000005"/>
    <m/>
    <n v="69.510000000000005"/>
    <n v="141.16666666666666"/>
    <n v="1694"/>
    <e v="#VALUE!"/>
    <n v="0"/>
    <m/>
    <s v="Hail &amp; Ghasha Pkg 1 Island"/>
    <s v="DDC (Data Driven Construction) 3D Models Maintenance"/>
    <n v="288"/>
    <n v="20018.88"/>
    <s v="from Jan to Dec 2025"/>
    <n v="288"/>
    <s v="from Jan to Dec 2025"/>
    <m/>
  </r>
  <r>
    <s v="9ON042"/>
    <s v="Rizzuti Francesco"/>
    <s v="Saipem SpA Milan"/>
    <x v="3"/>
    <x v="2"/>
    <s v="White Collar Milan"/>
    <n v="64.23"/>
    <n v="69.510000000000005"/>
    <m/>
    <n v="69.510000000000005"/>
    <n v="141.16666666666666"/>
    <n v="1694"/>
    <e v="#VALUE!"/>
    <n v="0"/>
    <m/>
    <s v="Kaminho FPSO Block 20/11"/>
    <s v="DDC (Data Driven Construction) 3D Models Maintenance"/>
    <n v="288"/>
    <n v="20018.88"/>
    <s v="From Apr to Dec 2025"/>
    <n v="288"/>
    <s v="From Apr to Dec 2025"/>
    <m/>
  </r>
  <r>
    <s v="9ON042"/>
    <s v="Rizzuti Francesco"/>
    <s v="Saipem SpA Milan"/>
    <x v="3"/>
    <x v="2"/>
    <s v="White Collar Milan"/>
    <n v="64.23"/>
    <n v="69.510000000000005"/>
    <m/>
    <n v="69.510000000000005"/>
    <n v="141.16666666666666"/>
    <n v="1694"/>
    <e v="#VALUE!"/>
    <n v="0"/>
    <m/>
    <s v="Liverpool Bay WP3"/>
    <s v="DDC (Data Driven Construction) 3D Models Maintenance"/>
    <n v="72"/>
    <n v="5004.72"/>
    <s v="From Oct to Dec 2025"/>
    <m/>
    <s v="Hold - to be reviewed in January 2025, after signing the EPC contract with ENI."/>
    <m/>
  </r>
  <r>
    <s v="9ON042"/>
    <s v="Rizzuti Francesco"/>
    <s v="Saipem SpA Milan"/>
    <x v="3"/>
    <x v="2"/>
    <s v="White Collar Milan"/>
    <n v="64.23"/>
    <n v="69.510000000000005"/>
    <m/>
    <n v="69.510000000000005"/>
    <n v="141.16666666666666"/>
    <n v="1694"/>
    <e v="#VALUE!"/>
    <n v="0"/>
    <m/>
    <s v="Bioraffineria Livorno"/>
    <s v="DDC (Data Driven Construction) 3D Models Maintenance"/>
    <n v="144"/>
    <n v="10009.44"/>
    <s v="from Jan to Dec 2025"/>
    <n v="0"/>
    <s v="Not Required"/>
    <m/>
  </r>
  <r>
    <s v="9ON042"/>
    <s v="Rizzuti Francesco"/>
    <s v="Saipem SpA Milan"/>
    <x v="3"/>
    <x v="2"/>
    <s v="White Collar Milan"/>
    <n v="64.23"/>
    <n v="69.510000000000005"/>
    <m/>
    <n v="69.510000000000005"/>
    <n v="141.16666666666666"/>
    <n v="1694"/>
    <e v="#VALUE!"/>
    <n v="0"/>
    <m/>
    <s v="DOW Chinok Plant (LP8)"/>
    <s v="DDC (Data Driven Construction) 3D Models Maintenance"/>
    <n v="144"/>
    <n v="10009.44"/>
    <s v="from Jan to Dec 2025"/>
    <m/>
    <s v="Hold"/>
    <m/>
  </r>
  <r>
    <s v="9ON042"/>
    <s v="Rizzuti Francesco"/>
    <s v="Saipem SpA Milan"/>
    <x v="3"/>
    <x v="2"/>
    <s v="White Collar Milan"/>
    <n v="64.23"/>
    <n v="69.510000000000005"/>
    <m/>
    <n v="69.510000000000005"/>
    <n v="141.16666666666666"/>
    <n v="1694"/>
    <e v="#VALUE!"/>
    <n v="0"/>
    <m/>
    <s v="Marjan Pkg 10"/>
    <s v="DDC (Data Driven Construction) 3D Models Maintenance"/>
    <n v="96"/>
    <n v="6672.9600000000009"/>
    <s v="from Jan to Dec 2025"/>
    <n v="96"/>
    <s v="from Jan to Dec 2025"/>
    <m/>
  </r>
  <r>
    <s v="9ON042"/>
    <s v="Rizzuti Francesco"/>
    <s v="Saipem SpA Milan"/>
    <x v="3"/>
    <x v="2"/>
    <s v="White Collar Milan"/>
    <n v="64.23"/>
    <n v="69.510000000000005"/>
    <m/>
    <n v="69.510000000000005"/>
    <n v="141.16666666666666"/>
    <n v="1694"/>
    <e v="#VALUE!"/>
    <n v="0"/>
    <m/>
    <s v="Hail &amp; Ghasha Pkg 1 Island"/>
    <s v="DDC (Data Driven Construction) Setting with AM"/>
    <n v="50"/>
    <n v="3475.5000000000005"/>
    <s v="Q1-Q2-Q3 2025"/>
    <n v="50"/>
    <s v="Q1-Q2-Q3 2025"/>
    <m/>
  </r>
  <r>
    <s v="9ON042"/>
    <s v="Rizzuti Francesco"/>
    <s v="Saipem SpA Milan"/>
    <x v="3"/>
    <x v="2"/>
    <s v="White Collar Milan"/>
    <n v="64.23"/>
    <n v="69.510000000000005"/>
    <m/>
    <n v="69.510000000000005"/>
    <n v="141.16666666666666"/>
    <n v="1694"/>
    <e v="#VALUE!"/>
    <n v="0"/>
    <m/>
    <s v="Kaminho FPSO Block 20/11"/>
    <s v="DDC (Data Driven Construction) Setting with AM"/>
    <n v="50"/>
    <n v="3475.5000000000005"/>
    <s v="Q2-Q3-Q4 2025"/>
    <n v="50"/>
    <s v="Q2-Q3-Q4 2025"/>
    <m/>
  </r>
  <r>
    <s v="9ON042"/>
    <s v="Rizzuti Francesco"/>
    <s v="Saipem SpA Milan"/>
    <x v="3"/>
    <x v="2"/>
    <s v="White Collar Milan"/>
    <n v="64.23"/>
    <n v="69.510000000000005"/>
    <m/>
    <n v="69.510000000000005"/>
    <n v="141.16666666666666"/>
    <n v="1694"/>
    <e v="#VALUE!"/>
    <n v="0"/>
    <m/>
    <s v="Liverpool Bay WP3"/>
    <s v="DDC (Data Driven Construction) Setting with AM"/>
    <n v="50"/>
    <n v="3475.5000000000005"/>
    <s v="Q4 2025"/>
    <m/>
    <s v="Hold - to be reviewed in January 2025, after signing the EPC contract with ENI."/>
    <m/>
  </r>
  <r>
    <s v="9ON042"/>
    <s v="Rizzuti Francesco"/>
    <s v="Saipem SpA Milan"/>
    <x v="3"/>
    <x v="2"/>
    <s v="White Collar Milan"/>
    <n v="64.23"/>
    <n v="69.510000000000005"/>
    <m/>
    <n v="69.510000000000005"/>
    <n v="141.16666666666666"/>
    <n v="1694"/>
    <e v="#VALUE!"/>
    <n v="0"/>
    <m/>
    <s v="Bioraffineria Livorno"/>
    <s v="DDC (Data Driven Construction) Setting with AM"/>
    <n v="50"/>
    <n v="3475.5000000000005"/>
    <s v="Q1-Q2-Q3 2025"/>
    <n v="0"/>
    <s v="Not Required"/>
    <m/>
  </r>
  <r>
    <s v="9ON042"/>
    <s v="Rizzuti Francesco"/>
    <s v="Saipem SpA Milan"/>
    <x v="3"/>
    <x v="2"/>
    <s v="White Collar Milan"/>
    <n v="64.23"/>
    <n v="69.510000000000005"/>
    <m/>
    <n v="69.510000000000005"/>
    <n v="141.16666666666666"/>
    <n v="1694"/>
    <e v="#VALUE!"/>
    <n v="0"/>
    <m/>
    <s v="DOW Chinok Plant (LP8)"/>
    <s v="DDC (Data Driven Construction) Setting with AM"/>
    <n v="50"/>
    <n v="3475.5000000000005"/>
    <s v="Q1-Q2-Q3 2025"/>
    <m/>
    <s v="Hold"/>
    <m/>
  </r>
  <r>
    <s v="667100"/>
    <s v="Rodríguez López Hugo"/>
    <s v="Saipem SpA Abu Dhabi Branch"/>
    <x v="0"/>
    <x v="1"/>
    <s v="Senior local Abu-Dhabi"/>
    <n v="57.21"/>
    <n v="61.93"/>
    <m/>
    <n v="61.93"/>
    <n v="174.91666666666666"/>
    <n v="2099"/>
    <e v="#VALUE!"/>
    <n v="0"/>
    <m/>
    <s v="Perdaman Burrup Urea Project"/>
    <s v="Piping Leader."/>
    <n v="120"/>
    <n v="7431.6"/>
    <s v="from Jan to Dec 2025"/>
    <n v="120"/>
    <s v="from Jan to Dec 2025"/>
    <m/>
  </r>
  <r>
    <s v="667100"/>
    <s v="Rodríguez López Hugo"/>
    <s v="Saipem SpA Abu Dhabi Branch"/>
    <x v="0"/>
    <x v="1"/>
    <s v="Senior local Abu-Dhabi"/>
    <n v="57.21"/>
    <n v="61.93"/>
    <m/>
    <n v="61.93"/>
    <n v="174.91666666666666"/>
    <n v="2099"/>
    <e v="#VALUE!"/>
    <n v="0"/>
    <m/>
    <s v="Hail &amp; Ghasha Pkg 1 Island"/>
    <s v="Piping Leader."/>
    <n v="845"/>
    <n v="52330.85"/>
    <s v="from Jan to Dec 2025"/>
    <n v="845"/>
    <s v="from Jan to Dec 2025"/>
    <m/>
  </r>
  <r>
    <s v="667100"/>
    <s v="Rodríguez López Hugo"/>
    <s v="Saipem SpA Abu Dhabi Branch"/>
    <x v="0"/>
    <x v="1"/>
    <s v="Senior local Abu-Dhabi"/>
    <n v="57.21"/>
    <n v="61.93"/>
    <m/>
    <n v="61.93"/>
    <n v="174.91666666666666"/>
    <n v="2099"/>
    <e v="#VALUE!"/>
    <n v="0"/>
    <m/>
    <s v="Liverpool Bay WP3"/>
    <s v="Piping Leader."/>
    <n v="51"/>
    <n v="3158.43"/>
    <s v="from Nov to Dec 2026"/>
    <m/>
    <s v="Hold - to be reviewed in January 2025, after signing the EPC contract with ENI."/>
    <m/>
  </r>
  <r>
    <s v="667100"/>
    <s v="Rodríguez López Hugo"/>
    <s v="Saipem SpA Abu Dhabi Branch"/>
    <x v="0"/>
    <x v="1"/>
    <s v="Senior local Abu-Dhabi"/>
    <n v="57.21"/>
    <n v="61.93"/>
    <m/>
    <n v="61.93"/>
    <n v="174.91666666666666"/>
    <n v="2099"/>
    <e v="#VALUE!"/>
    <n v="0"/>
    <m/>
    <s v="Bioraffineria Livorno"/>
    <s v="Piping Leader."/>
    <n v="281"/>
    <n v="17402.329999999998"/>
    <s v="from Jan to Dec 2025"/>
    <m/>
    <s v="Pending feedback"/>
    <m/>
  </r>
  <r>
    <s v="667100"/>
    <s v="Rodríguez López Hugo"/>
    <s v="Saipem SpA Abu Dhabi Branch"/>
    <x v="0"/>
    <x v="1"/>
    <s v="Senior local Abu-Dhabi"/>
    <n v="57.21"/>
    <n v="61.93"/>
    <m/>
    <n v="61.93"/>
    <n v="174.91666666666666"/>
    <n v="2099"/>
    <e v="#VALUE!"/>
    <n v="0"/>
    <m/>
    <s v="DOW Chinok Plant (LP8)"/>
    <s v="Piping Leader."/>
    <n v="328"/>
    <n v="20313.04"/>
    <s v="from Jan to Dec 2025"/>
    <n v="0"/>
    <s v="Not Required"/>
    <m/>
  </r>
  <r>
    <s v="667111"/>
    <s v="Ronell Begornia"/>
    <s v="Local Agency"/>
    <x v="0"/>
    <x v="0"/>
    <s v="White Collar Local Agency"/>
    <m/>
    <m/>
    <n v="5.416666666666667"/>
    <n v="5.416666666666667"/>
    <n v="240"/>
    <n v="2880"/>
    <e v="#VALUE!"/>
    <n v="0"/>
    <m/>
    <s v="Hail &amp; Ghasha Pkg 1 Island"/>
    <s v="Spooling operators - PARs Technomak"/>
    <m/>
    <n v="0"/>
    <s v="from Jan to Dec 2025"/>
    <n v="0"/>
    <s v="Not Required"/>
    <m/>
  </r>
  <r>
    <n v="667100"/>
    <s v="Rosas Jimenez Jose Alfredo"/>
    <s v="Saipem SpA Abu Dhabi Branch"/>
    <x v="0"/>
    <x v="1"/>
    <s v="Senior local Abu-Dhabi"/>
    <n v="57.21"/>
    <n v="61.93"/>
    <m/>
    <n v="61.93"/>
    <n v="174.91666666666666"/>
    <n v="2099"/>
    <e v="#VALUE!"/>
    <n v="0"/>
    <m/>
    <s v="Hail &amp; Ghasha Pkg 1 Island"/>
    <s v="Spooling Coordinator"/>
    <n v="845"/>
    <n v="52330.85"/>
    <s v="from Jan to Dec 2025"/>
    <n v="845"/>
    <s v="from Jan to Dec 2025"/>
    <m/>
  </r>
  <r>
    <n v="667100"/>
    <s v="Rosas Jimenez Jose Alfredo"/>
    <s v="Saipem SpA Abu Dhabi Branch"/>
    <x v="0"/>
    <x v="1"/>
    <s v="Senior local Abu-Dhabi"/>
    <n v="57.21"/>
    <n v="61.93"/>
    <m/>
    <n v="61.93"/>
    <n v="174.91666666666666"/>
    <n v="2099"/>
    <e v="#VALUE!"/>
    <n v="0"/>
    <m/>
    <s v="NGC Phase 1 Project"/>
    <s v="Spooling Coordinator."/>
    <n v="1080"/>
    <n v="66884.399999999994"/>
    <s v="from Jan to Dec 2025"/>
    <n v="250"/>
    <s v="from Jan to Mar 2025"/>
    <m/>
  </r>
  <r>
    <s v="667111"/>
    <s v="Sadik K. Shaikh"/>
    <s v="Local Agency"/>
    <x v="0"/>
    <x v="0"/>
    <s v="White Collar Local Agency"/>
    <m/>
    <m/>
    <n v="4.583333333333333"/>
    <n v="4.583333333333333"/>
    <n v="240"/>
    <n v="2880"/>
    <e v="#VALUE!"/>
    <n v="0"/>
    <m/>
    <s v="Hail &amp; Ghasha Pkg 1 Island"/>
    <s v="Spooling operators - PARs Technomak"/>
    <n v="2880"/>
    <n v="0"/>
    <s v="from Jan to Dec 2025"/>
    <n v="2880"/>
    <s v="from Jan to Dec 2025"/>
    <m/>
  </r>
  <r>
    <s v="667100"/>
    <s v="Sandri Juri"/>
    <s v="Saipem SpA Abu Dhabi Branch"/>
    <x v="2"/>
    <x v="1"/>
    <s v="White Collar exp Abu-Dhabi"/>
    <n v="33.549999999999997"/>
    <n v="36.31"/>
    <m/>
    <n v="36.31"/>
    <n v="202.58333333333334"/>
    <n v="2431"/>
    <e v="#VALUE!"/>
    <n v="0"/>
    <m/>
    <s v="Perdaman Burrup Urea Project"/>
    <s v="Piping Support Management + CosmoDS tool."/>
    <n v="720"/>
    <n v="26143.200000000001"/>
    <s v="from Jan to Dec 2025"/>
    <n v="0"/>
    <s v="Not Required"/>
    <m/>
  </r>
  <r>
    <s v="667100"/>
    <s v="Sandri Juri"/>
    <s v="Saipem SpA Abu Dhabi Branch"/>
    <x v="2"/>
    <x v="1"/>
    <s v="White Collar exp Abu-Dhabi"/>
    <n v="33.549999999999997"/>
    <n v="36.31"/>
    <m/>
    <n v="36.31"/>
    <n v="202.58333333333334"/>
    <n v="2431"/>
    <e v="#VALUE!"/>
    <n v="0"/>
    <m/>
    <s v="Hail &amp; Ghasha Pkg 1 Island"/>
    <s v="Production Structural Lead, preparation of feasibility study Steel Structure. Also included is training for Production Engineers."/>
    <n v="216"/>
    <n v="7842.9600000000009"/>
    <s v="from Jan to Dec 2025"/>
    <n v="216"/>
    <s v="from Jan to Dec 2025"/>
    <m/>
  </r>
  <r>
    <s v="667100"/>
    <s v="Sandri Juri"/>
    <s v="Saipem SpA Abu Dhabi Branch"/>
    <x v="2"/>
    <x v="1"/>
    <s v="White Collar exp Abu-Dhabi"/>
    <n v="33.549999999999997"/>
    <n v="36.31"/>
    <m/>
    <n v="36.31"/>
    <n v="202.58333333333334"/>
    <n v="2431"/>
    <e v="#VALUE!"/>
    <n v="0"/>
    <m/>
    <s v="NLNG 7 Bonny Island"/>
    <s v="Supervision Subcontractor FABCON, piping support."/>
    <n v="144"/>
    <n v="5228.6400000000003"/>
    <s v="from Jan to Feb 2025"/>
    <n v="144"/>
    <s v="from Jan to Feb 2025"/>
    <m/>
  </r>
  <r>
    <s v="667100"/>
    <s v="Sandri Juri"/>
    <s v="Saipem SpA Abu Dhabi Branch"/>
    <x v="2"/>
    <x v="1"/>
    <s v="White Collar exp Abu-Dhabi"/>
    <n v="33.549999999999997"/>
    <n v="36.31"/>
    <m/>
    <n v="36.31"/>
    <n v="202.58333333333334"/>
    <n v="2431"/>
    <e v="#VALUE!"/>
    <n v="0"/>
    <m/>
    <s v="DOW Chinok Plant (LP8)"/>
    <s v="Supervision Vendor ASSENT - Steel Engineering Company (Dubai), Steel Structure."/>
    <n v="450"/>
    <n v="16339.500000000002"/>
    <s v="from Jan to Oct 2025"/>
    <n v="450"/>
    <s v="from Jan to Oct 2025"/>
    <m/>
  </r>
  <r>
    <s v="667100"/>
    <s v="Sandri Juri"/>
    <s v="Saipem SpA Abu Dhabi Branch"/>
    <x v="2"/>
    <x v="1"/>
    <s v="White Collar exp Abu-Dhabi"/>
    <n v="33.549999999999997"/>
    <n v="36.31"/>
    <m/>
    <n v="36.31"/>
    <n v="202.58333333333334"/>
    <n v="2431"/>
    <e v="#VALUE!"/>
    <n v="0"/>
    <m/>
    <s v="NLNG 7 Bonny Island"/>
    <s v="Feasibility study, piping support (installation)."/>
    <n v="540"/>
    <n v="19607.400000000001"/>
    <s v="from Jan to Jun 2025"/>
    <n v="540"/>
    <s v="from Jan to Jun 2025"/>
    <m/>
  </r>
  <r>
    <s v="667111"/>
    <s v="Segoviano Cardenas Valeria"/>
    <s v="Local Agency"/>
    <x v="0"/>
    <x v="0"/>
    <s v="White Collar Local Agency"/>
    <m/>
    <m/>
    <n v="6.25"/>
    <n v="6.25"/>
    <n v="240"/>
    <n v="2880"/>
    <n v="0"/>
    <n v="0"/>
    <m/>
    <m/>
    <m/>
    <m/>
    <n v="0"/>
    <m/>
    <m/>
    <m/>
    <m/>
  </r>
  <r>
    <s v="667111"/>
    <s v="Shaikh  Moinuddin"/>
    <s v="Local Agency"/>
    <x v="0"/>
    <x v="0"/>
    <s v="White Collar Local Agency"/>
    <m/>
    <m/>
    <n v="5.416666666666667"/>
    <n v="5.416666666666667"/>
    <n v="240"/>
    <n v="2880"/>
    <e v="#VALUE!"/>
    <n v="0"/>
    <m/>
    <s v="Hail &amp; Ghasha Pkg 1 Island"/>
    <s v="Spooling operators - Stick Built EPIC"/>
    <n v="2880"/>
    <n v="0"/>
    <s v="from Jan to Dec 2025"/>
    <n v="2880"/>
    <s v="from Jan to Dec 2025"/>
    <m/>
  </r>
  <r>
    <s v="667100"/>
    <s v="Sharad Pande Uday"/>
    <s v="Saipem SpA Abu Dhabi Branch"/>
    <x v="3"/>
    <x v="1"/>
    <s v="Senior local Abu-Dhabi"/>
    <n v="57.21"/>
    <n v="61.93"/>
    <m/>
    <n v="61.93"/>
    <n v="174.91666666666666"/>
    <n v="2099"/>
    <e v="#VALUE!"/>
    <n v="0"/>
    <m/>
    <s v="Kaminho FPSO Block 20/11"/>
    <s v="STS (Spool Tracking System) Data Entry Support"/>
    <n v="75"/>
    <n v="4644.75"/>
    <s v="From Apr to Dec 2025"/>
    <m/>
    <s v="Hold"/>
    <m/>
  </r>
  <r>
    <s v="667100"/>
    <s v="Sharad Pande Uday"/>
    <s v="Saipem SpA Abu Dhabi Branch"/>
    <x v="3"/>
    <x v="1"/>
    <s v="Senior local Abu-Dhabi"/>
    <n v="57.21"/>
    <n v="61.93"/>
    <m/>
    <n v="61.93"/>
    <n v="174.91666666666666"/>
    <n v="2099"/>
    <e v="#VALUE!"/>
    <n v="0"/>
    <m/>
    <s v="Liverpool Bay WP3"/>
    <s v="STS (Spool Tracking System) Data Entry Support"/>
    <n v="30"/>
    <n v="1857.9"/>
    <s v="From Oct to Dec 2025"/>
    <m/>
    <s v="Hold - to be reviewed in January 2025, after signing the EPC contract with ENI."/>
    <m/>
  </r>
  <r>
    <s v="667100"/>
    <s v="Sharad Pande Uday"/>
    <s v="Saipem SpA Abu Dhabi Branch"/>
    <x v="3"/>
    <x v="1"/>
    <s v="Senior local Abu-Dhabi"/>
    <n v="57.21"/>
    <n v="61.93"/>
    <m/>
    <n v="61.93"/>
    <n v="174.91666666666666"/>
    <n v="2099"/>
    <e v="#VALUE!"/>
    <n v="0"/>
    <m/>
    <s v="Bioraffineria Livorno"/>
    <s v="STS (Spool Tracking System) Data Entry Support"/>
    <n v="90"/>
    <n v="5573.7"/>
    <s v="from Jan to Dec 2025"/>
    <n v="0"/>
    <s v="Not Required"/>
    <m/>
  </r>
  <r>
    <s v="667100"/>
    <s v="Sharad Pande Uday"/>
    <s v="Saipem SpA Abu Dhabi Branch"/>
    <x v="3"/>
    <x v="1"/>
    <s v="Senior local Abu-Dhabi"/>
    <n v="57.21"/>
    <n v="61.93"/>
    <m/>
    <n v="61.93"/>
    <n v="174.91666666666666"/>
    <n v="2099"/>
    <e v="#VALUE!"/>
    <n v="0"/>
    <m/>
    <s v="DOW Chinok Plant (LP8)"/>
    <s v="STS (Spool Tracking System) Data Entry Support"/>
    <n v="90"/>
    <n v="5573.7"/>
    <s v="from Jan to Dec 2025"/>
    <n v="90"/>
    <s v="from Jan to Dec 2025"/>
    <m/>
  </r>
  <r>
    <s v="667100"/>
    <s v="Sharad Pande Uday"/>
    <s v="Saipem SpA Abu Dhabi Branch"/>
    <x v="3"/>
    <x v="1"/>
    <s v="Senior local Abu-Dhabi"/>
    <n v="57.21"/>
    <n v="61.93"/>
    <m/>
    <n v="61.93"/>
    <n v="174.91666666666666"/>
    <n v="2099"/>
    <e v="#VALUE!"/>
    <n v="0"/>
    <m/>
    <s v="Perdaman Burrup Urea Project"/>
    <s v="STS (Spool Tracking System) Setting with AM"/>
    <n v="60"/>
    <n v="3715.8"/>
    <s v="Q1-Q2-Q3 2025"/>
    <n v="60"/>
    <s v="Q1-Q2-Q3 2025"/>
    <m/>
  </r>
  <r>
    <s v="667100"/>
    <s v="Sharad Pande Uday"/>
    <s v="Saipem SpA Abu Dhabi Branch"/>
    <x v="3"/>
    <x v="1"/>
    <s v="Senior local Abu-Dhabi"/>
    <n v="57.21"/>
    <n v="61.93"/>
    <m/>
    <n v="61.93"/>
    <n v="174.91666666666666"/>
    <n v="2099"/>
    <e v="#VALUE!"/>
    <n v="0"/>
    <m/>
    <s v="Hail &amp; Ghasha Pkg 1 Island"/>
    <s v="STS (Spool Tracking System) Setting with AM"/>
    <n v="60"/>
    <n v="3715.8"/>
    <s v="Q1-Q2-Q3 2025"/>
    <n v="60"/>
    <s v="Q1-Q2-Q3 2025"/>
    <m/>
  </r>
  <r>
    <s v="667100"/>
    <s v="Sharad Pande Uday"/>
    <s v="Saipem SpA Abu Dhabi Branch"/>
    <x v="3"/>
    <x v="1"/>
    <s v="Senior local Abu-Dhabi"/>
    <n v="57.21"/>
    <n v="61.93"/>
    <m/>
    <n v="61.93"/>
    <n v="174.91666666666666"/>
    <n v="2099"/>
    <e v="#VALUE!"/>
    <n v="0"/>
    <m/>
    <s v="Kaminho FPSO Block 20/11"/>
    <s v="STS (Spool Tracking System) Setting with AM"/>
    <n v="60"/>
    <n v="3715.8"/>
    <s v="Q2-Q3-Q4 2025"/>
    <m/>
    <s v="Hold"/>
    <m/>
  </r>
  <r>
    <s v="667100"/>
    <s v="Sharad Pande Uday"/>
    <s v="Saipem SpA Abu Dhabi Branch"/>
    <x v="3"/>
    <x v="1"/>
    <s v="Senior local Abu-Dhabi"/>
    <n v="57.21"/>
    <n v="61.93"/>
    <m/>
    <n v="61.93"/>
    <n v="174.91666666666666"/>
    <n v="2099"/>
    <e v="#VALUE!"/>
    <n v="0"/>
    <m/>
    <s v="Liverpool Bay WP3"/>
    <s v="STS (Spool Tracking System) Setting with AM"/>
    <n v="60"/>
    <n v="3715.8"/>
    <s v="Q4 2025"/>
    <m/>
    <s v="Hold - to be reviewed in January 2025, after signing the EPC contract with ENI."/>
    <m/>
  </r>
  <r>
    <s v="667100"/>
    <s v="Sharad Pande Uday"/>
    <s v="Saipem SpA Abu Dhabi Branch"/>
    <x v="3"/>
    <x v="1"/>
    <s v="Senior local Abu-Dhabi"/>
    <n v="57.21"/>
    <n v="61.93"/>
    <m/>
    <n v="61.93"/>
    <n v="174.91666666666666"/>
    <n v="2099"/>
    <e v="#VALUE!"/>
    <n v="0"/>
    <m/>
    <s v="Bioraffineria Livorno"/>
    <s v="STS (Spool Tracking System) Setting with AM"/>
    <n v="60"/>
    <n v="3715.8"/>
    <s v="Q1-Q2-Q3 2025"/>
    <n v="60"/>
    <s v="Q1-Q2-Q3 2025"/>
    <m/>
  </r>
  <r>
    <s v="667100"/>
    <s v="Sharad Pande Uday"/>
    <s v="Saipem SpA Abu Dhabi Branch"/>
    <x v="3"/>
    <x v="1"/>
    <s v="Senior local Abu-Dhabi"/>
    <n v="57.21"/>
    <n v="61.93"/>
    <m/>
    <n v="61.93"/>
    <n v="174.91666666666666"/>
    <n v="2099"/>
    <e v="#VALUE!"/>
    <n v="0"/>
    <m/>
    <s v="DOW Chinok Plant (LP8)"/>
    <s v="STS (Spool Tracking System) Setting with AM"/>
    <n v="60"/>
    <n v="3715.8"/>
    <s v="Q1-Q2-Q3 2025"/>
    <n v="60"/>
    <s v="Q1-Q2-Q3 2025"/>
    <m/>
  </r>
  <r>
    <s v="667100"/>
    <s v="Sharad Pande Uday"/>
    <s v="Saipem SpA Abu Dhabi Branch"/>
    <x v="3"/>
    <x v="1"/>
    <s v="Senior local Abu-Dhabi"/>
    <n v="57.21"/>
    <n v="61.93"/>
    <m/>
    <n v="61.93"/>
    <n v="174.91666666666666"/>
    <n v="2099"/>
    <e v="#VALUE!"/>
    <n v="0"/>
    <m/>
    <s v="Hail &amp; Ghasha Pkg 1 Island"/>
    <s v="STS (Spool Tracking System) Training"/>
    <n v="70"/>
    <n v="4335.1000000000004"/>
    <s v="Q1-Q2-Q3 2025"/>
    <n v="70"/>
    <s v="Q1-Q2-Q3 2025"/>
    <m/>
  </r>
  <r>
    <s v="667100"/>
    <s v="Sharad Pande Uday"/>
    <s v="Saipem SpA Abu Dhabi Branch"/>
    <x v="3"/>
    <x v="1"/>
    <s v="Senior local Abu-Dhabi"/>
    <n v="57.21"/>
    <n v="61.93"/>
    <m/>
    <n v="61.93"/>
    <n v="174.91666666666666"/>
    <n v="2099"/>
    <e v="#VALUE!"/>
    <n v="0"/>
    <m/>
    <s v="Kaminho FPSO Block 20/11"/>
    <s v="STS (Spool Tracking System) Training"/>
    <n v="70"/>
    <n v="4335.1000000000004"/>
    <s v="Q2-Q3-Q4 2025"/>
    <m/>
    <s v="Hold"/>
    <m/>
  </r>
  <r>
    <s v="667100"/>
    <s v="Sharad Pande Uday"/>
    <s v="Saipem SpA Abu Dhabi Branch"/>
    <x v="3"/>
    <x v="1"/>
    <s v="Senior local Abu-Dhabi"/>
    <n v="57.21"/>
    <n v="61.93"/>
    <m/>
    <n v="61.93"/>
    <n v="174.91666666666666"/>
    <n v="2099"/>
    <e v="#VALUE!"/>
    <n v="0"/>
    <m/>
    <s v="Liverpool Bay WP3"/>
    <s v="STS (Spool Tracking System) Training"/>
    <n v="70"/>
    <n v="4335.1000000000004"/>
    <s v="Q4 2025"/>
    <m/>
    <s v="Hold - to be reviewed in January 2025, after signing the EPC contract with ENI."/>
    <m/>
  </r>
  <r>
    <s v="667100"/>
    <s v="Sharad Pande Uday"/>
    <s v="Saipem SpA Abu Dhabi Branch"/>
    <x v="3"/>
    <x v="1"/>
    <s v="Senior local Abu-Dhabi"/>
    <n v="57.21"/>
    <n v="61.93"/>
    <m/>
    <n v="61.93"/>
    <n v="174.91666666666666"/>
    <n v="2099"/>
    <e v="#VALUE!"/>
    <n v="0"/>
    <m/>
    <s v="Bioraffineria Livorno"/>
    <s v="STS (Spool Tracking System) Training"/>
    <n v="70"/>
    <n v="4335.1000000000004"/>
    <s v="Q1-Q2-Q3 2025"/>
    <n v="70"/>
    <s v="Q1-Q2-Q3 2025"/>
    <m/>
  </r>
  <r>
    <s v="667100"/>
    <s v="Sharad Pande Uday"/>
    <s v="Saipem SpA Abu Dhabi Branch"/>
    <x v="3"/>
    <x v="1"/>
    <s v="Senior local Abu-Dhabi"/>
    <n v="57.21"/>
    <n v="61.93"/>
    <m/>
    <n v="61.93"/>
    <n v="174.91666666666666"/>
    <n v="2099"/>
    <e v="#VALUE!"/>
    <n v="0"/>
    <m/>
    <s v="DOW Chinok Plant (LP8)"/>
    <s v="STS (Spool Tracking System) Training"/>
    <n v="70"/>
    <n v="4335.1000000000004"/>
    <s v="Q1-Q2-Q3 2025"/>
    <n v="70"/>
    <s v="Q1-Q2-Q3 2025"/>
    <m/>
  </r>
  <r>
    <s v="667100"/>
    <s v="Sharad Pande Uday"/>
    <s v="Saipem SpA Abu Dhabi Branch"/>
    <x v="3"/>
    <x v="1"/>
    <s v="Senior local Abu-Dhabi"/>
    <n v="57.21"/>
    <n v="61.93"/>
    <m/>
    <n v="61.93"/>
    <n v="174.91666666666666"/>
    <n v="2099"/>
    <e v="#VALUE!"/>
    <n v="0"/>
    <m/>
    <s v="Perdaman Burrup Urea Project"/>
    <s v="Support Management Training"/>
    <n v="70"/>
    <n v="4335.1000000000004"/>
    <s v="Q1-Q2-Q3 2025"/>
    <n v="0"/>
    <s v="Not Required"/>
    <m/>
  </r>
  <r>
    <s v="667100"/>
    <s v="Sharad Pande Uday"/>
    <s v="Saipem SpA Abu Dhabi Branch"/>
    <x v="3"/>
    <x v="1"/>
    <s v="Senior local Abu-Dhabi"/>
    <n v="57.21"/>
    <n v="61.93"/>
    <m/>
    <n v="61.93"/>
    <n v="174.91666666666666"/>
    <n v="2099"/>
    <e v="#VALUE!"/>
    <n v="0"/>
    <m/>
    <s v="Hail &amp; Ghasha Pkg 1 Island"/>
    <s v="Support Management Training"/>
    <n v="70"/>
    <n v="4335.1000000000004"/>
    <s v="Q1-Q2-Q3 2025"/>
    <n v="70"/>
    <s v="Q1-Q2-Q3 2025"/>
    <m/>
  </r>
  <r>
    <s v="667100"/>
    <s v="Sharad Pande Uday"/>
    <s v="Saipem SpA Abu Dhabi Branch"/>
    <x v="3"/>
    <x v="1"/>
    <s v="Senior local Abu-Dhabi"/>
    <n v="57.21"/>
    <n v="61.93"/>
    <m/>
    <n v="61.93"/>
    <n v="174.91666666666666"/>
    <n v="2099"/>
    <e v="#VALUE!"/>
    <n v="0"/>
    <m/>
    <s v="Kaminho FPSO Block 20/11"/>
    <s v="Support Management Training"/>
    <n v="70"/>
    <n v="4335.1000000000004"/>
    <s v="Q2-Q3-Q4 2025"/>
    <n v="70"/>
    <s v="Q2-Q3-Q4 2025"/>
    <m/>
  </r>
  <r>
    <s v="667100"/>
    <s v="Sharad Pande Uday"/>
    <s v="Saipem SpA Abu Dhabi Branch"/>
    <x v="3"/>
    <x v="1"/>
    <s v="Senior local Abu-Dhabi"/>
    <n v="57.21"/>
    <n v="61.93"/>
    <m/>
    <n v="61.93"/>
    <n v="174.91666666666666"/>
    <n v="2099"/>
    <e v="#VALUE!"/>
    <n v="0"/>
    <m/>
    <s v="Liverpool Bay WP3"/>
    <s v="Support Management Training"/>
    <n v="70"/>
    <n v="4335.1000000000004"/>
    <s v="Q4 2025"/>
    <m/>
    <s v="Hold - to be reviewed in January 2025, after signing the EPC contract with ENI."/>
    <m/>
  </r>
  <r>
    <s v="667100"/>
    <s v="Sharad Pande Uday"/>
    <s v="Saipem SpA Abu Dhabi Branch"/>
    <x v="3"/>
    <x v="1"/>
    <s v="Senior local Abu-Dhabi"/>
    <n v="57.21"/>
    <n v="61.93"/>
    <m/>
    <n v="61.93"/>
    <n v="174.91666666666666"/>
    <n v="2099"/>
    <e v="#VALUE!"/>
    <n v="0"/>
    <m/>
    <s v="Bioraffineria Livorno"/>
    <s v="Support Management Training"/>
    <n v="70"/>
    <n v="4335.1000000000004"/>
    <s v="Q1-Q2-Q3 2025"/>
    <n v="0"/>
    <s v="Not Required"/>
    <m/>
  </r>
  <r>
    <s v="667100"/>
    <s v="Sharad Pande Uday"/>
    <s v="Saipem SpA Abu Dhabi Branch"/>
    <x v="3"/>
    <x v="1"/>
    <s v="Senior local Abu-Dhabi"/>
    <n v="57.21"/>
    <n v="61.93"/>
    <m/>
    <n v="61.93"/>
    <n v="174.91666666666666"/>
    <n v="2099"/>
    <e v="#VALUE!"/>
    <n v="0"/>
    <m/>
    <s v="DOW Chinok Plant (LP8)"/>
    <s v="Support Management Training"/>
    <n v="70"/>
    <n v="4335.1000000000004"/>
    <s v="Q1-Q2-Q3 2025"/>
    <n v="70"/>
    <s v="Q1-Q2-Q3 2025"/>
    <m/>
  </r>
  <r>
    <s v="667100"/>
    <s v="Sharad Pande Uday"/>
    <s v="Saipem SpA Abu Dhabi Branch"/>
    <x v="3"/>
    <x v="1"/>
    <s v="Senior local Abu-Dhabi"/>
    <n v="57.21"/>
    <n v="61.93"/>
    <m/>
    <n v="61.93"/>
    <n v="174.91666666666666"/>
    <n v="2099"/>
    <e v="#VALUE!"/>
    <n v="0"/>
    <m/>
    <s v="Hail &amp; Ghasha Pkg 1 Island"/>
    <s v="WiTS (Welding Integrated Tracking System) Setting with AM"/>
    <n v="60"/>
    <n v="3715.8"/>
    <s v="Q1-Q2-Q3 2025"/>
    <n v="60"/>
    <s v="Q1-Q2-Q3 2025"/>
    <m/>
  </r>
  <r>
    <s v="667100"/>
    <s v="Sharad Pande Uday"/>
    <s v="Saipem SpA Abu Dhabi Branch"/>
    <x v="3"/>
    <x v="1"/>
    <s v="Senior local Abu-Dhabi"/>
    <n v="57.21"/>
    <n v="61.93"/>
    <m/>
    <n v="61.93"/>
    <n v="174.91666666666666"/>
    <n v="2099"/>
    <e v="#VALUE!"/>
    <n v="0"/>
    <m/>
    <s v="Kaminho FPSO Block 20/11"/>
    <s v="WiTS (Welding Integrated Tracking System) Setting with AM"/>
    <n v="60"/>
    <n v="3715.8"/>
    <s v="Q2-Q3-Q4 2025"/>
    <n v="60"/>
    <s v="Q2-Q3-Q4 2025"/>
    <m/>
  </r>
  <r>
    <s v="667100"/>
    <s v="Sharad Pande Uday"/>
    <s v="Saipem SpA Abu Dhabi Branch"/>
    <x v="3"/>
    <x v="1"/>
    <s v="Senior local Abu-Dhabi"/>
    <n v="57.21"/>
    <n v="61.93"/>
    <m/>
    <n v="61.93"/>
    <n v="174.91666666666666"/>
    <n v="2099"/>
    <e v="#VALUE!"/>
    <n v="0"/>
    <m/>
    <s v="Liverpool Bay WP3"/>
    <s v="WiTS (Welding Integrated Tracking System) Setting with AM"/>
    <n v="60"/>
    <n v="3715.8"/>
    <s v="Q4 2025"/>
    <m/>
    <s v="Hold - to be reviewed in January 2025, after signing the EPC contract with ENI."/>
    <m/>
  </r>
  <r>
    <s v="667100"/>
    <s v="Sharad Pande Uday"/>
    <s v="Saipem SpA Abu Dhabi Branch"/>
    <x v="3"/>
    <x v="1"/>
    <s v="Senior local Abu-Dhabi"/>
    <n v="57.21"/>
    <n v="61.93"/>
    <m/>
    <n v="61.93"/>
    <n v="174.91666666666666"/>
    <n v="2099"/>
    <e v="#VALUE!"/>
    <n v="0"/>
    <m/>
    <s v="Bioraffineria Livorno"/>
    <s v="WiTS (Welding Integrated Tracking System) Setting with AM"/>
    <n v="60"/>
    <n v="3715.8"/>
    <s v="Q1-Q2-Q3 2025"/>
    <n v="60"/>
    <s v="Q1-Q2-Q3 2025"/>
    <m/>
  </r>
  <r>
    <s v="667100"/>
    <s v="Sharad Pande Uday"/>
    <s v="Saipem SpA Abu Dhabi Branch"/>
    <x v="3"/>
    <x v="1"/>
    <s v="Senior local Abu-Dhabi"/>
    <n v="57.21"/>
    <n v="61.93"/>
    <m/>
    <n v="61.93"/>
    <n v="174.91666666666666"/>
    <n v="2099"/>
    <e v="#VALUE!"/>
    <n v="0"/>
    <m/>
    <s v="DOW Chinok Plant (LP8)"/>
    <s v="WiTS (Welding Integrated Tracking System) Setting with AM"/>
    <n v="60"/>
    <n v="3715.8"/>
    <s v="Q1-Q2-Q3 2025"/>
    <n v="60"/>
    <s v="Q1-Q2-Q3 2025"/>
    <m/>
  </r>
  <r>
    <s v="667100"/>
    <s v="Sharad Pande Uday"/>
    <s v="Saipem SpA Abu Dhabi Branch"/>
    <x v="3"/>
    <x v="1"/>
    <s v="Senior local Abu-Dhabi"/>
    <n v="57.21"/>
    <n v="61.93"/>
    <m/>
    <n v="61.93"/>
    <n v="174.91666666666666"/>
    <n v="2099"/>
    <e v="#VALUE!"/>
    <n v="0"/>
    <m/>
    <s v="Hail &amp; Ghasha Pkg 1 Island"/>
    <s v="WiTS (Welding Integrated Tracking System) Training"/>
    <n v="70"/>
    <n v="4335.1000000000004"/>
    <s v="Q1-Q2-Q3 2025"/>
    <n v="70"/>
    <s v="Q1-Q2-Q3 2025"/>
    <m/>
  </r>
  <r>
    <s v="667100"/>
    <s v="Sharad Pande Uday"/>
    <s v="Saipem SpA Abu Dhabi Branch"/>
    <x v="3"/>
    <x v="1"/>
    <s v="Senior local Abu-Dhabi"/>
    <n v="57.21"/>
    <n v="61.93"/>
    <m/>
    <n v="61.93"/>
    <n v="174.91666666666666"/>
    <n v="2099"/>
    <e v="#VALUE!"/>
    <n v="0"/>
    <m/>
    <s v="Kaminho FPSO Block 20/11"/>
    <s v="WiTS (Welding Integrated Tracking System) Training"/>
    <n v="70"/>
    <n v="4335.1000000000004"/>
    <s v="Q2-Q3-Q4 2025"/>
    <n v="0"/>
    <s v="Not Required"/>
    <m/>
  </r>
  <r>
    <s v="667100"/>
    <s v="Sharad Pande Uday"/>
    <s v="Saipem SpA Abu Dhabi Branch"/>
    <x v="3"/>
    <x v="1"/>
    <s v="Senior local Abu-Dhabi"/>
    <n v="57.21"/>
    <n v="61.93"/>
    <m/>
    <n v="61.93"/>
    <n v="174.91666666666666"/>
    <n v="2099"/>
    <e v="#VALUE!"/>
    <n v="0"/>
    <m/>
    <s v="Liverpool Bay WP3"/>
    <s v="WiTS (Welding Integrated Tracking System) Training"/>
    <n v="70"/>
    <n v="4335.1000000000004"/>
    <s v="Q4 2025"/>
    <m/>
    <s v="Hold - to be reviewed in January 2025, after signing the EPC contract with ENI."/>
    <m/>
  </r>
  <r>
    <s v="667100"/>
    <s v="Sharad Pande Uday"/>
    <s v="Saipem SpA Abu Dhabi Branch"/>
    <x v="3"/>
    <x v="1"/>
    <s v="Senior local Abu-Dhabi"/>
    <n v="57.21"/>
    <n v="61.93"/>
    <m/>
    <n v="61.93"/>
    <n v="174.91666666666666"/>
    <n v="2099"/>
    <e v="#VALUE!"/>
    <n v="0"/>
    <m/>
    <s v="Bioraffineria Livorno"/>
    <s v="WiTS (Welding Integrated Tracking System) Training"/>
    <n v="70"/>
    <n v="4335.1000000000004"/>
    <s v="Q1-Q2-Q3 2025"/>
    <n v="70"/>
    <s v="Q1-Q2-Q3 2025"/>
    <m/>
  </r>
  <r>
    <s v="667100"/>
    <s v="Sharad Pande Uday"/>
    <s v="Saipem SpA Abu Dhabi Branch"/>
    <x v="3"/>
    <x v="1"/>
    <s v="Senior local Abu-Dhabi"/>
    <n v="57.21"/>
    <n v="61.93"/>
    <m/>
    <n v="61.93"/>
    <n v="174.91666666666666"/>
    <n v="2099"/>
    <e v="#VALUE!"/>
    <n v="0"/>
    <m/>
    <s v="DOW Chinok Plant (LP8)"/>
    <s v="WiTS (Welding Integrated Tracking System) Training"/>
    <n v="70"/>
    <n v="4335.1000000000004"/>
    <s v="Q1-Q2-Q3 2025"/>
    <n v="70"/>
    <s v="Q1-Q2-Q3 2025"/>
    <m/>
  </r>
  <r>
    <s v="667100"/>
    <s v="Sooraj Sasankan "/>
    <s v="Saipem SpA Abu Dhabi Branch"/>
    <x v="2"/>
    <x v="1"/>
    <s v="Senior local Abu-Dhabi"/>
    <n v="57.21"/>
    <n v="61.93"/>
    <m/>
    <n v="61.93"/>
    <n v="131.1875"/>
    <n v="1574.25"/>
    <e v="#VALUE!"/>
    <n v="0"/>
    <m/>
    <s v="Berri Abu Ali Crude and KGP"/>
    <s v="Feasibility study, piping spool and erection."/>
    <n v="540"/>
    <n v="33442.199999999997"/>
    <s v="from March to Aug 2025"/>
    <n v="0"/>
    <s v="Not Required"/>
    <m/>
  </r>
  <r>
    <s v="667100"/>
    <s v="Sooraj Sasankan "/>
    <s v="Saipem SpA Abu Dhabi Branch"/>
    <x v="2"/>
    <x v="1"/>
    <s v="Senior local Abu-Dhabi"/>
    <n v="57.21"/>
    <n v="61.93"/>
    <m/>
    <n v="61.93"/>
    <n v="131.1875"/>
    <n v="1574.25"/>
    <e v="#VALUE!"/>
    <n v="0"/>
    <m/>
    <s v="Bioraffineria Livorno"/>
    <s v="Feasibility study, piping spool."/>
    <n v="1080"/>
    <n v="66884.399999999994"/>
    <s v="from Jan to Dec 2025"/>
    <m/>
    <s v="Pending feedback"/>
    <m/>
  </r>
  <r>
    <s v="667100"/>
    <s v="Spano Michele"/>
    <s v="Saipem SpA Milan"/>
    <x v="4"/>
    <x v="1"/>
    <s v="Middle Manager exp Abu-Dhabi"/>
    <n v="84.82"/>
    <n v="91.81"/>
    <m/>
    <n v="91.81"/>
    <n v="181.75"/>
    <n v="2181"/>
    <e v="#VALUE!"/>
    <n v="0"/>
    <m/>
    <s v="Kaminho FPSO Block 20/11"/>
    <s v="Carry Over Procedure"/>
    <n v="65"/>
    <n v="5967.6500000000005"/>
    <s v="Q2 2025"/>
    <n v="0"/>
    <s v="Not Required"/>
    <m/>
  </r>
  <r>
    <s v="667100"/>
    <s v="Spano Michele"/>
    <s v="Saipem SpA Milan"/>
    <x v="4"/>
    <x v="1"/>
    <s v="Middle Manager exp Abu-Dhabi"/>
    <n v="84.82"/>
    <n v="91.81"/>
    <m/>
    <n v="91.81"/>
    <n v="181.75"/>
    <n v="2181"/>
    <e v="#VALUE!"/>
    <n v="0"/>
    <m/>
    <s v="Bioraffineria Livorno"/>
    <s v="Completion Dossier Training"/>
    <n v="70"/>
    <n v="6426.7"/>
    <s v="Setup Q1 2025"/>
    <n v="70"/>
    <s v="Setup Q1 2025"/>
    <m/>
  </r>
  <r>
    <s v="667100"/>
    <s v="Spano Michele"/>
    <s v="Saipem SpA Milan"/>
    <x v="4"/>
    <x v="1"/>
    <s v="Middle Manager exp Abu-Dhabi"/>
    <n v="84.82"/>
    <n v="91.81"/>
    <m/>
    <n v="91.81"/>
    <n v="181.75"/>
    <n v="2181"/>
    <e v="#VALUE!"/>
    <n v="0"/>
    <m/>
    <s v="DOW Chinok Plant (LP8)"/>
    <s v="Completion Dossier Training"/>
    <n v="70"/>
    <n v="6426.7"/>
    <s v="Setup Q1 2025"/>
    <m/>
    <s v="Hold"/>
    <m/>
  </r>
  <r>
    <s v="667100"/>
    <s v="Spano Michele"/>
    <s v="Saipem SpA Milan"/>
    <x v="4"/>
    <x v="1"/>
    <s v="Middle Manager exp Abu-Dhabi"/>
    <n v="84.82"/>
    <n v="91.81"/>
    <m/>
    <n v="91.81"/>
    <n v="181.75"/>
    <n v="2181"/>
    <e v="#VALUE!"/>
    <n v="0"/>
    <m/>
    <s v="Bioraffineria Livorno"/>
    <s v="Flange Management Procedure"/>
    <n v="40"/>
    <n v="3672.4"/>
    <s v="Setup Q1 2025"/>
    <m/>
    <s v="Pending feedback"/>
    <m/>
  </r>
  <r>
    <s v="667100"/>
    <s v="Spano Michele"/>
    <s v="Saipem SpA Milan"/>
    <x v="4"/>
    <x v="1"/>
    <s v="Middle Manager exp Abu-Dhabi"/>
    <n v="84.82"/>
    <n v="91.81"/>
    <m/>
    <n v="91.81"/>
    <n v="181.75"/>
    <n v="2181"/>
    <e v="#VALUE!"/>
    <n v="0"/>
    <m/>
    <s v="DOW Chinok Plant (LP8)"/>
    <s v="Flange Management Procedure"/>
    <n v="40"/>
    <n v="3672.4"/>
    <s v="Setup Q1 2025"/>
    <m/>
    <s v="Hold"/>
    <m/>
  </r>
  <r>
    <s v="667100"/>
    <s v="Spano Michele"/>
    <s v="Saipem SpA Milan"/>
    <x v="4"/>
    <x v="1"/>
    <s v="Middle Manager exp Abu-Dhabi"/>
    <n v="84.82"/>
    <n v="91.81"/>
    <m/>
    <n v="91.81"/>
    <n v="181.75"/>
    <n v="2181"/>
    <e v="#VALUE!"/>
    <n v="0"/>
    <m/>
    <s v="Kaminho FPSO Block 20/11"/>
    <s v="Flange Management Procedure"/>
    <n v="40"/>
    <n v="3672.4"/>
    <s v="Q1 2025"/>
    <n v="40"/>
    <s v="Q1 2025"/>
    <m/>
  </r>
  <r>
    <s v="667100"/>
    <s v="Spano Michele"/>
    <s v="Saipem SpA Milan"/>
    <x v="4"/>
    <x v="1"/>
    <s v="Middle Manager exp Abu-Dhabi"/>
    <n v="84.82"/>
    <n v="91.81"/>
    <m/>
    <n v="91.81"/>
    <n v="181.75"/>
    <n v="2181"/>
    <e v="#VALUE!"/>
    <n v="0"/>
    <m/>
    <s v="Liverpool Bay WP3"/>
    <s v="Flange Management Procedure"/>
    <n v="40"/>
    <n v="3672.4"/>
    <s v="Setup, Q3 2025"/>
    <m/>
    <s v="Hold - to be reviewed in January 2025, after signing the EPC contract with ENI."/>
    <m/>
  </r>
  <r>
    <s v="667100"/>
    <s v="Spano Michele"/>
    <s v="Saipem SpA Milan"/>
    <x v="4"/>
    <x v="1"/>
    <s v="Middle Manager exp Abu-Dhabi"/>
    <n v="84.82"/>
    <n v="91.81"/>
    <m/>
    <n v="91.81"/>
    <n v="181.75"/>
    <n v="2181"/>
    <e v="#VALUE!"/>
    <n v="0"/>
    <m/>
    <s v="Bioraffineria Livorno"/>
    <s v="Hydro Test Procedure"/>
    <n v="40"/>
    <n v="3672.4"/>
    <s v="Setup Q1 2025"/>
    <m/>
    <s v="Pending feedback"/>
    <m/>
  </r>
  <r>
    <s v="667100"/>
    <s v="Spano Michele"/>
    <s v="Saipem SpA Milan"/>
    <x v="4"/>
    <x v="1"/>
    <s v="Middle Manager exp Abu-Dhabi"/>
    <n v="84.82"/>
    <n v="91.81"/>
    <m/>
    <n v="91.81"/>
    <n v="181.75"/>
    <n v="2181"/>
    <e v="#VALUE!"/>
    <n v="0"/>
    <m/>
    <s v="DOW Chinok Plant (LP8)"/>
    <s v="Hydro Test Procedure"/>
    <n v="40"/>
    <n v="3672.4"/>
    <s v="Q1 2025"/>
    <n v="40"/>
    <s v="Q1 2025"/>
    <m/>
  </r>
  <r>
    <s v="667100"/>
    <s v="Spano Michele"/>
    <s v="Saipem SpA Milan"/>
    <x v="4"/>
    <x v="1"/>
    <s v="Middle Manager exp Abu-Dhabi"/>
    <n v="84.82"/>
    <n v="91.81"/>
    <m/>
    <n v="91.81"/>
    <n v="181.75"/>
    <n v="2181"/>
    <e v="#VALUE!"/>
    <n v="0"/>
    <m/>
    <s v="Kaminho FPSO Block 20/11"/>
    <s v="Hydro Test Procedure"/>
    <n v="40"/>
    <n v="3672.4"/>
    <s v="Q1 2025"/>
    <n v="40"/>
    <s v="Q1 2025"/>
    <m/>
  </r>
  <r>
    <s v="667100"/>
    <s v="Spano Michele"/>
    <s v="Saipem SpA Milan"/>
    <x v="4"/>
    <x v="1"/>
    <s v="Middle Manager exp Abu-Dhabi"/>
    <n v="84.82"/>
    <n v="91.81"/>
    <m/>
    <n v="91.81"/>
    <n v="181.75"/>
    <n v="2181"/>
    <e v="#VALUE!"/>
    <n v="0"/>
    <m/>
    <s v="Liverpool Bay WP3"/>
    <s v="Hydro Test Procedure"/>
    <n v="40"/>
    <n v="3672.4"/>
    <s v="Setup, Q3 2025"/>
    <m/>
    <s v="Hold - to be reviewed in January 2025, after signing the EPC contract with ENI."/>
    <m/>
  </r>
  <r>
    <s v="667100"/>
    <s v="Spano Michele"/>
    <s v="Saipem SpA Milan"/>
    <x v="4"/>
    <x v="1"/>
    <s v="Middle Manager exp Abu-Dhabi"/>
    <n v="84.82"/>
    <n v="91.81"/>
    <m/>
    <n v="91.81"/>
    <n v="181.75"/>
    <n v="2181"/>
    <e v="#VALUE!"/>
    <n v="0"/>
    <m/>
    <s v="Bioraffineria Livorno"/>
    <s v="Mechanical Completion Procedure"/>
    <n v="40"/>
    <n v="3672.4"/>
    <s v="Setup Q1 2025"/>
    <m/>
    <s v="Pending feedback"/>
    <m/>
  </r>
  <r>
    <s v="667100"/>
    <s v="Spano Michele"/>
    <s v="Saipem SpA Milan"/>
    <x v="4"/>
    <x v="1"/>
    <s v="Middle Manager exp Abu-Dhabi"/>
    <n v="84.82"/>
    <n v="91.81"/>
    <m/>
    <n v="91.81"/>
    <n v="181.75"/>
    <n v="2181"/>
    <e v="#VALUE!"/>
    <n v="0"/>
    <m/>
    <s v="DOW Chinok Plant (LP8)"/>
    <s v="Mechanical Completion Procedure"/>
    <n v="40"/>
    <n v="3672.4"/>
    <s v="Q1 2025"/>
    <n v="40"/>
    <s v="Q1 2025"/>
    <m/>
  </r>
  <r>
    <s v="667100"/>
    <s v="Spano Michele"/>
    <s v="Saipem SpA Milan"/>
    <x v="4"/>
    <x v="1"/>
    <s v="Middle Manager exp Abu-Dhabi"/>
    <n v="84.82"/>
    <n v="91.81"/>
    <m/>
    <n v="91.81"/>
    <n v="181.75"/>
    <n v="2181"/>
    <e v="#VALUE!"/>
    <n v="0"/>
    <m/>
    <s v="Kaminho FPSO Block 20/11"/>
    <s v="Mechanical Completion Procedure"/>
    <n v="40"/>
    <n v="3672.4"/>
    <s v="Q1 2025"/>
    <n v="40"/>
    <s v="Q1 2025"/>
    <m/>
  </r>
  <r>
    <s v="667100"/>
    <s v="Spano Michele"/>
    <s v="Saipem SpA Milan"/>
    <x v="4"/>
    <x v="1"/>
    <s v="Middle Manager exp Abu-Dhabi"/>
    <n v="84.82"/>
    <n v="91.81"/>
    <m/>
    <n v="91.81"/>
    <n v="181.75"/>
    <n v="2181"/>
    <e v="#VALUE!"/>
    <n v="0"/>
    <m/>
    <s v="Liverpool Bay WP3"/>
    <s v="Mechanical Completion Procedure"/>
    <n v="40"/>
    <n v="3672.4"/>
    <s v="Setup, Q3 2025"/>
    <m/>
    <s v="Hold - to be reviewed in January 2025, after signing the EPC contract with ENI."/>
    <m/>
  </r>
  <r>
    <s v="667100"/>
    <s v="Spano Michele"/>
    <s v="Saipem SpA Milan"/>
    <x v="4"/>
    <x v="1"/>
    <s v="Middle Manager exp Abu-Dhabi"/>
    <n v="84.82"/>
    <n v="91.81"/>
    <m/>
    <n v="91.81"/>
    <n v="181.75"/>
    <n v="2181"/>
    <e v="#VALUE!"/>
    <n v="0"/>
    <m/>
    <s v="Bioraffineria Livorno"/>
    <s v="Pneumatic Test Procedure"/>
    <n v="40"/>
    <n v="3672.4"/>
    <s v="Setup Q1 2025"/>
    <m/>
    <s v="Pending feedback"/>
    <m/>
  </r>
  <r>
    <s v="667100"/>
    <s v="Spano Michele"/>
    <s v="Saipem SpA Milan"/>
    <x v="4"/>
    <x v="1"/>
    <s v="Middle Manager exp Abu-Dhabi"/>
    <n v="84.82"/>
    <n v="91.81"/>
    <m/>
    <n v="91.81"/>
    <n v="181.75"/>
    <n v="2181"/>
    <e v="#VALUE!"/>
    <n v="0"/>
    <m/>
    <s v="DOW Chinok Plant (LP8)"/>
    <s v="Pneumatic Test Procedure"/>
    <n v="40"/>
    <n v="3672.4"/>
    <s v="Q1 2025"/>
    <n v="40"/>
    <s v="Q1 2025"/>
    <m/>
  </r>
  <r>
    <s v="667100"/>
    <s v="Spano Michele"/>
    <s v="Saipem SpA Milan"/>
    <x v="4"/>
    <x v="1"/>
    <s v="Middle Manager exp Abu-Dhabi"/>
    <n v="84.82"/>
    <n v="91.81"/>
    <m/>
    <n v="91.81"/>
    <n v="181.75"/>
    <n v="2181"/>
    <e v="#VALUE!"/>
    <n v="0"/>
    <m/>
    <s v="Kaminho FPSO Block 20/11"/>
    <s v="Pneumatic Test Procedure"/>
    <n v="40"/>
    <n v="3672.4"/>
    <s v="Q1 2025"/>
    <n v="40"/>
    <s v="Q1 2025"/>
    <m/>
  </r>
  <r>
    <s v="667100"/>
    <s v="Spano Michele"/>
    <s v="Saipem SpA Milan"/>
    <x v="4"/>
    <x v="1"/>
    <s v="Middle Manager exp Abu-Dhabi"/>
    <n v="84.82"/>
    <n v="91.81"/>
    <m/>
    <n v="91.81"/>
    <n v="181.75"/>
    <n v="2181"/>
    <e v="#VALUE!"/>
    <n v="0"/>
    <m/>
    <s v="Liverpool Bay WP3"/>
    <s v="Pneumatic Test Procedure"/>
    <n v="40"/>
    <n v="3672.4"/>
    <s v="Setup, Q3 2025"/>
    <m/>
    <s v="Hold - to be reviewed in January 2025, after signing the EPC contract with ENI."/>
    <m/>
  </r>
  <r>
    <s v="667100"/>
    <s v="Spano Michele"/>
    <s v="Saipem SpA Milan"/>
    <x v="4"/>
    <x v="1"/>
    <s v="Middle Manager exp Abu-Dhabi"/>
    <n v="84.82"/>
    <n v="91.81"/>
    <m/>
    <n v="91.81"/>
    <n v="181.75"/>
    <n v="2181"/>
    <e v="#VALUE!"/>
    <n v="0"/>
    <m/>
    <s v="Bioraffineria Livorno"/>
    <s v="Punch List Procedure"/>
    <n v="40"/>
    <n v="3672.4"/>
    <s v="Setup Q1 2025"/>
    <m/>
    <s v="Pending feedback"/>
    <m/>
  </r>
  <r>
    <s v="667100"/>
    <s v="Spano Michele"/>
    <s v="Saipem SpA Milan"/>
    <x v="4"/>
    <x v="1"/>
    <s v="Middle Manager exp Abu-Dhabi"/>
    <n v="84.82"/>
    <n v="91.81"/>
    <m/>
    <n v="91.81"/>
    <n v="181.75"/>
    <n v="2181"/>
    <e v="#VALUE!"/>
    <n v="0"/>
    <m/>
    <s v="DOW Chinok Plant (LP8)"/>
    <s v="Punch List Procedure"/>
    <n v="40"/>
    <n v="3672.4"/>
    <s v="Q1 2025"/>
    <n v="40"/>
    <s v="Q1 2025"/>
    <m/>
  </r>
  <r>
    <s v="667100"/>
    <s v="Spano Michele"/>
    <s v="Saipem SpA Milan"/>
    <x v="4"/>
    <x v="1"/>
    <s v="Middle Manager exp Abu-Dhabi"/>
    <n v="84.82"/>
    <n v="91.81"/>
    <m/>
    <n v="91.81"/>
    <n v="181.75"/>
    <n v="2181"/>
    <e v="#VALUE!"/>
    <n v="0"/>
    <m/>
    <s v="Kaminho FPSO Block 20/11"/>
    <s v="Punch List Procedure"/>
    <n v="40"/>
    <n v="3672.4"/>
    <s v="Q1 2025"/>
    <n v="40"/>
    <s v="Q1 2025"/>
    <m/>
  </r>
  <r>
    <s v="667100"/>
    <s v="Spano Michele"/>
    <s v="Saipem SpA Milan"/>
    <x v="4"/>
    <x v="1"/>
    <s v="Middle Manager exp Abu-Dhabi"/>
    <n v="84.82"/>
    <n v="91.81"/>
    <m/>
    <n v="91.81"/>
    <n v="181.75"/>
    <n v="2181"/>
    <e v="#VALUE!"/>
    <n v="0"/>
    <m/>
    <s v="Liverpool Bay WP3"/>
    <s v="Punch List Procedure"/>
    <n v="40"/>
    <n v="3672.4"/>
    <s v="Setup, Q4 2025"/>
    <m/>
    <s v="Hold - to be reviewed in January 2025, after signing the EPC contract with ENI."/>
    <m/>
  </r>
  <r>
    <s v="667100"/>
    <s v="Spano Michele"/>
    <s v="Saipem SpA Milan"/>
    <x v="4"/>
    <x v="1"/>
    <s v="Middle Manager exp Abu-Dhabi"/>
    <n v="84.82"/>
    <n v="91.81"/>
    <m/>
    <n v="91.81"/>
    <n v="181.75"/>
    <n v="2181"/>
    <e v="#VALUE!"/>
    <n v="0"/>
    <m/>
    <s v="Bioraffineria Livorno"/>
    <s v="Punch List Training"/>
    <n v="70"/>
    <n v="6426.7"/>
    <s v="Setup Q1 2025"/>
    <n v="0"/>
    <s v="Not Required"/>
    <m/>
  </r>
  <r>
    <s v="667100"/>
    <s v="Spano Michele"/>
    <s v="Saipem SpA Milan"/>
    <x v="4"/>
    <x v="1"/>
    <s v="Middle Manager exp Abu-Dhabi"/>
    <n v="84.82"/>
    <n v="91.81"/>
    <m/>
    <n v="91.81"/>
    <n v="181.75"/>
    <n v="2181"/>
    <e v="#VALUE!"/>
    <n v="0"/>
    <m/>
    <s v="DOW Chinok Plant (LP8)"/>
    <s v="Punch List Training"/>
    <n v="70"/>
    <n v="6426.7"/>
    <s v="Q1 2025"/>
    <n v="70"/>
    <s v="Q1 2025"/>
    <m/>
  </r>
  <r>
    <s v="667100"/>
    <s v="Spano Michele"/>
    <s v="Saipem SpA Milan"/>
    <x v="4"/>
    <x v="1"/>
    <s v="Middle Manager exp Abu-Dhabi"/>
    <n v="84.82"/>
    <n v="91.81"/>
    <m/>
    <n v="91.81"/>
    <n v="181.75"/>
    <n v="2181"/>
    <e v="#VALUE!"/>
    <n v="0"/>
    <m/>
    <s v="Kaminho FPSO Block 20/11"/>
    <s v="Punch List Training"/>
    <n v="70"/>
    <n v="6426.7"/>
    <s v="Q1 2025"/>
    <n v="0"/>
    <s v="Not Required"/>
    <m/>
  </r>
  <r>
    <s v="667100"/>
    <s v="Spano Michele"/>
    <s v="Saipem SpA Milan"/>
    <x v="4"/>
    <x v="1"/>
    <s v="Middle Manager exp Abu-Dhabi"/>
    <n v="84.82"/>
    <n v="91.81"/>
    <m/>
    <n v="91.81"/>
    <n v="181.75"/>
    <n v="2181"/>
    <e v="#VALUE!"/>
    <n v="0"/>
    <m/>
    <s v="Liverpool Bay WP3"/>
    <s v="Punch List Training"/>
    <n v="70"/>
    <n v="6426.7"/>
    <s v="Setup, Q3 2025"/>
    <m/>
    <s v="Hold - to be reviewed in January 2025, after signing the EPC contract with ENI."/>
    <m/>
  </r>
  <r>
    <s v="667100"/>
    <s v="Spano Michele"/>
    <s v="Saipem SpA Milan"/>
    <x v="4"/>
    <x v="1"/>
    <s v="Middle Manager exp Abu-Dhabi"/>
    <n v="84.82"/>
    <n v="91.81"/>
    <m/>
    <n v="91.81"/>
    <n v="181.75"/>
    <n v="2181"/>
    <e v="#VALUE!"/>
    <n v="0"/>
    <m/>
    <s v="Hail &amp; Ghasha Pkg 1 Island"/>
    <s v="System Completion Lead, preparation of procedures and setup of Mechanical Completion."/>
    <n v="216"/>
    <n v="19830.96"/>
    <s v="from Jan to Dec 2025"/>
    <n v="216"/>
    <s v="from Jan to Dec 2025"/>
    <m/>
  </r>
  <r>
    <s v="667100"/>
    <s v="Spano Michele"/>
    <s v="Saipem SpA Milan"/>
    <x v="4"/>
    <x v="1"/>
    <s v="Middle Manager exp Abu-Dhabi"/>
    <n v="84.82"/>
    <n v="91.81"/>
    <m/>
    <n v="91.81"/>
    <n v="181.75"/>
    <n v="2181"/>
    <e v="#VALUE!"/>
    <n v="0"/>
    <m/>
    <s v="Rovuma LNG FEED"/>
    <s v="System Completion Lead, preparation of procedures and setup of Mechanical Completion."/>
    <n v="540"/>
    <n v="49577.4"/>
    <s v="from Jan to Jun 2025"/>
    <n v="900"/>
    <s v="Nov 24 - Sep 25 _x000a_(50% x 8 mesi + 30% x 4 mesi)"/>
    <m/>
  </r>
  <r>
    <s v="667100"/>
    <s v="Spano Michele"/>
    <s v="Saipem SpA Milan"/>
    <x v="4"/>
    <x v="1"/>
    <s v="Middle Manager exp Abu-Dhabi"/>
    <n v="84.82"/>
    <n v="91.81"/>
    <m/>
    <n v="91.81"/>
    <n v="181.75"/>
    <n v="2181"/>
    <e v="#VALUE!"/>
    <n v="0"/>
    <m/>
    <s v="KUTEI FPSO"/>
    <s v="System Completion Lead, preparation of procedures and setup of Mechanical Completion."/>
    <n v="250"/>
    <n v="22952.5"/>
    <s v="Setup, Q3 2025"/>
    <m/>
    <s v="-"/>
    <m/>
  </r>
  <r>
    <s v="667111"/>
    <s v="Spooling operator Spooling operator"/>
    <s v="Local Agency"/>
    <x v="0"/>
    <x v="0"/>
    <s v="White Collar Local Agency"/>
    <m/>
    <m/>
    <m/>
    <n v="5.416666666666667"/>
    <m/>
    <m/>
    <m/>
    <m/>
    <m/>
    <s v="NGC Phase 1 Project"/>
    <s v="Shop drawing development, (ensorsment Red Line Mark-up and As-built). FORECAST"/>
    <n v="2880"/>
    <n v="0"/>
    <s v="from Jan to Dec 2025_x000a_FORECAST"/>
    <n v="1000"/>
    <s v="from Jan to Sep 2025"/>
    <m/>
  </r>
  <r>
    <s v="667111"/>
    <s v="Spooling operator Spooling operator"/>
    <s v="Local Agency"/>
    <x v="0"/>
    <x v="0"/>
    <s v="White Collar Local Agency"/>
    <m/>
    <m/>
    <m/>
    <n v="5.416666666666667"/>
    <m/>
    <m/>
    <m/>
    <m/>
    <m/>
    <s v="Haifa Ammonia Plant"/>
    <s v="Shop drawing development, (ensorsment Red Line Mark-up and As-built). FORECAST"/>
    <n v="1440"/>
    <n v="0"/>
    <s v="from Jan to Dec 2025_x000a_FORECAST"/>
    <n v="1440"/>
    <s v="from Jan to Dec 2025_x000a_FORECAST"/>
    <m/>
  </r>
  <r>
    <s v="667111"/>
    <s v="Spooling operator Spooling operator"/>
    <s v="Local Agency"/>
    <x v="0"/>
    <x v="0"/>
    <s v="White Collar Local Agency"/>
    <m/>
    <m/>
    <m/>
    <n v="5.416666666666667"/>
    <m/>
    <m/>
    <m/>
    <m/>
    <m/>
    <s v="Jafurah Pkg 4"/>
    <s v="Shop drawing development, (first issue, ensorsment Red Line Mark-up and As-built). FORECAST"/>
    <n v="1440"/>
    <n v="0"/>
    <s v="from Jan to Dec 2025_x000a_FORECAST"/>
    <n v="850"/>
    <s v="From Jan to Apr 2025"/>
    <m/>
  </r>
  <r>
    <s v="667111"/>
    <s v="Spooling operator Spooling operator"/>
    <s v="Local Agency"/>
    <x v="0"/>
    <x v="0"/>
    <s v="White Collar Local Agency"/>
    <m/>
    <m/>
    <m/>
    <n v="5.416666666666667"/>
    <m/>
    <m/>
    <m/>
    <m/>
    <m/>
    <s v="Liverpool Bay WP3"/>
    <s v="Shop drawing development, (first issue, ensorsment Red Line Mark-up and As-built). FORECAST"/>
    <n v="682"/>
    <n v="0"/>
    <s v="from Nov to Dec 2026_x000a_FORECAST"/>
    <m/>
    <s v="Hold - to be reviewed in January 2025, after signing the EPC contract with ENI."/>
    <m/>
  </r>
  <r>
    <s v="667111"/>
    <s v="Spooling operator Spooling operator"/>
    <s v="Local Agency"/>
    <x v="0"/>
    <x v="0"/>
    <s v="White Collar Local Agency"/>
    <m/>
    <m/>
    <m/>
    <n v="5.416666666666667"/>
    <m/>
    <m/>
    <m/>
    <m/>
    <m/>
    <s v="Bioraffineria Livorno"/>
    <s v="Shop drawing development, (first issue, ensorsment Red Line Mark-up and As-built)."/>
    <n v="5000"/>
    <n v="0"/>
    <s v="from Jan to Dec 2025"/>
    <m/>
    <s v="Pending feedback"/>
    <m/>
  </r>
  <r>
    <s v="667111"/>
    <s v="Spooling operator Spooling operator"/>
    <s v="Local Agency"/>
    <x v="0"/>
    <x v="0"/>
    <s v="White Collar Local Agency"/>
    <m/>
    <m/>
    <m/>
    <n v="5.416666666666667"/>
    <m/>
    <m/>
    <m/>
    <m/>
    <m/>
    <s v="Perdaman Burrup Urea Project"/>
    <s v="Shop drawing development, no metallic material (first issue, ensorsment Red Line Mark-up and As-built)."/>
    <n v="1440"/>
    <n v="0"/>
    <s v="from Jan to Jun 2025"/>
    <n v="0"/>
    <s v="Not Required"/>
    <m/>
  </r>
  <r>
    <s v="667111"/>
    <s v="Spooling operator Spooling operator"/>
    <s v="Local Agency"/>
    <x v="0"/>
    <x v="0"/>
    <s v="White Collar Local Agency"/>
    <m/>
    <m/>
    <m/>
    <n v="5.416666666666667"/>
    <m/>
    <m/>
    <m/>
    <m/>
    <m/>
    <s v="Perdaman Burrup Urea Project"/>
    <s v="Shop drawing development, package (first issue, ensorsment Red Line Mark-up and As-built). FORECAST"/>
    <n v="1600"/>
    <n v="0"/>
    <s v="from Jan to Dec 2025_x000a_FORECAST"/>
    <n v="1600"/>
    <s v="from Jan to Dec 2025_x000a_FORECAST"/>
    <m/>
  </r>
  <r>
    <s v="667111"/>
    <s v="Spooling operator Spooling operator"/>
    <s v="Local Agency"/>
    <x v="0"/>
    <x v="0"/>
    <s v="White Collar Local Agency"/>
    <m/>
    <m/>
    <m/>
    <n v="5.416666666666667"/>
    <m/>
    <m/>
    <m/>
    <m/>
    <m/>
    <s v="DOW Chinok Plant (LP8)"/>
    <s v="Shop drawing development, package (first issue, ensorsment Red Line Mark-up and As-built). FORECAST"/>
    <n v="5833"/>
    <n v="0"/>
    <s v="from Jan to Dec 2025_x000a_FORECAST"/>
    <n v="0"/>
    <s v="Not Required"/>
    <m/>
  </r>
  <r>
    <s v="667111"/>
    <s v="Steel Detailer Steel Detailer"/>
    <s v="Local Agency"/>
    <x v="0"/>
    <x v="0"/>
    <s v="White Collar Local Agency"/>
    <m/>
    <m/>
    <m/>
    <n v="6.25"/>
    <m/>
    <m/>
    <m/>
    <m/>
    <m/>
    <s v="Perdaman Burrup Urea Project"/>
    <s v="Preparation of General Arrangement, geolocation of Piping Support on Steel Structure (Module)."/>
    <n v="1440"/>
    <n v="0"/>
    <s v="from Jan to Jun 2025"/>
    <n v="0"/>
    <s v="Not Required"/>
    <m/>
  </r>
  <r>
    <s v="667111"/>
    <s v="Steel Detailer Steel Detailer"/>
    <s v="Local Agency"/>
    <x v="0"/>
    <x v="0"/>
    <s v="White Collar Local Agency"/>
    <m/>
    <m/>
    <m/>
    <n v="6.25"/>
    <m/>
    <m/>
    <m/>
    <m/>
    <m/>
    <s v="Perdaman Burrup Urea Project"/>
    <s v="Preparation of General Arrangement, geolocation of Piping Support on Steel Structure (Module)."/>
    <n v="1440"/>
    <n v="0"/>
    <s v="from Jan to Jun 2025"/>
    <n v="0"/>
    <s v="Not Required"/>
    <m/>
  </r>
  <r>
    <s v="667111"/>
    <s v="Steel Detailer Steel Detailer"/>
    <s v="Local Agency"/>
    <x v="0"/>
    <x v="0"/>
    <s v="White Collar Local Agency"/>
    <m/>
    <m/>
    <m/>
    <n v="6.25"/>
    <m/>
    <m/>
    <m/>
    <m/>
    <m/>
    <s v="Hail &amp; Ghasha Pkg 1 Island"/>
    <s v="Preparation of General Arrangement, geolocation of Piping Support on Steel Structure (Module). Including Box Fireproofing."/>
    <n v="1440"/>
    <n v="0"/>
    <s v="from Jan to Jun 2025"/>
    <n v="1440"/>
    <s v="from Jan to Jun 2025"/>
    <m/>
  </r>
  <r>
    <s v="667111"/>
    <s v="Steel Detailer Steel Detailer"/>
    <s v="Local Agency"/>
    <x v="0"/>
    <x v="0"/>
    <s v="White Collar Local Agency"/>
    <m/>
    <m/>
    <m/>
    <n v="6.25"/>
    <m/>
    <m/>
    <m/>
    <m/>
    <m/>
    <s v="Hail &amp; Ghasha Pkg 1 Island"/>
    <s v="Preparation of General Arrangement, geolocation of Piping Support on Steel Structure (Module). Including Box Fireproofing."/>
    <n v="1440"/>
    <n v="0"/>
    <s v="from Jan to Jun 2025"/>
    <n v="1440"/>
    <s v="from Jan to Jun 2025"/>
    <m/>
  </r>
  <r>
    <s v="667111"/>
    <s v="Sukumaran Mahesh"/>
    <s v="Local Agency"/>
    <x v="0"/>
    <x v="0"/>
    <s v="White Collar Local Agency"/>
    <m/>
    <m/>
    <n v="4.583333333333333"/>
    <n v="4.583333333333333"/>
    <m/>
    <m/>
    <m/>
    <m/>
    <s v="proposal demob"/>
    <m/>
    <m/>
    <m/>
    <n v="0"/>
    <m/>
    <m/>
    <m/>
    <m/>
  </r>
  <r>
    <s v="667111"/>
    <s v="Tikhonova  Natalia"/>
    <s v="Local Agency"/>
    <x v="2"/>
    <x v="0"/>
    <s v="White Collar Local Agency"/>
    <m/>
    <m/>
    <n v="7.5"/>
    <n v="7.5"/>
    <n v="240"/>
    <n v="2880"/>
    <e v="#VALUE!"/>
    <n v="0"/>
    <m/>
    <s v="NLNG 7 Bonny Island"/>
    <s v="Feasibility study, piping spool and tie-in."/>
    <n v="360"/>
    <n v="0"/>
    <s v="from Jan to Mar 2025"/>
    <n v="0"/>
    <s v="Not Required"/>
    <m/>
  </r>
  <r>
    <s v="667111"/>
    <s v="Tikhonova  Natalia"/>
    <s v="Local Agency"/>
    <x v="2"/>
    <x v="0"/>
    <s v="White Collar Local Agency"/>
    <m/>
    <m/>
    <n v="7.5"/>
    <n v="7.5"/>
    <n v="240"/>
    <n v="2880"/>
    <e v="#VALUE!"/>
    <n v="0"/>
    <m/>
    <s v="Perdaman Burrup Urea Project"/>
    <s v="Feasibility study, piping spool."/>
    <n v="1440"/>
    <n v="0"/>
    <s v="from Jan to Dec 2025"/>
    <n v="1440"/>
    <s v="from Jan to Dec 2025"/>
    <m/>
  </r>
  <r>
    <s v="667111"/>
    <s v="Tikhonova  Natalia"/>
    <s v="Local Agency"/>
    <x v="2"/>
    <x v="0"/>
    <s v="White Collar Local Agency"/>
    <m/>
    <m/>
    <n v="7.5"/>
    <n v="7.5"/>
    <n v="240"/>
    <n v="2880"/>
    <e v="#VALUE!"/>
    <n v="0"/>
    <m/>
    <s v="Hail &amp; Ghasha Pkg 1 Island"/>
    <s v="Feasibility study, underground."/>
    <n v="2133.333333333333"/>
    <n v="0"/>
    <s v="from Jan to Dec 2025"/>
    <n v="1856"/>
    <s v="from Jan to Dec 2025"/>
    <m/>
  </r>
  <r>
    <s v="667111"/>
    <s v="Vayankarankuzhiyil Ramchandran Vishnu"/>
    <s v="Local Agency"/>
    <x v="0"/>
    <x v="0"/>
    <s v="White Collar Local Agency"/>
    <m/>
    <m/>
    <n v="5.416666666666667"/>
    <n v="5.416666666666667"/>
    <n v="240"/>
    <n v="2880"/>
    <e v="#VALUE!"/>
    <n v="0"/>
    <m/>
    <s v="Perdaman Burrup Urea Project"/>
    <s v="Spooling Coordinator."/>
    <n v="2880"/>
    <n v="0"/>
    <s v="from Jan to Dec 2025"/>
    <n v="2880"/>
    <s v="from Jan to Dec 2025"/>
    <m/>
  </r>
  <r>
    <s v="667111"/>
    <s v="Vazquez Noriega Nestor Gerardo"/>
    <s v="Local Agency"/>
    <x v="3"/>
    <x v="0"/>
    <s v="White Collar Local Agency"/>
    <m/>
    <m/>
    <m/>
    <m/>
    <m/>
    <m/>
    <m/>
    <m/>
    <m/>
    <s v="Berri Abu Ali Crude and KGP"/>
    <s v="DDC (Data Driven Construction) 3D Reporting"/>
    <n v="48"/>
    <n v="0"/>
    <s v="from Jan to Dec 2025"/>
    <n v="0"/>
    <s v="Not Required"/>
    <m/>
  </r>
  <r>
    <s v="667111"/>
    <s v="Vazquez Noriega Nestor Gerardo"/>
    <s v="Local Agency"/>
    <x v="3"/>
    <x v="0"/>
    <s v="White Collar Local Agency"/>
    <m/>
    <m/>
    <m/>
    <m/>
    <m/>
    <m/>
    <m/>
    <m/>
    <m/>
    <s v="NLNG 7 Bonny Island"/>
    <s v="DDC (Data Driven Construction) 3D Reporting"/>
    <n v="48"/>
    <n v="0"/>
    <s v="from Jan to Dec 2025"/>
    <n v="48"/>
    <s v="from Jan to Dec 2025"/>
    <m/>
  </r>
  <r>
    <s v="667111"/>
    <s v="Vazquez Noriega Nestor Gerardo"/>
    <s v="Local Agency"/>
    <x v="3"/>
    <x v="0"/>
    <s v="White Collar Local Agency"/>
    <m/>
    <m/>
    <m/>
    <m/>
    <m/>
    <m/>
    <m/>
    <m/>
    <m/>
    <s v="Perdaman Burrup Urea Project"/>
    <s v="DDC (Data Driven Construction) 3D Reporting"/>
    <n v="144"/>
    <n v="0"/>
    <s v="from Jan to Dec 2025"/>
    <n v="144"/>
    <s v="from Jan to Dec 2025"/>
    <m/>
  </r>
  <r>
    <s v="667111"/>
    <s v="Vazquez Noriega Nestor Gerardo"/>
    <s v="Local Agency"/>
    <x v="3"/>
    <x v="0"/>
    <s v="White Collar Local Agency"/>
    <m/>
    <m/>
    <m/>
    <m/>
    <m/>
    <m/>
    <m/>
    <m/>
    <m/>
    <s v="Hail &amp; Ghasha Pkg 1 Island"/>
    <s v="DDC (Data Driven Construction) 3D Reporting"/>
    <n v="144"/>
    <n v="0"/>
    <s v="from Jan to Dec 2025"/>
    <n v="144"/>
    <s v="from Jan to Dec 2025"/>
    <m/>
  </r>
  <r>
    <s v="667111"/>
    <s v="Vazquez Noriega Nestor Gerardo"/>
    <s v="Local Agency"/>
    <x v="3"/>
    <x v="0"/>
    <s v="White Collar Local Agency"/>
    <m/>
    <m/>
    <m/>
    <m/>
    <m/>
    <m/>
    <m/>
    <m/>
    <m/>
    <s v="Kaminho FPSO Block 20/11"/>
    <s v="DDC (Data Driven Construction) 3D Reporting"/>
    <n v="144"/>
    <n v="0"/>
    <s v="From Apr to Dec 2025"/>
    <n v="144"/>
    <s v="From Apr to Dec 2025"/>
    <m/>
  </r>
  <r>
    <s v="667111"/>
    <s v="Vazquez Noriega Nestor Gerardo"/>
    <s v="Local Agency"/>
    <x v="3"/>
    <x v="0"/>
    <s v="White Collar Local Agency"/>
    <m/>
    <m/>
    <m/>
    <m/>
    <m/>
    <m/>
    <m/>
    <m/>
    <m/>
    <s v="Liverpool Bay WP3"/>
    <s v="DDC (Data Driven Construction) 3D Reporting"/>
    <n v="36"/>
    <n v="0"/>
    <s v="From Oct to Dec 2025"/>
    <m/>
    <s v="Hold - to be reviewed in January 2025, after signing the EPC contract with ENI."/>
    <m/>
  </r>
  <r>
    <s v="667111"/>
    <s v="Vazquez Noriega Nestor Gerardo"/>
    <s v="Local Agency"/>
    <x v="3"/>
    <x v="0"/>
    <s v="White Collar Local Agency"/>
    <m/>
    <m/>
    <m/>
    <m/>
    <m/>
    <m/>
    <m/>
    <m/>
    <m/>
    <s v="Bioraffineria Livorno"/>
    <s v="DDC (Data Driven Construction) 3D Reporting"/>
    <n v="144"/>
    <n v="0"/>
    <s v="from Jan to Dec 2025"/>
    <n v="0"/>
    <s v="Not Required"/>
    <m/>
  </r>
  <r>
    <s v="667111"/>
    <s v="Vazquez Noriega Nestor Gerardo"/>
    <s v="Local Agency"/>
    <x v="3"/>
    <x v="0"/>
    <s v="White Collar Local Agency"/>
    <m/>
    <m/>
    <m/>
    <m/>
    <m/>
    <m/>
    <m/>
    <m/>
    <m/>
    <s v="DOW Chinok Plant (LP8)"/>
    <s v="DDC (Data Driven Construction) 3D Reporting"/>
    <n v="144"/>
    <n v="0"/>
    <s v="from Jan to Dec 2025"/>
    <m/>
    <s v="Hold"/>
    <m/>
  </r>
  <r>
    <s v="667111"/>
    <s v="Vazquez Noriega Nestor Gerardo"/>
    <s v="Local Agency"/>
    <x v="3"/>
    <x v="0"/>
    <s v="White Collar Local Agency"/>
    <m/>
    <m/>
    <m/>
    <m/>
    <m/>
    <m/>
    <m/>
    <m/>
    <m/>
    <s v="Marjan Pkg 10"/>
    <s v="DDC (Data Driven Construction) 3D Reporting"/>
    <n v="48"/>
    <n v="0"/>
    <s v="from Jan to Dec 2025"/>
    <n v="48"/>
    <s v="from Jan to Dec 2025"/>
    <m/>
  </r>
  <r>
    <s v="667111"/>
    <s v="Vazquez Noriega Nestor Gerardo"/>
    <s v="Local Agency"/>
    <x v="3"/>
    <x v="0"/>
    <s v="White Collar Local Agency"/>
    <m/>
    <m/>
    <m/>
    <m/>
    <m/>
    <m/>
    <m/>
    <m/>
    <m/>
    <s v="NLNG 7 Bonny Island"/>
    <s v="WiTS (Welding Integrated Tracking System) Data Entry Support"/>
    <n v="180"/>
    <n v="0"/>
    <s v="from Jan to Dec 2025"/>
    <n v="0"/>
    <s v="Not Required"/>
    <m/>
  </r>
  <r>
    <s v="667111"/>
    <s v="Vazquez Noriega Nestor Gerardo"/>
    <s v="Local Agency"/>
    <x v="3"/>
    <x v="0"/>
    <s v="White Collar Local Agency"/>
    <m/>
    <m/>
    <m/>
    <m/>
    <m/>
    <m/>
    <m/>
    <m/>
    <m/>
    <s v="Perdaman Burrup Urea Project"/>
    <s v="WiTS (Welding Integrated Tracking System) Data Entry Support"/>
    <n v="180"/>
    <n v="0"/>
    <s v="from Jan to Dec 2025"/>
    <n v="0"/>
    <s v="Not Required"/>
    <m/>
  </r>
  <r>
    <s v="667111"/>
    <s v="Vazquez Noriega Nestor Gerardo"/>
    <s v="Local Agency"/>
    <x v="3"/>
    <x v="0"/>
    <s v="White Collar Local Agency"/>
    <m/>
    <m/>
    <m/>
    <m/>
    <m/>
    <m/>
    <m/>
    <m/>
    <m/>
    <s v="Hail &amp; Ghasha Pkg 1 Island"/>
    <s v="WiTS (Welding Integrated Tracking System) Data Entry Support"/>
    <n v="360"/>
    <n v="0"/>
    <s v="from Jan to Dec 2025"/>
    <n v="360"/>
    <s v="from Jan to Dec 2025"/>
    <m/>
  </r>
  <r>
    <s v="667111"/>
    <s v="Vazquez Noriega Nestor Gerardo"/>
    <s v="Local Agency"/>
    <x v="3"/>
    <x v="0"/>
    <s v="White Collar Local Agency"/>
    <m/>
    <m/>
    <m/>
    <m/>
    <m/>
    <m/>
    <m/>
    <m/>
    <m/>
    <s v="Jafurah Pkg 4"/>
    <s v="WiTS (Welding Integrated Tracking System) Data Entry Support"/>
    <n v="180"/>
    <n v="0"/>
    <s v="from Jan to Dec 2025"/>
    <n v="100"/>
    <s v="From Jan to Apr 2025"/>
    <m/>
  </r>
  <r>
    <s v="667111"/>
    <s v="Vazquez Noriega Nestor Gerardo"/>
    <s v="Local Agency"/>
    <x v="3"/>
    <x v="0"/>
    <s v="White Collar Local Agency"/>
    <m/>
    <m/>
    <m/>
    <m/>
    <m/>
    <m/>
    <m/>
    <m/>
    <m/>
    <s v="Kaminho FPSO Block 20/11"/>
    <s v="WiTS (Welding Integrated Tracking System) Data Entry Support"/>
    <n v="240"/>
    <n v="0"/>
    <s v="From Apr to Dec 2025"/>
    <n v="240"/>
    <s v="From Apr to Dec 2025"/>
    <m/>
  </r>
  <r>
    <s v="667111"/>
    <s v="Vazquez Noriega Nestor Gerardo"/>
    <s v="Local Agency"/>
    <x v="3"/>
    <x v="0"/>
    <s v="White Collar Local Agency"/>
    <m/>
    <m/>
    <m/>
    <m/>
    <m/>
    <m/>
    <m/>
    <m/>
    <m/>
    <s v="Liverpool Bay WP3"/>
    <s v="WiTS (Welding Integrated Tracking System) Data Entry Support"/>
    <n v="90"/>
    <n v="0"/>
    <s v="From Oct to Dec 2025"/>
    <m/>
    <s v="Hold - to be reviewed in January 2025, after signing the EPC contract with ENI."/>
    <m/>
  </r>
  <r>
    <s v="667111"/>
    <s v="Vazquez Noriega Nestor Gerardo"/>
    <s v="Local Agency"/>
    <x v="3"/>
    <x v="0"/>
    <s v="White Collar Local Agency"/>
    <m/>
    <m/>
    <m/>
    <m/>
    <m/>
    <m/>
    <m/>
    <m/>
    <m/>
    <s v="Bioraffineria Livorno"/>
    <s v="WiTS (Welding Integrated Tracking System) Data Entry Support"/>
    <n v="260"/>
    <n v="0"/>
    <s v="from Jan to Dec 2025"/>
    <n v="0"/>
    <s v="Not Required"/>
    <m/>
  </r>
  <r>
    <s v="667111"/>
    <s v="Vazquez Noriega Nestor Gerardo"/>
    <s v="Local Agency"/>
    <x v="3"/>
    <x v="0"/>
    <s v="White Collar Local Agency"/>
    <m/>
    <m/>
    <m/>
    <m/>
    <m/>
    <m/>
    <m/>
    <m/>
    <m/>
    <s v="DOW Chinok Plant (LP8)"/>
    <s v="WiTS (Welding Integrated Tracking System) Data Entry Support"/>
    <n v="260"/>
    <n v="0"/>
    <s v="from Jan to Dec 2025"/>
    <n v="260"/>
    <s v="from Jan to Dec 2025"/>
    <m/>
  </r>
  <r>
    <s v="667111"/>
    <s v="Vazquez Noriega Nestor Gerardo"/>
    <s v="Local Agency"/>
    <x v="3"/>
    <x v="0"/>
    <s v="White Collar Local Agency"/>
    <m/>
    <m/>
    <m/>
    <m/>
    <m/>
    <m/>
    <m/>
    <m/>
    <m/>
    <s v="NGC Phase 1 Project"/>
    <s v="WiTS (Welding Integrated Tracking System) Data Entry Support"/>
    <n v="100"/>
    <n v="0"/>
    <s v="from Jan to Dec 2025"/>
    <n v="0"/>
    <s v="Not Required"/>
    <m/>
  </r>
  <r>
    <s v="667111"/>
    <s v="Vazquez Noriega Nestor Gerardo"/>
    <s v="Local Agency"/>
    <x v="3"/>
    <x v="0"/>
    <s v="White Collar Local Agency"/>
    <m/>
    <m/>
    <m/>
    <m/>
    <m/>
    <m/>
    <m/>
    <m/>
    <m/>
    <s v="Congo LNG/Scarabeo 5 Conversion"/>
    <s v="WiTS (Welding Integrated Tracking System) Data Entry Support"/>
    <n v="100"/>
    <n v="0"/>
    <s v="from Jan to Dec 2025"/>
    <n v="0"/>
    <s v="Not Required"/>
    <m/>
  </r>
  <r>
    <s v="667100"/>
    <s v="Rodríguez López Hugo"/>
    <s v="Saipem SpA Abu Dhabi Branch"/>
    <x v="0"/>
    <x v="1"/>
    <s v="Senior local Abu-Dhabi"/>
    <n v="57.21"/>
    <n v="61.93"/>
    <m/>
    <n v="61.93"/>
    <n v="174.91666666666666"/>
    <n v="2099"/>
    <e v="#VALUE!"/>
    <n v="0"/>
    <m/>
    <s v="Thai Oil Clean Fuel Project (CFP)"/>
    <s v="Piping Leader."/>
    <n v="270"/>
    <n v="16721.099999999999"/>
    <s v="from Jan to Mar 2025"/>
    <n v="270"/>
    <s v="from Jan to Mar 2025"/>
    <m/>
  </r>
  <r>
    <s v="667100"/>
    <s v="Kazi Ilayas Saeed"/>
    <s v="Saipem SpA Abu Dhabi Branch"/>
    <x v="0"/>
    <x v="1"/>
    <s v="Senior local Abu-Dhabi"/>
    <n v="57.21"/>
    <n v="61.93"/>
    <m/>
    <n v="61.93"/>
    <n v="174.91666666666666"/>
    <n v="2099"/>
    <e v="#VALUE!"/>
    <n v="0"/>
    <m/>
    <s v="Thai Oil Clean Fuel Project (CFP)"/>
    <s v="Spooling Coordinator."/>
    <n v="540"/>
    <n v="33442.199999999997"/>
    <s v="from Jan to Mar 2025"/>
    <n v="540"/>
    <s v="from Jan to Mar 2025"/>
    <m/>
  </r>
  <r>
    <s v="667111"/>
    <s v="Spooling operator Spooling operator"/>
    <s v="Local Agency"/>
    <x v="0"/>
    <x v="0"/>
    <s v="White Collar Local Agency"/>
    <m/>
    <m/>
    <m/>
    <n v="5.416666666666667"/>
    <n v="0"/>
    <m/>
    <m/>
    <m/>
    <m/>
    <s v="Thai Oil Clean Fuel Project (CFP)"/>
    <s v="Module - Shop drawing development, (ensorsment Red Line Mark-up and As-built)."/>
    <n v="10800"/>
    <n v="0"/>
    <s v="from Jan to Mar 2025"/>
    <n v="10800"/>
    <s v="from Jan to Mar 2025"/>
    <m/>
  </r>
  <r>
    <n v="667100"/>
    <s v="Giganto Lea Grace"/>
    <s v="Saipem SpA Abu Dhabi Branch"/>
    <x v="0"/>
    <x v="1"/>
    <s v="Senior local Abu-Dhabi"/>
    <n v="57.21"/>
    <n v="61.93"/>
    <m/>
    <n v="61.93"/>
    <n v="174.91666666666666"/>
    <n v="2099"/>
    <e v="#VALUE!"/>
    <n v="0"/>
    <m/>
    <s v="Thai Oil Clean Fuel Project (CFP)"/>
    <s v="Document Controller."/>
    <n v="270"/>
    <n v="16721.099999999999"/>
    <s v="from Jan to Mar 2025"/>
    <n v="270"/>
    <s v="from Jan to Mar 2025"/>
    <m/>
  </r>
  <r>
    <s v="667100"/>
    <s v="Ramirez Gerardo"/>
    <s v="Saipem SpA Abu Dhabi Branch"/>
    <x v="0"/>
    <x v="1"/>
    <s v="Senior local Abu-Dhabi"/>
    <n v="57.21"/>
    <n v="61.93"/>
    <m/>
    <n v="61.93"/>
    <n v="174.91666666666666"/>
    <n v="2099"/>
    <e v="#VALUE!"/>
    <n v="0"/>
    <m/>
    <s v="Hail &amp; Ghasha Pkg 1 Island"/>
    <s v="Follow-up Technical Query (TQ Fabrication Yard) and Shop Drawing Approval and Review. Under ENG WBS (Fano Hub, CIV Dept.)."/>
    <n v="1260"/>
    <n v="78031.8"/>
    <s v="from Jan to JuL 2025"/>
    <n v="1260"/>
    <s v=" From Jan to August 2025"/>
    <m/>
  </r>
  <r>
    <s v="667100"/>
    <s v="Bardoscia Roberto"/>
    <s v="Saipem SpA Milan"/>
    <x v="2"/>
    <x v="1"/>
    <s v="Middle Manager exp Abu-Dhabi"/>
    <n v="84.82"/>
    <n v="91.81"/>
    <m/>
    <n v="91.81"/>
    <n v="181.75"/>
    <n v="2181"/>
    <e v="#VALUE!"/>
    <n v="0"/>
    <m/>
    <s v="Hail &amp; Ghasha Pkg 1 Island"/>
    <s v="Feasibility study, subsea."/>
    <n v="1080"/>
    <n v="99154.8"/>
    <s v="from Jan to Dec 2025"/>
    <n v="1080"/>
    <s v="from Jan to Dec 2025"/>
    <m/>
  </r>
  <r>
    <s v="667100"/>
    <s v="Sandri Juri"/>
    <s v="Saipem SpA Abu Dhabi Branch"/>
    <x v="2"/>
    <x v="1"/>
    <s v="White Collar exp Abu-Dhabi"/>
    <n v="33.549999999999997"/>
    <n v="36.31"/>
    <m/>
    <n v="36.31"/>
    <n v="202.58333333333334"/>
    <n v="2431"/>
    <n v="0"/>
    <n v="0"/>
    <m/>
    <s v="OSGE"/>
    <s v="Supervision Subcontractor EPIC - Piping Spool Prefabrication (including Piping support)._x000a_FORECAST"/>
    <n v="180"/>
    <n v="6535.8"/>
    <m/>
    <n v="0"/>
    <s v="Not Required"/>
    <m/>
  </r>
  <r>
    <s v="667100"/>
    <s v="Sharad Pande Uday"/>
    <s v="Saipem SpA Abu Dhabi Branch"/>
    <x v="3"/>
    <x v="1"/>
    <s v="Senior local Abu-Dhabi"/>
    <n v="33.549999999999997"/>
    <n v="61.93"/>
    <m/>
    <n v="36.31"/>
    <n v="202.58333333333334"/>
    <n v="2431"/>
    <e v="#VALUE!"/>
    <n v="0"/>
    <m/>
    <s v="OSGE"/>
    <s v="WiTS (Welding Integrated Tracking System) Data Entry Support._x000a_FORECAST"/>
    <n v="180"/>
    <n v="11147.4"/>
    <s v="from Jan to Mar 2025"/>
    <n v="180"/>
    <s v="from Jan to Mar 2025"/>
    <m/>
  </r>
  <r>
    <s v="667100"/>
    <s v="Ramirez Gerardo"/>
    <s v="Saipem SpA Abu Dhabi Branch"/>
    <x v="0"/>
    <x v="1"/>
    <s v="Senior local Abu-Dhabi"/>
    <n v="57.21"/>
    <n v="61.93"/>
    <m/>
    <n v="61.93"/>
    <n v="174.91666666666666"/>
    <n v="2099"/>
    <e v="#VALUE!"/>
    <n v="0"/>
    <m/>
    <s v="Kaminho FPSO Block 20/11"/>
    <s v="Shop Drawing Structural only Review."/>
    <n v="1620"/>
    <n v="100326.6"/>
    <s v="From Apr to Dec 2025"/>
    <n v="1620"/>
    <s v="From Apr to Dec 2025"/>
    <m/>
  </r>
  <r>
    <s v="667100"/>
    <s v="Castro Segura Roberto Jorge"/>
    <s v="Saipem SpA Abu Dhabi Branch"/>
    <x v="0"/>
    <x v="1"/>
    <s v="Senior local Abu-Dhabi"/>
    <n v="57.21"/>
    <n v="61.93"/>
    <m/>
    <n v="61.93"/>
    <n v="174.91666666666666"/>
    <n v="2099"/>
    <n v="0"/>
    <n v="0"/>
    <m/>
    <s v="NLNG 7 Bonny Island"/>
    <s v="Revision of Shop Drawing + Nesting of Ambar portion"/>
    <m/>
    <m/>
    <m/>
    <m/>
    <s v="from Jan to Mar 2025"/>
    <n v="140"/>
  </r>
  <r>
    <s v="667111"/>
    <s v="Steel Detailer Steel Detailer"/>
    <s v="Local Agency"/>
    <x v="0"/>
    <x v="0"/>
    <s v="White Collar Local Agency"/>
    <m/>
    <m/>
    <m/>
    <n v="6.25"/>
    <m/>
    <m/>
    <m/>
    <m/>
    <m/>
    <s v="NLNG 7 Bonny Island"/>
    <s v="Revision of Shop Drawing + Nesting of Ambar portion"/>
    <m/>
    <m/>
    <m/>
    <m/>
    <s v="from Jan to Mar 2025"/>
    <n v="1077"/>
  </r>
  <r>
    <m/>
    <s v=" "/>
    <m/>
    <x v="0"/>
    <x v="3"/>
    <m/>
    <m/>
    <m/>
    <m/>
    <n v="0"/>
    <n v="0"/>
    <m/>
    <e v="#DIV/0!"/>
    <e v="#DIV/0!"/>
    <m/>
    <s v="NLNG 7 Bonny Island"/>
    <s v="Shop Drawing Piping - Revisions. (around 900 iso's)"/>
    <m/>
    <m/>
    <m/>
    <m/>
    <s v="from Feb to Mar 2025"/>
    <n v="1153"/>
  </r>
  <r>
    <s v="667100"/>
    <s v="Casanova Aviles Julio Cesar"/>
    <s v="Saipem SpA Abu Dhabi Branch"/>
    <x v="0"/>
    <x v="1"/>
    <s v="Senior local Abu-Dhabi"/>
    <n v="57.21"/>
    <n v="61.93"/>
    <m/>
    <n v="61.93"/>
    <n v="174.91666666666666"/>
    <n v="2099"/>
    <n v="0"/>
    <n v="0.47641734159123394"/>
    <m/>
    <s v="Hail &amp; Ghasha Pkg 1 Island"/>
    <s v="Preparation of General Arrangement for PAU on Steel Structure (Module). Including Box Fireproofing."/>
    <m/>
    <m/>
    <m/>
    <m/>
    <s v="from Jan to Jun 2025"/>
    <n v="1000"/>
  </r>
  <r>
    <s v="667111"/>
    <s v="Steel Detailer Steel Detailer"/>
    <s v="Local Agency"/>
    <x v="0"/>
    <x v="0"/>
    <s v="White Collar Local Agency"/>
    <m/>
    <m/>
    <m/>
    <n v="6.25"/>
    <m/>
    <m/>
    <m/>
    <m/>
    <m/>
    <s v="Hail &amp; Ghasha Pkg 1 Island"/>
    <s v="Preparation of General Arrangement for PAU on Steel Structure (Module). Including Box Fireproofing."/>
    <m/>
    <m/>
    <m/>
    <m/>
    <s v="from Jan to Jun 2025"/>
    <n v="4185"/>
  </r>
  <r>
    <s v="667100"/>
    <s v="Casanova Aviles Julio Cesar"/>
    <s v="Saipem SpA Abu Dhabi Branch"/>
    <x v="0"/>
    <x v="1"/>
    <s v="Senior local Abu-Dhabi"/>
    <n v="57.21"/>
    <n v="61.93"/>
    <m/>
    <n v="61.93"/>
    <n v="174.91666666666666"/>
    <n v="2099"/>
    <n v="0"/>
    <n v="0"/>
    <m/>
    <s v="Hail &amp; Ghasha Pkg 1 Island"/>
    <s v="Modelling of the support cable tray on Steel Structure (Module), for PAU and PARs."/>
    <m/>
    <m/>
    <m/>
    <m/>
    <s v="from Jan to Jun 2025"/>
    <n v="0"/>
  </r>
  <r>
    <s v="667111"/>
    <s v="Steel Detailer Steel Detailer"/>
    <s v="Local Agency"/>
    <x v="0"/>
    <x v="0"/>
    <s v="White Collar Local Agency"/>
    <m/>
    <m/>
    <m/>
    <n v="6.25"/>
    <m/>
    <m/>
    <m/>
    <m/>
    <m/>
    <s v="Hail &amp; Ghasha Pkg 1 Island"/>
    <s v="Modelling of the support cable tray on Steel Structure (Module), for PAU and PARs."/>
    <m/>
    <m/>
    <m/>
    <m/>
    <s v="from Jan to Jun 2025"/>
    <n v="0"/>
  </r>
  <r>
    <s v="667100"/>
    <s v="Casanova Aviles Julio Cesar"/>
    <s v="Saipem SpA Abu Dhabi Branch"/>
    <x v="0"/>
    <x v="1"/>
    <s v="Senior local Abu-Dhabi"/>
    <n v="57.21"/>
    <n v="61.93"/>
    <m/>
    <n v="61.93"/>
    <n v="174.91666666666666"/>
    <n v="2099"/>
    <n v="0"/>
    <n v="2.3820867079561697E-2"/>
    <m/>
    <s v="NGC Phase 1 Project"/>
    <s v="Additional Piping support, Shop Drawing"/>
    <m/>
    <m/>
    <m/>
    <m/>
    <s v="from Jan to Feb 2025"/>
    <n v="50"/>
  </r>
  <r>
    <s v="667111"/>
    <s v="Steel Detailer Steel Detailer"/>
    <s v="Local Agency"/>
    <x v="0"/>
    <x v="0"/>
    <s v="White Collar Local Agency"/>
    <m/>
    <m/>
    <m/>
    <n v="6.25"/>
    <m/>
    <m/>
    <m/>
    <m/>
    <m/>
    <s v="NGC Phase 1 Project"/>
    <s v="Additional Piping support, Shop Drawing"/>
    <m/>
    <m/>
    <m/>
    <m/>
    <s v="from Jan to Feb 2025"/>
    <n v="202"/>
  </r>
  <r>
    <m/>
    <s v=" "/>
    <m/>
    <x v="3"/>
    <x v="3"/>
    <m/>
    <m/>
    <m/>
    <m/>
    <n v="0"/>
    <n v="0"/>
    <m/>
    <e v="#DIV/0!"/>
    <e v="#DIV/0!"/>
    <m/>
    <s v="Haifa Ammonia Plant"/>
    <s v="New WH Software, including Maintenance for 1 year."/>
    <m/>
    <m/>
    <m/>
    <m/>
    <s v="from Jan to Dic2025"/>
    <n v="905"/>
  </r>
  <r>
    <m/>
    <s v=" "/>
    <m/>
    <x v="3"/>
    <x v="3"/>
    <m/>
    <m/>
    <m/>
    <m/>
    <n v="0"/>
    <n v="0"/>
    <m/>
    <e v="#DIV/0!"/>
    <e v="#DIV/0!"/>
    <m/>
    <s v="Perdaman Burrup Urea Project"/>
    <s v="WiTS (Welding Integrated Tracking System) seeting of Test Pack."/>
    <m/>
    <m/>
    <m/>
    <m/>
    <s v="only Feb 2025"/>
    <n v="120"/>
  </r>
  <r>
    <s v="667111"/>
    <s v="Bassel Taha Mohamed Hassan Keshk"/>
    <s v="Local Agency"/>
    <x v="3"/>
    <x v="0"/>
    <s v="White Collar Local Agency"/>
    <m/>
    <m/>
    <n v="6.666666666666667"/>
    <n v="6.666666666666667"/>
    <n v="240"/>
    <n v="2880"/>
    <n v="0"/>
    <n v="5.5555555555555552E-2"/>
    <m/>
    <s v="DDC Upgrade"/>
    <s v="Commissioning request"/>
    <m/>
    <m/>
    <m/>
    <m/>
    <m/>
    <n v="160"/>
  </r>
  <r>
    <n v="667100"/>
    <s v="El Nahla Mohamed Mohsen Mokhtar Mohamed"/>
    <s v="Saipem SpA Abu Dhabi Branch"/>
    <x v="3"/>
    <x v="1"/>
    <s v="Senior local Abu-Dhabi"/>
    <n v="57.21"/>
    <n v="61.93"/>
    <m/>
    <n v="61.93"/>
    <n v="174.91666666666666"/>
    <n v="2099"/>
    <n v="0"/>
    <n v="6.8604097189137681E-2"/>
    <m/>
    <s v="DDC Upgrade"/>
    <s v="Commissioning request"/>
    <m/>
    <m/>
    <m/>
    <m/>
    <m/>
    <n v="144"/>
  </r>
  <r>
    <m/>
    <s v=" "/>
    <m/>
    <x v="5"/>
    <x v="3"/>
    <m/>
    <m/>
    <m/>
    <m/>
    <n v="0"/>
    <n v="0"/>
    <m/>
    <e v="#DIV/0!"/>
    <e v="#DIV/0!"/>
    <m/>
    <s v="Venezia"/>
    <s v="Effettuare splt of FABSI_List of Service HO_R3_Venezia."/>
    <m/>
    <m/>
    <m/>
    <m/>
    <s v="TBD"/>
    <n v="1950"/>
  </r>
  <r>
    <m/>
    <s v=" "/>
    <m/>
    <x v="0"/>
    <x v="3"/>
    <m/>
    <m/>
    <m/>
    <m/>
    <n v="0"/>
    <n v="0"/>
    <m/>
    <e v="#DIV/0!"/>
    <e v="#DIV/0!"/>
    <m/>
    <s v="Hail &amp; Ghasha Pkg 1 Island"/>
    <s v="Preparation of General Arrangement for Topside on Steel Structure (Module)."/>
    <m/>
    <m/>
    <m/>
    <m/>
    <s v="from Mar to Sept 2025"/>
    <n v="420"/>
  </r>
  <r>
    <m/>
    <s v=" "/>
    <m/>
    <x v="2"/>
    <x v="3"/>
    <m/>
    <m/>
    <m/>
    <m/>
    <n v="0"/>
    <n v="0"/>
    <m/>
    <e v="#DIV/0!"/>
    <e v="#DIV/0!"/>
    <m/>
    <s v="Hail &amp; Ghasha Pkg 1 Island"/>
    <s v="Feasibility study (Subsea), piping support."/>
    <m/>
    <m/>
    <m/>
    <m/>
    <s v="from Mar to Sept 2025"/>
    <n v="540"/>
  </r>
  <r>
    <m/>
    <s v=" "/>
    <m/>
    <x v="2"/>
    <x v="3"/>
    <m/>
    <m/>
    <m/>
    <m/>
    <n v="0"/>
    <n v="0"/>
    <m/>
    <e v="#DIV/0!"/>
    <e v="#DIV/0!"/>
    <m/>
    <s v="Hail &amp; Ghasha Pkg 1 Island"/>
    <s v="Feasibility study (NPCC own portion, PARs, Stick-built and Subsea), piping support."/>
    <m/>
    <m/>
    <m/>
    <m/>
    <s v="from 19 Mar to May 2025"/>
    <n v="630"/>
  </r>
  <r>
    <m/>
    <s v=" "/>
    <m/>
    <x v="3"/>
    <x v="3"/>
    <m/>
    <m/>
    <m/>
    <m/>
    <n v="0"/>
    <n v="0"/>
    <m/>
    <e v="#DIV/0!"/>
    <e v="#DIV/0!"/>
    <m/>
    <s v="Hail &amp; Ghasha Pkg 1 Island"/>
    <s v="Modification of Data-Driven Construction (DDC)"/>
    <m/>
    <m/>
    <m/>
    <m/>
    <s v="from February to April 2025"/>
    <n v="400"/>
  </r>
  <r>
    <m/>
    <s v=" "/>
    <m/>
    <x v="0"/>
    <x v="3"/>
    <m/>
    <m/>
    <m/>
    <m/>
    <n v="0"/>
    <n v="0"/>
    <m/>
    <e v="#DIV/0!"/>
    <e v="#DIV/0!"/>
    <m/>
    <s v="Hail &amp; Ghasha Pkg 1 Island"/>
    <s v="Preparation of Infill beam for electrical/instrument/telecom equipment on Steel Structure (Module)."/>
    <m/>
    <m/>
    <m/>
    <m/>
    <s v="from Apr to Sept 2025"/>
    <n v="2000"/>
  </r>
  <r>
    <m/>
    <s v=" "/>
    <m/>
    <x v="0"/>
    <x v="3"/>
    <m/>
    <m/>
    <m/>
    <m/>
    <n v="0"/>
    <n v="0"/>
    <m/>
    <e v="#DIV/0!"/>
    <e v="#DIV/0!"/>
    <m/>
    <s v="Hail &amp; Ghasha Pkg 1 Island"/>
    <s v="Preparation of Grating penetration for PAU on Steel Structure (Module)."/>
    <m/>
    <m/>
    <m/>
    <m/>
    <s v="from Mar to Sept 2025"/>
    <n v="1230"/>
  </r>
  <r>
    <m/>
    <s v=" "/>
    <m/>
    <x v="0"/>
    <x v="3"/>
    <m/>
    <m/>
    <m/>
    <m/>
    <n v="0"/>
    <n v="0"/>
    <m/>
    <e v="#DIV/0!"/>
    <e v="#DIV/0!"/>
    <m/>
    <s v="Hail &amp; Ghasha Pkg 1 Island"/>
    <s v="Shop Drawing Structural only Review."/>
    <m/>
    <n v="0"/>
    <m/>
    <m/>
    <s v="from Jun 2025 to Feb 2026"/>
    <n v="1260"/>
  </r>
  <r>
    <m/>
    <s v=" "/>
    <m/>
    <x v="2"/>
    <x v="3"/>
    <m/>
    <m/>
    <m/>
    <m/>
    <n v="0"/>
    <n v="0"/>
    <m/>
    <e v="#DIV/0!"/>
    <e v="#DIV/0!"/>
    <m/>
    <s v="Hail &amp; Ghasha Pkg 1 Island"/>
    <s v="Supervision Vendor ASSENT - Steel Engineering Company (Dubai), Steel Structure."/>
    <m/>
    <n v="0"/>
    <m/>
    <m/>
    <s v="from Jun 2025 to Mar 2026"/>
    <n v="720"/>
  </r>
  <r>
    <m/>
    <m/>
    <m/>
    <x v="5"/>
    <x v="3"/>
    <m/>
    <m/>
    <m/>
    <m/>
    <m/>
    <m/>
    <m/>
    <m/>
    <m/>
    <m/>
    <m/>
    <m/>
    <n v="137833.33333333331"/>
    <n v="3374062.2933333344"/>
    <m/>
    <n v="89814"/>
    <m/>
    <n v="18286"/>
  </r>
  <r>
    <m/>
    <m/>
    <m/>
    <x v="5"/>
    <x v="3"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036DD7-5448-4B36-B180-77B5638EF6C8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D4:G10" firstHeaderRow="0" firstDataRow="1" firstDataCol="1"/>
  <pivotFields count="23">
    <pivotField showAll="0"/>
    <pivotField showAll="0"/>
    <pivotField showAll="0"/>
    <pivotField axis="axisRow" showAll="0">
      <items count="7">
        <item x="1"/>
        <item x="0"/>
        <item x="2"/>
        <item x="3"/>
        <item x="4"/>
        <item h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dataField="1" showAl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Booking Hours" fld="17" baseField="0" baseItem="0"/>
    <dataField name="Sum of Booking hours (Accepted by Project)" fld="20" baseField="0" baseItem="0"/>
    <dataField name="Sum of Booking hours (Extra)" fld="22" baseField="0" baseItem="0"/>
  </dataFields>
  <formats count="4"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V407" dT="2025-01-09T05:30:22.29" personId="{9A3AE61E-6F7C-4B76-B8E5-337850D787CD}" id="{420E74C1-F8FA-4B1A-B31B-6A4032664BA1}">
    <text>Modifica 09 Gennaio 2025</text>
  </threadedComment>
  <threadedComment ref="W407" dT="2025-01-09T05:30:26.47" personId="{9A3AE61E-6F7C-4B76-B8E5-337850D787CD}" id="{6EEE15D3-E311-4B49-B6EE-539EC45F680D}">
    <text>Modifica 09 Gennaio 2025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J14" dT="2025-01-10T13:00:34.59" personId="{9A3AE61E-6F7C-4B76-B8E5-337850D787CD}" id="{4A5D29CC-0072-4BBA-B32D-A0083A91F0EE}">
    <text>Estimated for one year.</text>
  </threadedComment>
  <threadedComment ref="J14" dT="2025-01-10T13:01:31.42" personId="{9A3AE61E-6F7C-4B76-B8E5-337850D787CD}" id="{3E593F6F-AB08-4E05-A9DF-57812612E044}" parentId="{4A5D29CC-0072-4BBA-B32D-A0083A91F0EE}">
    <text>225 setting
720 manutenzione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J14" dT="2025-01-10T13:00:34.59" personId="{9A3AE61E-6F7C-4B76-B8E5-337850D787CD}" id="{32A00534-C64A-4AF4-A9D4-9D319FB5BA49}">
    <text>Estimated for one year.</text>
  </threadedComment>
  <threadedComment ref="J14" dT="2025-01-10T13:01:31.42" personId="{9A3AE61E-6F7C-4B76-B8E5-337850D787CD}" id="{46C22E2E-212E-4F00-926B-99FF0C99A81E}" parentId="{32A00534-C64A-4AF4-A9D4-9D319FB5BA49}">
    <text>225 setting
720 manutenzione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F1097-70FB-4FF4-B20E-056270B42879}">
  <sheetPr codeName="Sheet1"/>
  <dimension ref="A1:CZ631"/>
  <sheetViews>
    <sheetView zoomScale="55" zoomScaleNormal="55" workbookViewId="0">
      <pane ySplit="17" topLeftCell="A20" activePane="bottomLeft" state="frozen"/>
      <selection pane="bottomLeft" activeCell="H5" sqref="H5:J5"/>
    </sheetView>
  </sheetViews>
  <sheetFormatPr defaultRowHeight="13.8" x14ac:dyDescent="0.25"/>
  <cols>
    <col min="1" max="1" width="1" customWidth="1"/>
    <col min="2" max="2" width="5.3984375" customWidth="1"/>
    <col min="3" max="3" width="6.09765625" customWidth="1"/>
    <col min="4" max="6" width="16.69921875" customWidth="1"/>
    <col min="7" max="7" width="8.296875" customWidth="1"/>
    <col min="8" max="9" width="12.296875" customWidth="1"/>
    <col min="10" max="10" width="14.296875" customWidth="1"/>
    <col min="11" max="11" width="9.69921875" customWidth="1"/>
    <col min="12" max="14" width="12.296875" customWidth="1"/>
    <col min="15" max="15" width="9.09765625" customWidth="1"/>
    <col min="16" max="16" width="18.59765625" customWidth="1"/>
    <col min="17" max="17" width="19" customWidth="1"/>
    <col min="18" max="18" width="30.8984375" bestFit="1" customWidth="1"/>
    <col min="19" max="19" width="9.8984375" customWidth="1"/>
    <col min="20" max="20" width="17.69921875" customWidth="1"/>
    <col min="21" max="21" width="23.09765625" customWidth="1"/>
    <col min="22" max="23" width="16.69921875" customWidth="1"/>
    <col min="24" max="28" width="16" customWidth="1"/>
    <col min="36" max="36" width="5" customWidth="1"/>
  </cols>
  <sheetData>
    <row r="1" spans="1:104" ht="27" customHeight="1" x14ac:dyDescent="0.25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  <c r="BC1" s="26"/>
      <c r="BD1" s="26"/>
      <c r="BE1" s="26"/>
      <c r="BF1" s="26"/>
      <c r="BG1" s="26"/>
      <c r="BH1" s="26"/>
      <c r="BI1" s="26"/>
      <c r="BJ1" s="26"/>
      <c r="BK1" s="26"/>
      <c r="BL1" s="26"/>
      <c r="BM1" s="26"/>
      <c r="BN1" s="26"/>
      <c r="BO1" s="26"/>
      <c r="BP1" s="26"/>
      <c r="BQ1" s="26"/>
      <c r="BR1" s="26"/>
      <c r="BS1" s="26"/>
      <c r="BT1" s="26"/>
      <c r="BU1" s="26"/>
      <c r="BV1" s="26"/>
      <c r="BW1" s="26"/>
      <c r="BX1" s="26"/>
      <c r="BY1" s="26"/>
      <c r="BZ1" s="26"/>
      <c r="CA1" s="26"/>
      <c r="CB1" s="26"/>
      <c r="CC1" s="26"/>
      <c r="CD1" s="26"/>
      <c r="CE1" s="26"/>
      <c r="CF1" s="26"/>
      <c r="CG1" s="26"/>
      <c r="CH1" s="26"/>
      <c r="CI1" s="26"/>
      <c r="CJ1" s="26"/>
      <c r="CK1" s="26"/>
      <c r="CL1" s="26"/>
      <c r="CM1" s="26"/>
      <c r="CN1" s="26"/>
      <c r="CO1" s="26"/>
      <c r="CP1" s="26"/>
      <c r="CQ1" s="26"/>
      <c r="CR1" s="26"/>
      <c r="CS1" s="26"/>
      <c r="CT1" s="26"/>
      <c r="CU1" s="26"/>
      <c r="CV1" s="26"/>
      <c r="CW1" s="26"/>
      <c r="CX1" s="26"/>
      <c r="CY1" s="26"/>
      <c r="CZ1" s="26"/>
    </row>
    <row r="2" spans="1:104" ht="42.75" customHeight="1" x14ac:dyDescent="0.25">
      <c r="A2" s="24"/>
      <c r="B2" s="24"/>
      <c r="C2" s="205"/>
      <c r="D2" s="205"/>
      <c r="E2" s="205"/>
      <c r="F2" s="205"/>
      <c r="G2" s="205"/>
      <c r="H2" s="205"/>
      <c r="I2" s="205"/>
      <c r="J2" s="205"/>
      <c r="K2" s="205"/>
      <c r="L2" s="205"/>
      <c r="M2" s="205"/>
      <c r="N2" s="205"/>
      <c r="O2" s="205"/>
      <c r="P2" s="205"/>
      <c r="Q2" s="205"/>
      <c r="R2" s="205"/>
      <c r="S2" s="205"/>
      <c r="T2" s="205"/>
      <c r="U2" s="205"/>
      <c r="V2" s="205"/>
      <c r="W2" s="205"/>
      <c r="X2" s="205"/>
      <c r="Y2" s="205"/>
      <c r="Z2" s="205"/>
      <c r="AA2" s="205"/>
      <c r="AB2" s="205"/>
      <c r="AC2" s="205"/>
      <c r="AD2" s="205"/>
      <c r="AE2" s="205"/>
      <c r="AF2" s="205"/>
      <c r="AG2" s="205"/>
      <c r="AH2" s="205"/>
      <c r="AI2" s="205"/>
      <c r="AJ2" s="205"/>
      <c r="AK2" s="24"/>
      <c r="AL2" s="24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26"/>
      <c r="CA2" s="26"/>
      <c r="CB2" s="26"/>
      <c r="CC2" s="26"/>
      <c r="CD2" s="26"/>
      <c r="CE2" s="26"/>
      <c r="CF2" s="26"/>
      <c r="CG2" s="26"/>
      <c r="CH2" s="26"/>
      <c r="CI2" s="26"/>
      <c r="CJ2" s="26"/>
      <c r="CK2" s="26"/>
      <c r="CL2" s="26"/>
      <c r="CM2" s="26"/>
      <c r="CN2" s="26"/>
      <c r="CO2" s="26"/>
      <c r="CP2" s="26"/>
      <c r="CQ2" s="26"/>
      <c r="CR2" s="26"/>
      <c r="CS2" s="26"/>
      <c r="CT2" s="26"/>
      <c r="CU2" s="26"/>
      <c r="CV2" s="26"/>
      <c r="CW2" s="26"/>
      <c r="CX2" s="26"/>
      <c r="CY2" s="26"/>
      <c r="CZ2" s="26"/>
    </row>
    <row r="3" spans="1:104" ht="18" customHeight="1" thickBo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  <c r="CX3" s="26"/>
      <c r="CY3" s="26"/>
      <c r="CZ3" s="26"/>
    </row>
    <row r="4" spans="1:104" ht="27.75" customHeight="1" thickBot="1" x14ac:dyDescent="0.4">
      <c r="A4" s="23"/>
      <c r="B4" s="23"/>
      <c r="C4" s="23"/>
      <c r="D4" s="189" t="s">
        <v>0</v>
      </c>
      <c r="E4" s="190"/>
      <c r="F4" s="191"/>
      <c r="G4" s="25"/>
      <c r="H4" s="189" t="s">
        <v>1</v>
      </c>
      <c r="I4" s="190"/>
      <c r="J4" s="191"/>
      <c r="K4" s="25"/>
      <c r="L4" s="189" t="s">
        <v>2</v>
      </c>
      <c r="M4" s="190"/>
      <c r="N4" s="191"/>
      <c r="O4" s="25"/>
      <c r="P4" s="189" t="s">
        <v>85</v>
      </c>
      <c r="Q4" s="190"/>
      <c r="R4" s="191"/>
      <c r="S4" s="25"/>
      <c r="T4" s="189" t="s">
        <v>4</v>
      </c>
      <c r="U4" s="190"/>
      <c r="V4" s="191"/>
      <c r="W4" s="23"/>
      <c r="X4" s="189" t="s">
        <v>86</v>
      </c>
      <c r="Y4" s="190"/>
      <c r="Z4" s="191"/>
      <c r="AA4" s="23"/>
      <c r="AB4" s="210" t="s">
        <v>8</v>
      </c>
      <c r="AC4" s="206"/>
      <c r="AD4" s="206"/>
      <c r="AE4" s="206"/>
      <c r="AF4" s="206"/>
      <c r="AG4" s="206"/>
      <c r="AH4" s="206" t="s">
        <v>105</v>
      </c>
      <c r="AI4" s="207"/>
      <c r="AJ4" s="23"/>
      <c r="AK4" s="23"/>
      <c r="AL4" s="23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  <c r="CV4" s="26"/>
      <c r="CW4" s="26"/>
      <c r="CX4" s="26"/>
      <c r="CY4" s="26"/>
      <c r="CZ4" s="26"/>
    </row>
    <row r="5" spans="1:104" ht="27.75" customHeight="1" thickBot="1" x14ac:dyDescent="0.3">
      <c r="A5" s="23"/>
      <c r="B5" s="23"/>
      <c r="C5" s="23"/>
      <c r="D5" s="194" t="s">
        <v>32</v>
      </c>
      <c r="E5" s="195"/>
      <c r="F5" s="196"/>
      <c r="G5" s="23"/>
      <c r="H5" s="194"/>
      <c r="I5" s="195"/>
      <c r="J5" s="196"/>
      <c r="K5" s="23"/>
      <c r="L5" s="194"/>
      <c r="M5" s="195"/>
      <c r="N5" s="196"/>
      <c r="O5" s="23"/>
      <c r="P5" s="194"/>
      <c r="Q5" s="195"/>
      <c r="R5" s="196"/>
      <c r="S5" s="23"/>
      <c r="T5" s="194"/>
      <c r="U5" s="195"/>
      <c r="V5" s="196"/>
      <c r="W5" s="23"/>
      <c r="X5" s="194"/>
      <c r="Y5" s="195"/>
      <c r="Z5" s="196"/>
      <c r="AA5" s="23"/>
      <c r="AB5" s="211" t="s">
        <v>17</v>
      </c>
      <c r="AC5" s="212"/>
      <c r="AD5" s="212"/>
      <c r="AE5" s="212"/>
      <c r="AF5" s="212"/>
      <c r="AG5" s="212"/>
      <c r="AH5" s="208">
        <v>0</v>
      </c>
      <c r="AI5" s="209"/>
      <c r="AJ5" s="23"/>
      <c r="AK5" s="23"/>
      <c r="AL5" s="23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  <c r="CL5" s="26"/>
      <c r="CM5" s="26"/>
      <c r="CN5" s="26"/>
      <c r="CO5" s="26"/>
      <c r="CP5" s="26"/>
      <c r="CQ5" s="26"/>
      <c r="CR5" s="26"/>
      <c r="CS5" s="26"/>
      <c r="CT5" s="26"/>
      <c r="CU5" s="26"/>
      <c r="CV5" s="26"/>
      <c r="CW5" s="26"/>
      <c r="CX5" s="26"/>
      <c r="CY5" s="26"/>
      <c r="CZ5" s="26"/>
    </row>
    <row r="6" spans="1:104" ht="27.75" customHeight="1" thickBot="1" x14ac:dyDescent="0.3">
      <c r="A6" s="23"/>
      <c r="B6" s="23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11" t="s">
        <v>23</v>
      </c>
      <c r="AC6" s="212"/>
      <c r="AD6" s="212"/>
      <c r="AE6" s="212"/>
      <c r="AF6" s="212"/>
      <c r="AG6" s="212"/>
      <c r="AH6" s="208">
        <v>0</v>
      </c>
      <c r="AI6" s="209"/>
      <c r="AJ6" s="23"/>
      <c r="AK6" s="23"/>
      <c r="AL6" s="23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6"/>
      <c r="CR6" s="26"/>
      <c r="CS6" s="26"/>
      <c r="CT6" s="26"/>
      <c r="CU6" s="26"/>
      <c r="CV6" s="26"/>
      <c r="CW6" s="26"/>
      <c r="CX6" s="26"/>
      <c r="CY6" s="26"/>
      <c r="CZ6" s="26"/>
    </row>
    <row r="7" spans="1:104" ht="27.75" customHeight="1" thickBot="1" x14ac:dyDescent="0.4">
      <c r="A7" s="23"/>
      <c r="B7" s="23"/>
      <c r="C7" s="23"/>
      <c r="D7" s="189" t="s">
        <v>5</v>
      </c>
      <c r="E7" s="190"/>
      <c r="F7" s="191"/>
      <c r="G7" s="25"/>
      <c r="H7" s="189" t="s">
        <v>6</v>
      </c>
      <c r="I7" s="190"/>
      <c r="J7" s="191"/>
      <c r="K7" s="25"/>
      <c r="L7" s="189" t="s">
        <v>7</v>
      </c>
      <c r="M7" s="190"/>
      <c r="N7" s="191"/>
      <c r="O7" s="25"/>
      <c r="P7" s="189" t="s">
        <v>8</v>
      </c>
      <c r="Q7" s="190"/>
      <c r="R7" s="191"/>
      <c r="S7" s="25"/>
      <c r="T7" s="189" t="s">
        <v>87</v>
      </c>
      <c r="U7" s="190"/>
      <c r="V7" s="191"/>
      <c r="W7" s="23"/>
      <c r="X7" s="189" t="s">
        <v>88</v>
      </c>
      <c r="Y7" s="190"/>
      <c r="Z7" s="191"/>
      <c r="AA7" s="23"/>
      <c r="AB7" s="211" t="s">
        <v>31</v>
      </c>
      <c r="AC7" s="212"/>
      <c r="AD7" s="212"/>
      <c r="AE7" s="212"/>
      <c r="AF7" s="212"/>
      <c r="AG7" s="212"/>
      <c r="AH7" s="208">
        <v>0</v>
      </c>
      <c r="AI7" s="209"/>
      <c r="AJ7" s="23"/>
      <c r="AK7" s="23"/>
      <c r="AL7" s="23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M7" s="26"/>
      <c r="CN7" s="26"/>
      <c r="CO7" s="26"/>
      <c r="CP7" s="26"/>
      <c r="CQ7" s="26"/>
      <c r="CR7" s="26"/>
      <c r="CS7" s="26"/>
      <c r="CT7" s="26"/>
      <c r="CU7" s="26"/>
      <c r="CV7" s="26"/>
      <c r="CW7" s="26"/>
      <c r="CX7" s="26"/>
      <c r="CY7" s="26"/>
      <c r="CZ7" s="26"/>
    </row>
    <row r="8" spans="1:104" ht="27.75" customHeight="1" thickBot="1" x14ac:dyDescent="0.3">
      <c r="A8" s="23"/>
      <c r="B8" s="23"/>
      <c r="C8" s="23"/>
      <c r="D8" s="194"/>
      <c r="E8" s="195"/>
      <c r="F8" s="196"/>
      <c r="G8" s="23"/>
      <c r="H8" s="194"/>
      <c r="I8" s="195"/>
      <c r="J8" s="196"/>
      <c r="K8" s="23"/>
      <c r="L8" s="194"/>
      <c r="M8" s="195"/>
      <c r="N8" s="196"/>
      <c r="O8" s="23"/>
      <c r="P8" s="194"/>
      <c r="Q8" s="195"/>
      <c r="R8" s="196"/>
      <c r="S8" s="23"/>
      <c r="T8" s="194"/>
      <c r="U8" s="195"/>
      <c r="V8" s="196"/>
      <c r="W8" s="23"/>
      <c r="X8" s="194"/>
      <c r="Y8" s="195"/>
      <c r="Z8" s="196"/>
      <c r="AA8" s="23"/>
      <c r="AB8" s="197" t="s">
        <v>37</v>
      </c>
      <c r="AC8" s="198"/>
      <c r="AD8" s="198"/>
      <c r="AE8" s="198"/>
      <c r="AF8" s="198"/>
      <c r="AG8" s="198"/>
      <c r="AH8" s="192">
        <v>0</v>
      </c>
      <c r="AI8" s="193"/>
      <c r="AJ8" s="23"/>
      <c r="AK8" s="23"/>
      <c r="AL8" s="23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26"/>
      <c r="CO8" s="26"/>
      <c r="CP8" s="26"/>
      <c r="CQ8" s="26"/>
      <c r="CR8" s="26"/>
      <c r="CS8" s="26"/>
      <c r="CT8" s="26"/>
      <c r="CU8" s="26"/>
      <c r="CV8" s="26"/>
      <c r="CW8" s="26"/>
      <c r="CX8" s="26"/>
      <c r="CY8" s="26"/>
      <c r="CZ8" s="26"/>
    </row>
    <row r="9" spans="1:104" ht="18" customHeight="1" thickBot="1" x14ac:dyDescent="0.3">
      <c r="A9" s="23"/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</row>
    <row r="10" spans="1:104" ht="27.75" customHeight="1" thickBot="1" x14ac:dyDescent="0.4">
      <c r="A10" s="23"/>
      <c r="B10" s="23"/>
      <c r="C10" s="23"/>
      <c r="D10" s="189" t="s">
        <v>3</v>
      </c>
      <c r="E10" s="190"/>
      <c r="F10" s="190"/>
      <c r="G10" s="190"/>
      <c r="H10" s="190"/>
      <c r="I10" s="190"/>
      <c r="J10" s="190"/>
      <c r="K10" s="190"/>
      <c r="L10" s="190"/>
      <c r="M10" s="190"/>
      <c r="N10" s="191"/>
      <c r="O10" s="25"/>
      <c r="P10" s="189" t="s">
        <v>91</v>
      </c>
      <c r="Q10" s="190"/>
      <c r="R10" s="190"/>
      <c r="S10" s="190"/>
      <c r="T10" s="190"/>
      <c r="U10" s="190"/>
      <c r="V10" s="190"/>
      <c r="W10" s="190"/>
      <c r="X10" s="190"/>
      <c r="Y10" s="190"/>
      <c r="Z10" s="191"/>
      <c r="AA10" s="23"/>
      <c r="AB10" s="189" t="s">
        <v>89</v>
      </c>
      <c r="AC10" s="190"/>
      <c r="AD10" s="191"/>
      <c r="AE10" s="23"/>
      <c r="AF10" s="189" t="s">
        <v>90</v>
      </c>
      <c r="AG10" s="190"/>
      <c r="AH10" s="190"/>
      <c r="AI10" s="191"/>
      <c r="AJ10" s="23"/>
      <c r="AK10" s="23"/>
      <c r="AL10" s="23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  <c r="CY10" s="26"/>
      <c r="CZ10" s="26"/>
    </row>
    <row r="11" spans="1:104" ht="31.5" customHeight="1" thickBot="1" x14ac:dyDescent="0.3">
      <c r="A11" s="23"/>
      <c r="B11" s="23"/>
      <c r="C11" s="23"/>
      <c r="D11" s="222"/>
      <c r="E11" s="223"/>
      <c r="F11" s="223"/>
      <c r="G11" s="223"/>
      <c r="H11" s="223"/>
      <c r="I11" s="223"/>
      <c r="J11" s="223"/>
      <c r="K11" s="223"/>
      <c r="L11" s="223"/>
      <c r="M11" s="223"/>
      <c r="N11" s="224"/>
      <c r="O11" s="23"/>
      <c r="P11" s="200"/>
      <c r="Q11" s="201"/>
      <c r="R11" s="201"/>
      <c r="S11" s="201"/>
      <c r="T11" s="201"/>
      <c r="U11" s="201"/>
      <c r="V11" s="201"/>
      <c r="W11" s="201"/>
      <c r="X11" s="201"/>
      <c r="Y11" s="201"/>
      <c r="Z11" s="202"/>
      <c r="AA11" s="23"/>
      <c r="AB11" s="186"/>
      <c r="AC11" s="187"/>
      <c r="AD11" s="188"/>
      <c r="AE11" s="23"/>
      <c r="AF11" s="186"/>
      <c r="AG11" s="187"/>
      <c r="AH11" s="187"/>
      <c r="AI11" s="188"/>
      <c r="AJ11" s="23"/>
      <c r="AK11" s="23"/>
      <c r="AL11" s="23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</row>
    <row r="12" spans="1:104" ht="6" customHeight="1" x14ac:dyDescent="0.25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</row>
    <row r="13" spans="1:104" ht="9.75" customHeight="1" x14ac:dyDescent="0.25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</row>
    <row r="14" spans="1:104" ht="39.75" customHeight="1" x14ac:dyDescent="0.25">
      <c r="A14" s="23"/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</row>
    <row r="15" spans="1:104" ht="3.75" customHeight="1" x14ac:dyDescent="0.25">
      <c r="A15" s="23"/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</row>
    <row r="16" spans="1:104" ht="3" hidden="1" customHeight="1" x14ac:dyDescent="0.25">
      <c r="A16" s="23"/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</row>
    <row r="17" spans="1:104" ht="54" customHeight="1" x14ac:dyDescent="0.25">
      <c r="A17" s="23"/>
      <c r="B17" s="23"/>
      <c r="C17" s="35" t="s">
        <v>128</v>
      </c>
      <c r="D17" s="35" t="s">
        <v>1</v>
      </c>
      <c r="E17" s="35" t="s">
        <v>2</v>
      </c>
      <c r="F17" s="36" t="s">
        <v>85</v>
      </c>
      <c r="G17" s="216" t="s">
        <v>3</v>
      </c>
      <c r="H17" s="216"/>
      <c r="I17" s="216"/>
      <c r="J17" s="216"/>
      <c r="K17" s="216"/>
      <c r="L17" s="216"/>
      <c r="M17" s="216"/>
      <c r="N17" s="216"/>
      <c r="O17" s="216"/>
      <c r="P17" s="36" t="s">
        <v>4</v>
      </c>
      <c r="Q17" s="36" t="s">
        <v>86</v>
      </c>
      <c r="R17" s="36" t="s">
        <v>5</v>
      </c>
      <c r="S17" s="218" t="s">
        <v>6</v>
      </c>
      <c r="T17" s="220"/>
      <c r="U17" s="36" t="s">
        <v>7</v>
      </c>
      <c r="V17" s="36" t="s">
        <v>92</v>
      </c>
      <c r="W17" s="36" t="s">
        <v>93</v>
      </c>
      <c r="X17" s="36" t="s">
        <v>94</v>
      </c>
      <c r="Y17" s="36" t="s">
        <v>95</v>
      </c>
      <c r="Z17" s="217" t="s">
        <v>91</v>
      </c>
      <c r="AA17" s="217"/>
      <c r="AB17" s="217"/>
      <c r="AC17" s="217"/>
      <c r="AD17" s="218" t="s">
        <v>8</v>
      </c>
      <c r="AE17" s="219"/>
      <c r="AF17" s="219"/>
      <c r="AG17" s="219"/>
      <c r="AH17" s="219"/>
      <c r="AI17" s="220"/>
      <c r="AJ17" s="23"/>
      <c r="AK17" s="23"/>
      <c r="AL17" s="23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</row>
    <row r="18" spans="1:104" ht="17.399999999999999" x14ac:dyDescent="0.25">
      <c r="A18" s="23"/>
      <c r="B18" s="23"/>
      <c r="C18" s="37"/>
      <c r="D18" s="29"/>
      <c r="E18" s="29" t="s">
        <v>10</v>
      </c>
      <c r="F18" s="29"/>
      <c r="G18" s="213" t="s">
        <v>18</v>
      </c>
      <c r="H18" s="213"/>
      <c r="I18" s="213"/>
      <c r="J18" s="213"/>
      <c r="K18" s="213"/>
      <c r="L18" s="213"/>
      <c r="M18" s="213"/>
      <c r="N18" s="213"/>
      <c r="O18" s="213"/>
      <c r="P18" s="29" t="s">
        <v>13</v>
      </c>
      <c r="Q18" s="29" t="s">
        <v>96</v>
      </c>
      <c r="R18" s="29" t="s">
        <v>14</v>
      </c>
      <c r="S18" s="221" t="s">
        <v>15</v>
      </c>
      <c r="T18" s="221"/>
      <c r="U18" s="29" t="s">
        <v>16</v>
      </c>
      <c r="V18" s="29"/>
      <c r="W18" s="31"/>
      <c r="X18" s="29"/>
      <c r="Y18" s="29"/>
      <c r="Z18" s="214"/>
      <c r="AA18" s="214"/>
      <c r="AB18" s="214"/>
      <c r="AC18" s="214"/>
      <c r="AD18" s="213" t="s">
        <v>107</v>
      </c>
      <c r="AE18" s="213"/>
      <c r="AF18" s="213"/>
      <c r="AG18" s="213"/>
      <c r="AH18" s="213"/>
      <c r="AI18" s="215"/>
      <c r="AJ18" s="23"/>
      <c r="AK18" s="23"/>
      <c r="AL18" s="23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</row>
    <row r="19" spans="1:104" ht="17.399999999999999" x14ac:dyDescent="0.25">
      <c r="A19" s="23"/>
      <c r="B19" s="23"/>
      <c r="C19" s="38"/>
      <c r="D19" s="32"/>
      <c r="E19" s="32" t="s">
        <v>10</v>
      </c>
      <c r="F19" s="32"/>
      <c r="G19" s="182" t="s">
        <v>26</v>
      </c>
      <c r="H19" s="182"/>
      <c r="I19" s="182"/>
      <c r="J19" s="182"/>
      <c r="K19" s="182"/>
      <c r="L19" s="182"/>
      <c r="M19" s="182"/>
      <c r="N19" s="182"/>
      <c r="O19" s="182"/>
      <c r="P19" s="32" t="s">
        <v>13</v>
      </c>
      <c r="Q19" s="32" t="s">
        <v>96</v>
      </c>
      <c r="R19" s="32" t="s">
        <v>20</v>
      </c>
      <c r="S19" s="203" t="s">
        <v>21</v>
      </c>
      <c r="T19" s="203"/>
      <c r="U19" s="32" t="s">
        <v>16</v>
      </c>
      <c r="V19" s="32"/>
      <c r="W19" s="34"/>
      <c r="X19" s="32"/>
      <c r="Y19" s="32"/>
      <c r="Z19" s="180"/>
      <c r="AA19" s="180"/>
      <c r="AB19" s="180"/>
      <c r="AC19" s="180"/>
      <c r="AD19" s="182" t="s">
        <v>23</v>
      </c>
      <c r="AE19" s="182"/>
      <c r="AF19" s="182"/>
      <c r="AG19" s="182"/>
      <c r="AH19" s="182"/>
      <c r="AI19" s="183"/>
      <c r="AJ19" s="23"/>
      <c r="AK19" s="23"/>
      <c r="AL19" s="23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</row>
    <row r="20" spans="1:104" ht="17.399999999999999" x14ac:dyDescent="0.25">
      <c r="A20" s="23"/>
      <c r="B20" s="23"/>
      <c r="C20" s="38"/>
      <c r="D20" s="32"/>
      <c r="E20" s="32" t="s">
        <v>10</v>
      </c>
      <c r="F20" s="32"/>
      <c r="G20" s="182" t="s">
        <v>33</v>
      </c>
      <c r="H20" s="182"/>
      <c r="I20" s="182"/>
      <c r="J20" s="182"/>
      <c r="K20" s="182"/>
      <c r="L20" s="182"/>
      <c r="M20" s="182"/>
      <c r="N20" s="182"/>
      <c r="O20" s="182"/>
      <c r="P20" s="32" t="s">
        <v>13</v>
      </c>
      <c r="Q20" s="32" t="s">
        <v>96</v>
      </c>
      <c r="R20" s="32" t="s">
        <v>20</v>
      </c>
      <c r="S20" s="203" t="s">
        <v>21</v>
      </c>
      <c r="T20" s="203"/>
      <c r="U20" s="32" t="s">
        <v>16</v>
      </c>
      <c r="V20" s="32"/>
      <c r="W20" s="34"/>
      <c r="X20" s="32"/>
      <c r="Y20" s="32"/>
      <c r="Z20" s="180"/>
      <c r="AA20" s="180"/>
      <c r="AB20" s="180"/>
      <c r="AC20" s="180"/>
      <c r="AD20" s="182" t="s">
        <v>23</v>
      </c>
      <c r="AE20" s="182"/>
      <c r="AF20" s="182"/>
      <c r="AG20" s="182"/>
      <c r="AH20" s="182"/>
      <c r="AI20" s="183"/>
      <c r="AJ20" s="23"/>
      <c r="AK20" s="23"/>
      <c r="AL20" s="23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</row>
    <row r="21" spans="1:104" ht="17.399999999999999" x14ac:dyDescent="0.25">
      <c r="A21" s="23"/>
      <c r="B21" s="23"/>
      <c r="C21" s="38"/>
      <c r="D21" s="32"/>
      <c r="E21" s="32" t="s">
        <v>10</v>
      </c>
      <c r="F21" s="32"/>
      <c r="G21" s="182" t="s">
        <v>39</v>
      </c>
      <c r="H21" s="182"/>
      <c r="I21" s="182"/>
      <c r="J21" s="182"/>
      <c r="K21" s="182"/>
      <c r="L21" s="182"/>
      <c r="M21" s="182"/>
      <c r="N21" s="182"/>
      <c r="O21" s="182"/>
      <c r="P21" s="32" t="s">
        <v>13</v>
      </c>
      <c r="Q21" s="32" t="s">
        <v>96</v>
      </c>
      <c r="R21" s="32" t="s">
        <v>20</v>
      </c>
      <c r="S21" s="203" t="s">
        <v>21</v>
      </c>
      <c r="T21" s="203"/>
      <c r="U21" s="32" t="s">
        <v>16</v>
      </c>
      <c r="V21" s="32"/>
      <c r="W21" s="34"/>
      <c r="X21" s="32"/>
      <c r="Y21" s="32"/>
      <c r="Z21" s="180"/>
      <c r="AA21" s="180"/>
      <c r="AB21" s="180"/>
      <c r="AC21" s="180"/>
      <c r="AD21" s="182" t="s">
        <v>23</v>
      </c>
      <c r="AE21" s="182"/>
      <c r="AF21" s="182"/>
      <c r="AG21" s="182"/>
      <c r="AH21" s="182"/>
      <c r="AI21" s="183"/>
      <c r="AJ21" s="23"/>
      <c r="AK21" s="23"/>
      <c r="AL21" s="23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</row>
    <row r="22" spans="1:104" ht="17.399999999999999" x14ac:dyDescent="0.25">
      <c r="A22" s="23"/>
      <c r="B22" s="23"/>
      <c r="C22" s="38"/>
      <c r="D22" s="32"/>
      <c r="E22" s="32" t="s">
        <v>10</v>
      </c>
      <c r="F22" s="32"/>
      <c r="G22" s="182" t="s">
        <v>108</v>
      </c>
      <c r="H22" s="182"/>
      <c r="I22" s="182"/>
      <c r="J22" s="182"/>
      <c r="K22" s="182"/>
      <c r="L22" s="182"/>
      <c r="M22" s="182"/>
      <c r="N22" s="182"/>
      <c r="O22" s="182"/>
      <c r="P22" s="32" t="s">
        <v>13</v>
      </c>
      <c r="Q22" s="32" t="s">
        <v>96</v>
      </c>
      <c r="R22" s="32" t="s">
        <v>20</v>
      </c>
      <c r="S22" s="203" t="s">
        <v>21</v>
      </c>
      <c r="T22" s="203"/>
      <c r="U22" s="32" t="s">
        <v>16</v>
      </c>
      <c r="V22" s="32"/>
      <c r="W22" s="34"/>
      <c r="X22" s="32"/>
      <c r="Y22" s="32"/>
      <c r="Z22" s="180" t="s">
        <v>97</v>
      </c>
      <c r="AA22" s="180"/>
      <c r="AB22" s="180"/>
      <c r="AC22" s="180"/>
      <c r="AD22" s="182" t="s">
        <v>23</v>
      </c>
      <c r="AE22" s="182"/>
      <c r="AF22" s="182"/>
      <c r="AG22" s="182"/>
      <c r="AH22" s="182"/>
      <c r="AI22" s="183"/>
      <c r="AJ22" s="23"/>
      <c r="AK22" s="23"/>
      <c r="AL22" s="23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</row>
    <row r="23" spans="1:104" ht="17.399999999999999" x14ac:dyDescent="0.25">
      <c r="A23" s="23"/>
      <c r="B23" s="23"/>
      <c r="C23" s="38"/>
      <c r="D23" s="32"/>
      <c r="E23" s="32" t="s">
        <v>10</v>
      </c>
      <c r="F23" s="32"/>
      <c r="G23" s="182" t="s">
        <v>45</v>
      </c>
      <c r="H23" s="182"/>
      <c r="I23" s="182"/>
      <c r="J23" s="182"/>
      <c r="K23" s="182"/>
      <c r="L23" s="182"/>
      <c r="M23" s="182"/>
      <c r="N23" s="182"/>
      <c r="O23" s="182"/>
      <c r="P23" s="32" t="s">
        <v>19</v>
      </c>
      <c r="Q23" s="32" t="s">
        <v>96</v>
      </c>
      <c r="R23" s="32" t="s">
        <v>28</v>
      </c>
      <c r="S23" s="203" t="s">
        <v>29</v>
      </c>
      <c r="T23" s="203"/>
      <c r="U23" s="32" t="s">
        <v>16</v>
      </c>
      <c r="V23" s="32"/>
      <c r="W23" s="34"/>
      <c r="X23" s="32"/>
      <c r="Y23" s="32"/>
      <c r="Z23" s="180"/>
      <c r="AA23" s="180"/>
      <c r="AB23" s="180"/>
      <c r="AC23" s="180"/>
      <c r="AD23" s="182" t="s">
        <v>31</v>
      </c>
      <c r="AE23" s="182"/>
      <c r="AF23" s="182"/>
      <c r="AG23" s="182"/>
      <c r="AH23" s="182"/>
      <c r="AI23" s="183"/>
      <c r="AJ23" s="23"/>
      <c r="AK23" s="23"/>
      <c r="AL23" s="23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</row>
    <row r="24" spans="1:104" ht="17.399999999999999" x14ac:dyDescent="0.25">
      <c r="A24" s="23"/>
      <c r="B24" s="23"/>
      <c r="C24" s="38"/>
      <c r="D24" s="32"/>
      <c r="E24" s="32" t="s">
        <v>10</v>
      </c>
      <c r="F24" s="32"/>
      <c r="G24" s="182" t="s">
        <v>46</v>
      </c>
      <c r="H24" s="182"/>
      <c r="I24" s="182"/>
      <c r="J24" s="182"/>
      <c r="K24" s="182"/>
      <c r="L24" s="182"/>
      <c r="M24" s="182"/>
      <c r="N24" s="182"/>
      <c r="O24" s="182"/>
      <c r="P24" s="32" t="s">
        <v>19</v>
      </c>
      <c r="Q24" s="32" t="s">
        <v>96</v>
      </c>
      <c r="R24" s="32" t="s">
        <v>28</v>
      </c>
      <c r="S24" s="203" t="s">
        <v>29</v>
      </c>
      <c r="T24" s="203"/>
      <c r="U24" s="32" t="s">
        <v>16</v>
      </c>
      <c r="V24" s="32"/>
      <c r="W24" s="34"/>
      <c r="X24" s="32"/>
      <c r="Y24" s="32"/>
      <c r="Z24" s="180"/>
      <c r="AA24" s="180"/>
      <c r="AB24" s="180"/>
      <c r="AC24" s="180"/>
      <c r="AD24" s="182" t="s">
        <v>31</v>
      </c>
      <c r="AE24" s="182"/>
      <c r="AF24" s="182"/>
      <c r="AG24" s="182"/>
      <c r="AH24" s="182"/>
      <c r="AI24" s="183"/>
      <c r="AJ24" s="23"/>
      <c r="AK24" s="23"/>
      <c r="AL24" s="23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</row>
    <row r="25" spans="1:104" ht="17.399999999999999" x14ac:dyDescent="0.25">
      <c r="A25" s="23"/>
      <c r="B25" s="23"/>
      <c r="C25" s="38"/>
      <c r="D25" s="32"/>
      <c r="E25" s="32" t="s">
        <v>10</v>
      </c>
      <c r="F25" s="32"/>
      <c r="G25" s="182" t="s">
        <v>47</v>
      </c>
      <c r="H25" s="182"/>
      <c r="I25" s="182"/>
      <c r="J25" s="182"/>
      <c r="K25" s="182"/>
      <c r="L25" s="182"/>
      <c r="M25" s="182"/>
      <c r="N25" s="182"/>
      <c r="O25" s="182"/>
      <c r="P25" s="32" t="s">
        <v>13</v>
      </c>
      <c r="Q25" s="32" t="s">
        <v>96</v>
      </c>
      <c r="R25" s="32" t="s">
        <v>20</v>
      </c>
      <c r="S25" s="203" t="s">
        <v>21</v>
      </c>
      <c r="T25" s="203"/>
      <c r="U25" s="32" t="s">
        <v>16</v>
      </c>
      <c r="V25" s="32"/>
      <c r="W25" s="34"/>
      <c r="X25" s="32"/>
      <c r="Y25" s="32"/>
      <c r="Z25" s="180"/>
      <c r="AA25" s="180"/>
      <c r="AB25" s="180"/>
      <c r="AC25" s="180"/>
      <c r="AD25" s="182" t="s">
        <v>23</v>
      </c>
      <c r="AE25" s="182"/>
      <c r="AF25" s="182"/>
      <c r="AG25" s="182"/>
      <c r="AH25" s="182"/>
      <c r="AI25" s="183"/>
      <c r="AJ25" s="23"/>
      <c r="AK25" s="23"/>
      <c r="AL25" s="23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</row>
    <row r="26" spans="1:104" ht="17.399999999999999" x14ac:dyDescent="0.25">
      <c r="A26" s="23"/>
      <c r="B26" s="23"/>
      <c r="C26" s="38"/>
      <c r="D26" s="32"/>
      <c r="E26" s="32" t="s">
        <v>10</v>
      </c>
      <c r="F26" s="32"/>
      <c r="G26" s="182" t="s">
        <v>48</v>
      </c>
      <c r="H26" s="182"/>
      <c r="I26" s="182"/>
      <c r="J26" s="182"/>
      <c r="K26" s="182"/>
      <c r="L26" s="182"/>
      <c r="M26" s="182"/>
      <c r="N26" s="182"/>
      <c r="O26" s="182"/>
      <c r="P26" s="32" t="s">
        <v>19</v>
      </c>
      <c r="Q26" s="32" t="s">
        <v>96</v>
      </c>
      <c r="R26" s="32" t="s">
        <v>20</v>
      </c>
      <c r="S26" s="203" t="s">
        <v>21</v>
      </c>
      <c r="T26" s="203"/>
      <c r="U26" s="32" t="s">
        <v>16</v>
      </c>
      <c r="V26" s="32"/>
      <c r="W26" s="34"/>
      <c r="X26" s="32"/>
      <c r="Y26" s="32"/>
      <c r="Z26" s="180"/>
      <c r="AA26" s="180"/>
      <c r="AB26" s="180"/>
      <c r="AC26" s="180"/>
      <c r="AD26" s="182" t="s">
        <v>23</v>
      </c>
      <c r="AE26" s="182"/>
      <c r="AF26" s="182"/>
      <c r="AG26" s="182"/>
      <c r="AH26" s="182"/>
      <c r="AI26" s="183"/>
      <c r="AJ26" s="23"/>
      <c r="AK26" s="23"/>
      <c r="AL26" s="23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</row>
    <row r="27" spans="1:104" ht="17.399999999999999" x14ac:dyDescent="0.25">
      <c r="A27" s="23"/>
      <c r="B27" s="23"/>
      <c r="C27" s="38"/>
      <c r="D27" s="32"/>
      <c r="E27" s="32" t="s">
        <v>10</v>
      </c>
      <c r="F27" s="32"/>
      <c r="G27" s="182" t="s">
        <v>49</v>
      </c>
      <c r="H27" s="182"/>
      <c r="I27" s="182"/>
      <c r="J27" s="182"/>
      <c r="K27" s="182"/>
      <c r="L27" s="182"/>
      <c r="M27" s="182"/>
      <c r="N27" s="182"/>
      <c r="O27" s="182"/>
      <c r="P27" s="32" t="s">
        <v>27</v>
      </c>
      <c r="Q27" s="32" t="s">
        <v>96</v>
      </c>
      <c r="R27" s="32" t="s">
        <v>20</v>
      </c>
      <c r="S27" s="203" t="s">
        <v>21</v>
      </c>
      <c r="T27" s="203"/>
      <c r="U27" s="32" t="s">
        <v>16</v>
      </c>
      <c r="V27" s="32"/>
      <c r="W27" s="34"/>
      <c r="X27" s="32"/>
      <c r="Y27" s="32"/>
      <c r="Z27" s="180"/>
      <c r="AA27" s="180"/>
      <c r="AB27" s="180"/>
      <c r="AC27" s="180"/>
      <c r="AD27" s="182" t="s">
        <v>23</v>
      </c>
      <c r="AE27" s="182"/>
      <c r="AF27" s="182"/>
      <c r="AG27" s="182"/>
      <c r="AH27" s="182"/>
      <c r="AI27" s="183"/>
      <c r="AJ27" s="23"/>
      <c r="AK27" s="23"/>
      <c r="AL27" s="23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</row>
    <row r="28" spans="1:104" ht="17.399999999999999" x14ac:dyDescent="0.25">
      <c r="A28" s="23"/>
      <c r="B28" s="23"/>
      <c r="C28" s="38"/>
      <c r="D28" s="32"/>
      <c r="E28" s="32" t="s">
        <v>10</v>
      </c>
      <c r="F28" s="32"/>
      <c r="G28" s="182" t="s">
        <v>50</v>
      </c>
      <c r="H28" s="182"/>
      <c r="I28" s="182"/>
      <c r="J28" s="182"/>
      <c r="K28" s="182"/>
      <c r="L28" s="182"/>
      <c r="M28" s="182"/>
      <c r="N28" s="182"/>
      <c r="O28" s="182"/>
      <c r="P28" s="32" t="s">
        <v>34</v>
      </c>
      <c r="Q28" s="32" t="s">
        <v>96</v>
      </c>
      <c r="R28" s="32" t="s">
        <v>20</v>
      </c>
      <c r="S28" s="203" t="s">
        <v>21</v>
      </c>
      <c r="T28" s="203"/>
      <c r="U28" s="32" t="s">
        <v>16</v>
      </c>
      <c r="V28" s="32"/>
      <c r="W28" s="34"/>
      <c r="X28" s="32"/>
      <c r="Y28" s="32"/>
      <c r="Z28" s="180"/>
      <c r="AA28" s="180"/>
      <c r="AB28" s="180"/>
      <c r="AC28" s="180"/>
      <c r="AD28" s="182" t="s">
        <v>23</v>
      </c>
      <c r="AE28" s="182"/>
      <c r="AF28" s="182"/>
      <c r="AG28" s="182"/>
      <c r="AH28" s="182"/>
      <c r="AI28" s="183"/>
      <c r="AJ28" s="23"/>
      <c r="AK28" s="23"/>
      <c r="AL28" s="23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</row>
    <row r="29" spans="1:104" ht="17.399999999999999" x14ac:dyDescent="0.25">
      <c r="A29" s="23"/>
      <c r="B29" s="23"/>
      <c r="C29" s="38"/>
      <c r="D29" s="32"/>
      <c r="E29" s="32" t="s">
        <v>10</v>
      </c>
      <c r="F29" s="32"/>
      <c r="G29" s="182" t="s">
        <v>51</v>
      </c>
      <c r="H29" s="182"/>
      <c r="I29" s="182"/>
      <c r="J29" s="182"/>
      <c r="K29" s="182"/>
      <c r="L29" s="182"/>
      <c r="M29" s="182"/>
      <c r="N29" s="182"/>
      <c r="O29" s="182"/>
      <c r="P29" s="32" t="s">
        <v>19</v>
      </c>
      <c r="Q29" s="32" t="s">
        <v>96</v>
      </c>
      <c r="R29" s="32" t="s">
        <v>28</v>
      </c>
      <c r="S29" s="203" t="s">
        <v>29</v>
      </c>
      <c r="T29" s="203"/>
      <c r="U29" s="32" t="s">
        <v>16</v>
      </c>
      <c r="V29" s="32"/>
      <c r="W29" s="34"/>
      <c r="X29" s="32"/>
      <c r="Y29" s="32"/>
      <c r="Z29" s="180" t="s">
        <v>98</v>
      </c>
      <c r="AA29" s="180"/>
      <c r="AB29" s="180"/>
      <c r="AC29" s="180"/>
      <c r="AD29" s="182" t="s">
        <v>31</v>
      </c>
      <c r="AE29" s="182"/>
      <c r="AF29" s="182"/>
      <c r="AG29" s="182"/>
      <c r="AH29" s="182"/>
      <c r="AI29" s="183"/>
      <c r="AJ29" s="23"/>
      <c r="AK29" s="23"/>
      <c r="AL29" s="23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</row>
    <row r="30" spans="1:104" ht="17.399999999999999" x14ac:dyDescent="0.25">
      <c r="A30" s="23"/>
      <c r="B30" s="23"/>
      <c r="C30" s="38"/>
      <c r="D30" s="32"/>
      <c r="E30" s="32" t="s">
        <v>10</v>
      </c>
      <c r="F30" s="32"/>
      <c r="G30" s="182" t="s">
        <v>52</v>
      </c>
      <c r="H30" s="182"/>
      <c r="I30" s="182"/>
      <c r="J30" s="182"/>
      <c r="K30" s="182"/>
      <c r="L30" s="182"/>
      <c r="M30" s="182"/>
      <c r="N30" s="182"/>
      <c r="O30" s="182"/>
      <c r="P30" s="32" t="s">
        <v>19</v>
      </c>
      <c r="Q30" s="32" t="s">
        <v>96</v>
      </c>
      <c r="R30" s="32" t="s">
        <v>28</v>
      </c>
      <c r="S30" s="203" t="s">
        <v>29</v>
      </c>
      <c r="T30" s="203"/>
      <c r="U30" s="32" t="s">
        <v>16</v>
      </c>
      <c r="V30" s="32"/>
      <c r="W30" s="34"/>
      <c r="X30" s="32"/>
      <c r="Y30" s="32"/>
      <c r="Z30" s="180" t="s">
        <v>99</v>
      </c>
      <c r="AA30" s="180"/>
      <c r="AB30" s="180"/>
      <c r="AC30" s="180"/>
      <c r="AD30" s="182" t="s">
        <v>31</v>
      </c>
      <c r="AE30" s="182"/>
      <c r="AF30" s="182"/>
      <c r="AG30" s="182"/>
      <c r="AH30" s="182"/>
      <c r="AI30" s="183"/>
      <c r="AJ30" s="23"/>
      <c r="AK30" s="23"/>
      <c r="AL30" s="23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</row>
    <row r="31" spans="1:104" ht="17.399999999999999" x14ac:dyDescent="0.25">
      <c r="A31" s="23"/>
      <c r="B31" s="23"/>
      <c r="C31" s="38"/>
      <c r="D31" s="32"/>
      <c r="E31" s="32" t="s">
        <v>10</v>
      </c>
      <c r="F31" s="32"/>
      <c r="G31" s="182" t="s">
        <v>54</v>
      </c>
      <c r="H31" s="182"/>
      <c r="I31" s="182"/>
      <c r="J31" s="182"/>
      <c r="K31" s="182"/>
      <c r="L31" s="182"/>
      <c r="M31" s="182"/>
      <c r="N31" s="182"/>
      <c r="O31" s="182"/>
      <c r="P31" s="32" t="s">
        <v>19</v>
      </c>
      <c r="Q31" s="32" t="s">
        <v>96</v>
      </c>
      <c r="R31" s="32" t="s">
        <v>14</v>
      </c>
      <c r="S31" s="203" t="s">
        <v>36</v>
      </c>
      <c r="T31" s="203"/>
      <c r="U31" s="32" t="s">
        <v>16</v>
      </c>
      <c r="V31" s="32"/>
      <c r="W31" s="34"/>
      <c r="X31" s="32"/>
      <c r="Y31" s="32"/>
      <c r="Z31" s="180"/>
      <c r="AA31" s="180"/>
      <c r="AB31" s="180"/>
      <c r="AC31" s="180"/>
      <c r="AD31" s="182" t="s">
        <v>23</v>
      </c>
      <c r="AE31" s="182"/>
      <c r="AF31" s="182"/>
      <c r="AG31" s="182"/>
      <c r="AH31" s="182"/>
      <c r="AI31" s="183"/>
      <c r="AJ31" s="23"/>
      <c r="AK31" s="23"/>
      <c r="AL31" s="23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</row>
    <row r="32" spans="1:104" ht="17.399999999999999" x14ac:dyDescent="0.25">
      <c r="A32" s="23"/>
      <c r="B32" s="23"/>
      <c r="C32" s="38"/>
      <c r="D32" s="32"/>
      <c r="E32" s="32" t="s">
        <v>10</v>
      </c>
      <c r="F32" s="32"/>
      <c r="G32" s="182" t="s">
        <v>55</v>
      </c>
      <c r="H32" s="182"/>
      <c r="I32" s="182"/>
      <c r="J32" s="182"/>
      <c r="K32" s="182"/>
      <c r="L32" s="182"/>
      <c r="M32" s="182"/>
      <c r="N32" s="182"/>
      <c r="O32" s="182"/>
      <c r="P32" s="32" t="s">
        <v>19</v>
      </c>
      <c r="Q32" s="32" t="s">
        <v>96</v>
      </c>
      <c r="R32" s="32" t="s">
        <v>14</v>
      </c>
      <c r="S32" s="203" t="s">
        <v>36</v>
      </c>
      <c r="T32" s="203"/>
      <c r="U32" s="32" t="s">
        <v>16</v>
      </c>
      <c r="V32" s="32"/>
      <c r="W32" s="34"/>
      <c r="X32" s="32"/>
      <c r="Y32" s="32"/>
      <c r="Z32" s="180"/>
      <c r="AA32" s="180"/>
      <c r="AB32" s="180"/>
      <c r="AC32" s="180"/>
      <c r="AD32" s="182" t="s">
        <v>23</v>
      </c>
      <c r="AE32" s="182"/>
      <c r="AF32" s="182"/>
      <c r="AG32" s="182"/>
      <c r="AH32" s="182"/>
      <c r="AI32" s="183"/>
      <c r="AJ32" s="23"/>
      <c r="AK32" s="23"/>
      <c r="AL32" s="23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</row>
    <row r="33" spans="1:104" ht="17.399999999999999" x14ac:dyDescent="0.25">
      <c r="A33" s="23"/>
      <c r="B33" s="23"/>
      <c r="C33" s="38"/>
      <c r="D33" s="32"/>
      <c r="E33" s="32" t="s">
        <v>10</v>
      </c>
      <c r="F33" s="32"/>
      <c r="G33" s="182" t="s">
        <v>56</v>
      </c>
      <c r="H33" s="182"/>
      <c r="I33" s="182"/>
      <c r="J33" s="182"/>
      <c r="K33" s="182"/>
      <c r="L33" s="182"/>
      <c r="M33" s="182"/>
      <c r="N33" s="182"/>
      <c r="O33" s="182"/>
      <c r="P33" s="32" t="s">
        <v>19</v>
      </c>
      <c r="Q33" s="32" t="s">
        <v>96</v>
      </c>
      <c r="R33" s="32" t="s">
        <v>28</v>
      </c>
      <c r="S33" s="203" t="s">
        <v>29</v>
      </c>
      <c r="T33" s="203"/>
      <c r="U33" s="32" t="s">
        <v>16</v>
      </c>
      <c r="V33" s="32"/>
      <c r="W33" s="34"/>
      <c r="X33" s="32"/>
      <c r="Y33" s="32"/>
      <c r="Z33" s="180" t="s">
        <v>101</v>
      </c>
      <c r="AA33" s="180"/>
      <c r="AB33" s="180"/>
      <c r="AC33" s="180"/>
      <c r="AD33" s="182" t="s">
        <v>31</v>
      </c>
      <c r="AE33" s="182"/>
      <c r="AF33" s="182"/>
      <c r="AG33" s="182"/>
      <c r="AH33" s="182"/>
      <c r="AI33" s="183"/>
      <c r="AJ33" s="23"/>
      <c r="AK33" s="23"/>
      <c r="AL33" s="23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</row>
    <row r="34" spans="1:104" ht="17.399999999999999" x14ac:dyDescent="0.25">
      <c r="A34" s="23"/>
      <c r="B34" s="23"/>
      <c r="C34" s="38"/>
      <c r="D34" s="32"/>
      <c r="E34" s="32" t="s">
        <v>10</v>
      </c>
      <c r="F34" s="32"/>
      <c r="G34" s="182" t="s">
        <v>57</v>
      </c>
      <c r="H34" s="182"/>
      <c r="I34" s="182"/>
      <c r="J34" s="182"/>
      <c r="K34" s="182"/>
      <c r="L34" s="182"/>
      <c r="M34" s="182"/>
      <c r="N34" s="182"/>
      <c r="O34" s="182"/>
      <c r="P34" s="32" t="s">
        <v>27</v>
      </c>
      <c r="Q34" s="32" t="s">
        <v>96</v>
      </c>
      <c r="R34" s="32" t="s">
        <v>28</v>
      </c>
      <c r="S34" s="203" t="s">
        <v>29</v>
      </c>
      <c r="T34" s="203"/>
      <c r="U34" s="32" t="s">
        <v>16</v>
      </c>
      <c r="V34" s="32"/>
      <c r="W34" s="34"/>
      <c r="X34" s="32"/>
      <c r="Y34" s="32"/>
      <c r="Z34" s="180"/>
      <c r="AA34" s="180"/>
      <c r="AB34" s="180"/>
      <c r="AC34" s="180"/>
      <c r="AD34" s="182" t="s">
        <v>31</v>
      </c>
      <c r="AE34" s="182"/>
      <c r="AF34" s="182"/>
      <c r="AG34" s="182"/>
      <c r="AH34" s="182"/>
      <c r="AI34" s="183"/>
      <c r="AJ34" s="23"/>
      <c r="AK34" s="23"/>
      <c r="AL34" s="23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</row>
    <row r="35" spans="1:104" ht="17.399999999999999" x14ac:dyDescent="0.25">
      <c r="A35" s="23"/>
      <c r="B35" s="23"/>
      <c r="C35" s="38"/>
      <c r="D35" s="32"/>
      <c r="E35" s="32" t="s">
        <v>10</v>
      </c>
      <c r="F35" s="32"/>
      <c r="G35" s="182" t="s">
        <v>58</v>
      </c>
      <c r="H35" s="182"/>
      <c r="I35" s="182"/>
      <c r="J35" s="182"/>
      <c r="K35" s="182"/>
      <c r="L35" s="182"/>
      <c r="M35" s="182"/>
      <c r="N35" s="182"/>
      <c r="O35" s="182"/>
      <c r="P35" s="32" t="s">
        <v>19</v>
      </c>
      <c r="Q35" s="32" t="s">
        <v>96</v>
      </c>
      <c r="R35" s="32" t="s">
        <v>28</v>
      </c>
      <c r="S35" s="203" t="s">
        <v>29</v>
      </c>
      <c r="T35" s="203"/>
      <c r="U35" s="32" t="s">
        <v>16</v>
      </c>
      <c r="V35" s="32"/>
      <c r="W35" s="34"/>
      <c r="X35" s="32"/>
      <c r="Y35" s="32"/>
      <c r="Z35" s="180"/>
      <c r="AA35" s="180"/>
      <c r="AB35" s="180"/>
      <c r="AC35" s="180"/>
      <c r="AD35" s="182" t="s">
        <v>31</v>
      </c>
      <c r="AE35" s="182"/>
      <c r="AF35" s="182"/>
      <c r="AG35" s="182"/>
      <c r="AH35" s="182"/>
      <c r="AI35" s="183"/>
      <c r="AJ35" s="23"/>
      <c r="AK35" s="23"/>
      <c r="AL35" s="23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</row>
    <row r="36" spans="1:104" ht="17.399999999999999" x14ac:dyDescent="0.25">
      <c r="A36" s="23"/>
      <c r="B36" s="23"/>
      <c r="C36" s="38"/>
      <c r="D36" s="32"/>
      <c r="E36" s="32" t="s">
        <v>10</v>
      </c>
      <c r="F36" s="32"/>
      <c r="G36" s="182" t="s">
        <v>59</v>
      </c>
      <c r="H36" s="182"/>
      <c r="I36" s="182"/>
      <c r="J36" s="182"/>
      <c r="K36" s="182"/>
      <c r="L36" s="182"/>
      <c r="M36" s="182"/>
      <c r="N36" s="182"/>
      <c r="O36" s="182"/>
      <c r="P36" s="32" t="s">
        <v>27</v>
      </c>
      <c r="Q36" s="32" t="s">
        <v>96</v>
      </c>
      <c r="R36" s="32" t="s">
        <v>28</v>
      </c>
      <c r="S36" s="203" t="s">
        <v>29</v>
      </c>
      <c r="T36" s="203"/>
      <c r="U36" s="32" t="s">
        <v>16</v>
      </c>
      <c r="V36" s="32"/>
      <c r="W36" s="34"/>
      <c r="X36" s="32"/>
      <c r="Y36" s="32"/>
      <c r="Z36" s="180"/>
      <c r="AA36" s="180"/>
      <c r="AB36" s="180"/>
      <c r="AC36" s="180"/>
      <c r="AD36" s="182" t="s">
        <v>31</v>
      </c>
      <c r="AE36" s="182"/>
      <c r="AF36" s="182"/>
      <c r="AG36" s="182"/>
      <c r="AH36" s="182"/>
      <c r="AI36" s="183"/>
      <c r="AJ36" s="23"/>
      <c r="AK36" s="23"/>
      <c r="AL36" s="23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</row>
    <row r="37" spans="1:104" ht="17.399999999999999" x14ac:dyDescent="0.25">
      <c r="A37" s="23"/>
      <c r="B37" s="23"/>
      <c r="C37" s="38"/>
      <c r="D37" s="32"/>
      <c r="E37" s="32" t="s">
        <v>10</v>
      </c>
      <c r="F37" s="32"/>
      <c r="G37" s="182" t="s">
        <v>60</v>
      </c>
      <c r="H37" s="182"/>
      <c r="I37" s="182"/>
      <c r="J37" s="182"/>
      <c r="K37" s="182"/>
      <c r="L37" s="182"/>
      <c r="M37" s="182"/>
      <c r="N37" s="182"/>
      <c r="O37" s="182"/>
      <c r="P37" s="32" t="s">
        <v>19</v>
      </c>
      <c r="Q37" s="32" t="s">
        <v>96</v>
      </c>
      <c r="R37" s="32" t="s">
        <v>28</v>
      </c>
      <c r="S37" s="203" t="s">
        <v>29</v>
      </c>
      <c r="T37" s="203"/>
      <c r="U37" s="32" t="s">
        <v>16</v>
      </c>
      <c r="V37" s="32"/>
      <c r="W37" s="34"/>
      <c r="X37" s="32"/>
      <c r="Y37" s="32"/>
      <c r="Z37" s="180"/>
      <c r="AA37" s="180"/>
      <c r="AB37" s="180"/>
      <c r="AC37" s="180"/>
      <c r="AD37" s="182" t="s">
        <v>31</v>
      </c>
      <c r="AE37" s="182"/>
      <c r="AF37" s="182"/>
      <c r="AG37" s="182"/>
      <c r="AH37" s="182"/>
      <c r="AI37" s="183"/>
      <c r="AJ37" s="23"/>
      <c r="AK37" s="23"/>
      <c r="AL37" s="23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26"/>
      <c r="CP37" s="26"/>
      <c r="CQ37" s="26"/>
      <c r="CR37" s="26"/>
      <c r="CS37" s="26"/>
      <c r="CT37" s="26"/>
      <c r="CU37" s="26"/>
      <c r="CV37" s="26"/>
      <c r="CW37" s="26"/>
      <c r="CX37" s="26"/>
      <c r="CY37" s="26"/>
      <c r="CZ37" s="26"/>
    </row>
    <row r="38" spans="1:104" ht="17.399999999999999" x14ac:dyDescent="0.25">
      <c r="A38" s="23"/>
      <c r="B38" s="23"/>
      <c r="C38" s="38"/>
      <c r="D38" s="32"/>
      <c r="E38" s="32" t="s">
        <v>10</v>
      </c>
      <c r="F38" s="32"/>
      <c r="G38" s="182" t="s">
        <v>61</v>
      </c>
      <c r="H38" s="182"/>
      <c r="I38" s="182"/>
      <c r="J38" s="182"/>
      <c r="K38" s="182"/>
      <c r="L38" s="182"/>
      <c r="M38" s="182"/>
      <c r="N38" s="182"/>
      <c r="O38" s="182"/>
      <c r="P38" s="32" t="s">
        <v>27</v>
      </c>
      <c r="Q38" s="32" t="s">
        <v>96</v>
      </c>
      <c r="R38" s="32" t="s">
        <v>28</v>
      </c>
      <c r="S38" s="203" t="s">
        <v>29</v>
      </c>
      <c r="T38" s="203"/>
      <c r="U38" s="32" t="s">
        <v>16</v>
      </c>
      <c r="V38" s="32"/>
      <c r="W38" s="34"/>
      <c r="X38" s="32"/>
      <c r="Y38" s="32"/>
      <c r="Z38" s="180"/>
      <c r="AA38" s="180"/>
      <c r="AB38" s="180"/>
      <c r="AC38" s="180"/>
      <c r="AD38" s="182" t="s">
        <v>31</v>
      </c>
      <c r="AE38" s="182"/>
      <c r="AF38" s="182"/>
      <c r="AG38" s="182"/>
      <c r="AH38" s="182"/>
      <c r="AI38" s="183"/>
      <c r="AJ38" s="23"/>
      <c r="AK38" s="23"/>
      <c r="AL38" s="23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6"/>
      <c r="BP38" s="26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26"/>
      <c r="CP38" s="26"/>
      <c r="CQ38" s="26"/>
      <c r="CR38" s="26"/>
      <c r="CS38" s="26"/>
      <c r="CT38" s="26"/>
      <c r="CU38" s="26"/>
      <c r="CV38" s="26"/>
      <c r="CW38" s="26"/>
      <c r="CX38" s="26"/>
      <c r="CY38" s="26"/>
      <c r="CZ38" s="26"/>
    </row>
    <row r="39" spans="1:104" ht="17.399999999999999" x14ac:dyDescent="0.25">
      <c r="A39" s="23"/>
      <c r="B39" s="23"/>
      <c r="C39" s="38"/>
      <c r="D39" s="32"/>
      <c r="E39" s="32" t="s">
        <v>10</v>
      </c>
      <c r="F39" s="32"/>
      <c r="G39" s="180" t="s">
        <v>109</v>
      </c>
      <c r="H39" s="182"/>
      <c r="I39" s="182"/>
      <c r="J39" s="182"/>
      <c r="K39" s="182"/>
      <c r="L39" s="182"/>
      <c r="M39" s="182"/>
      <c r="N39" s="182"/>
      <c r="O39" s="182"/>
      <c r="P39" s="32" t="s">
        <v>19</v>
      </c>
      <c r="Q39" s="32" t="s">
        <v>96</v>
      </c>
      <c r="R39" s="32" t="s">
        <v>28</v>
      </c>
      <c r="S39" s="203" t="s">
        <v>29</v>
      </c>
      <c r="T39" s="203"/>
      <c r="U39" s="32" t="s">
        <v>16</v>
      </c>
      <c r="V39" s="32"/>
      <c r="W39" s="34"/>
      <c r="X39" s="32"/>
      <c r="Y39" s="32"/>
      <c r="Z39" s="180" t="s">
        <v>110</v>
      </c>
      <c r="AA39" s="180"/>
      <c r="AB39" s="180"/>
      <c r="AC39" s="180"/>
      <c r="AD39" s="182" t="s">
        <v>31</v>
      </c>
      <c r="AE39" s="182"/>
      <c r="AF39" s="182"/>
      <c r="AG39" s="182"/>
      <c r="AH39" s="182"/>
      <c r="AI39" s="183"/>
      <c r="AJ39" s="23"/>
      <c r="AK39" s="23"/>
      <c r="AL39" s="23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  <c r="CV39" s="26"/>
      <c r="CW39" s="26"/>
      <c r="CX39" s="26"/>
      <c r="CY39" s="26"/>
      <c r="CZ39" s="26"/>
    </row>
    <row r="40" spans="1:104" ht="17.399999999999999" x14ac:dyDescent="0.25">
      <c r="A40" s="23"/>
      <c r="B40" s="23"/>
      <c r="C40" s="38"/>
      <c r="D40" s="32"/>
      <c r="E40" s="32" t="s">
        <v>10</v>
      </c>
      <c r="F40" s="32"/>
      <c r="G40" s="182" t="s">
        <v>66</v>
      </c>
      <c r="H40" s="182"/>
      <c r="I40" s="182"/>
      <c r="J40" s="182"/>
      <c r="K40" s="182"/>
      <c r="L40" s="182"/>
      <c r="M40" s="182"/>
      <c r="N40" s="182"/>
      <c r="O40" s="182"/>
      <c r="P40" s="32" t="s">
        <v>19</v>
      </c>
      <c r="Q40" s="32" t="s">
        <v>96</v>
      </c>
      <c r="R40" s="32" t="s">
        <v>28</v>
      </c>
      <c r="S40" s="203" t="s">
        <v>29</v>
      </c>
      <c r="T40" s="203"/>
      <c r="U40" s="32" t="s">
        <v>16</v>
      </c>
      <c r="V40" s="32"/>
      <c r="W40" s="34"/>
      <c r="X40" s="32"/>
      <c r="Y40" s="32"/>
      <c r="Z40" s="180"/>
      <c r="AA40" s="180"/>
      <c r="AB40" s="180"/>
      <c r="AC40" s="180"/>
      <c r="AD40" s="182" t="s">
        <v>31</v>
      </c>
      <c r="AE40" s="182"/>
      <c r="AF40" s="182"/>
      <c r="AG40" s="182"/>
      <c r="AH40" s="182"/>
      <c r="AI40" s="183"/>
      <c r="AJ40" s="23"/>
      <c r="AK40" s="23"/>
      <c r="AL40" s="23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  <c r="AX40" s="26"/>
      <c r="AY40" s="26"/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6"/>
      <c r="BP40" s="26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26"/>
      <c r="CP40" s="26"/>
      <c r="CQ40" s="26"/>
      <c r="CR40" s="26"/>
      <c r="CS40" s="26"/>
      <c r="CT40" s="26"/>
      <c r="CU40" s="26"/>
      <c r="CV40" s="26"/>
      <c r="CW40" s="26"/>
      <c r="CX40" s="26"/>
      <c r="CY40" s="26"/>
      <c r="CZ40" s="26"/>
    </row>
    <row r="41" spans="1:104" ht="17.399999999999999" x14ac:dyDescent="0.25">
      <c r="A41" s="23"/>
      <c r="B41" s="23"/>
      <c r="C41" s="38"/>
      <c r="D41" s="32"/>
      <c r="E41" s="32" t="s">
        <v>10</v>
      </c>
      <c r="F41" s="32"/>
      <c r="G41" s="182" t="s">
        <v>67</v>
      </c>
      <c r="H41" s="182"/>
      <c r="I41" s="182"/>
      <c r="J41" s="182"/>
      <c r="K41" s="182"/>
      <c r="L41" s="182"/>
      <c r="M41" s="182"/>
      <c r="N41" s="182"/>
      <c r="O41" s="182"/>
      <c r="P41" s="32" t="s">
        <v>27</v>
      </c>
      <c r="Q41" s="32" t="s">
        <v>96</v>
      </c>
      <c r="R41" s="32" t="s">
        <v>28</v>
      </c>
      <c r="S41" s="203" t="s">
        <v>29</v>
      </c>
      <c r="T41" s="203"/>
      <c r="U41" s="32" t="s">
        <v>16</v>
      </c>
      <c r="V41" s="32"/>
      <c r="W41" s="34"/>
      <c r="X41" s="32"/>
      <c r="Y41" s="32"/>
      <c r="Z41" s="180"/>
      <c r="AA41" s="180"/>
      <c r="AB41" s="180"/>
      <c r="AC41" s="180"/>
      <c r="AD41" s="182" t="s">
        <v>31</v>
      </c>
      <c r="AE41" s="182"/>
      <c r="AF41" s="182"/>
      <c r="AG41" s="182"/>
      <c r="AH41" s="182"/>
      <c r="AI41" s="183"/>
      <c r="AJ41" s="23"/>
      <c r="AK41" s="23"/>
      <c r="AL41" s="23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  <c r="AX41" s="26"/>
      <c r="AY41" s="26"/>
      <c r="AZ41" s="26"/>
      <c r="BA41" s="26"/>
      <c r="BB41" s="26"/>
      <c r="BC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  <c r="BO41" s="26"/>
      <c r="BP41" s="26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26"/>
      <c r="CP41" s="26"/>
      <c r="CQ41" s="26"/>
      <c r="CR41" s="26"/>
      <c r="CS41" s="26"/>
      <c r="CT41" s="26"/>
      <c r="CU41" s="26"/>
      <c r="CV41" s="26"/>
      <c r="CW41" s="26"/>
      <c r="CX41" s="26"/>
      <c r="CY41" s="26"/>
      <c r="CZ41" s="26"/>
    </row>
    <row r="42" spans="1:104" ht="17.399999999999999" x14ac:dyDescent="0.25">
      <c r="A42" s="23"/>
      <c r="B42" s="23"/>
      <c r="C42" s="38"/>
      <c r="D42" s="32"/>
      <c r="E42" s="32" t="s">
        <v>10</v>
      </c>
      <c r="F42" s="32"/>
      <c r="G42" s="182" t="s">
        <v>68</v>
      </c>
      <c r="H42" s="182"/>
      <c r="I42" s="182"/>
      <c r="J42" s="182"/>
      <c r="K42" s="182"/>
      <c r="L42" s="182"/>
      <c r="M42" s="182"/>
      <c r="N42" s="182"/>
      <c r="O42" s="182"/>
      <c r="P42" s="32" t="s">
        <v>19</v>
      </c>
      <c r="Q42" s="32" t="s">
        <v>96</v>
      </c>
      <c r="R42" s="32" t="s">
        <v>28</v>
      </c>
      <c r="S42" s="203" t="s">
        <v>29</v>
      </c>
      <c r="T42" s="203"/>
      <c r="U42" s="32" t="s">
        <v>16</v>
      </c>
      <c r="V42" s="32"/>
      <c r="W42" s="34"/>
      <c r="X42" s="32"/>
      <c r="Y42" s="32"/>
      <c r="Z42" s="180"/>
      <c r="AA42" s="180"/>
      <c r="AB42" s="180"/>
      <c r="AC42" s="180"/>
      <c r="AD42" s="182" t="s">
        <v>31</v>
      </c>
      <c r="AE42" s="182"/>
      <c r="AF42" s="182"/>
      <c r="AG42" s="182"/>
      <c r="AH42" s="182"/>
      <c r="AI42" s="183"/>
      <c r="AJ42" s="23"/>
      <c r="AK42" s="23"/>
      <c r="AL42" s="23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  <c r="CW42" s="26"/>
      <c r="CX42" s="26"/>
      <c r="CY42" s="26"/>
      <c r="CZ42" s="26"/>
    </row>
    <row r="43" spans="1:104" ht="17.399999999999999" x14ac:dyDescent="0.25">
      <c r="A43" s="23"/>
      <c r="B43" s="23"/>
      <c r="C43" s="38"/>
      <c r="D43" s="32"/>
      <c r="E43" s="32" t="s">
        <v>10</v>
      </c>
      <c r="F43" s="32"/>
      <c r="G43" s="182" t="s">
        <v>69</v>
      </c>
      <c r="H43" s="182"/>
      <c r="I43" s="182"/>
      <c r="J43" s="182"/>
      <c r="K43" s="182"/>
      <c r="L43" s="182"/>
      <c r="M43" s="182"/>
      <c r="N43" s="182"/>
      <c r="O43" s="182"/>
      <c r="P43" s="32" t="s">
        <v>27</v>
      </c>
      <c r="Q43" s="32" t="s">
        <v>96</v>
      </c>
      <c r="R43" s="32" t="s">
        <v>35</v>
      </c>
      <c r="S43" s="203" t="s">
        <v>41</v>
      </c>
      <c r="T43" s="203"/>
      <c r="U43" s="32" t="s">
        <v>16</v>
      </c>
      <c r="V43" s="32"/>
      <c r="W43" s="34"/>
      <c r="X43" s="32"/>
      <c r="Y43" s="32"/>
      <c r="Z43" s="180"/>
      <c r="AA43" s="180"/>
      <c r="AB43" s="180"/>
      <c r="AC43" s="180"/>
      <c r="AD43" s="182" t="s">
        <v>37</v>
      </c>
      <c r="AE43" s="182"/>
      <c r="AF43" s="182"/>
      <c r="AG43" s="182"/>
      <c r="AH43" s="182"/>
      <c r="AI43" s="183"/>
      <c r="AJ43" s="23"/>
      <c r="AK43" s="23"/>
      <c r="AL43" s="23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26"/>
      <c r="BD43" s="2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</row>
    <row r="44" spans="1:104" ht="17.399999999999999" x14ac:dyDescent="0.25">
      <c r="A44" s="23"/>
      <c r="B44" s="23"/>
      <c r="C44" s="38"/>
      <c r="D44" s="32"/>
      <c r="E44" s="32" t="s">
        <v>10</v>
      </c>
      <c r="F44" s="32"/>
      <c r="G44" s="182" t="s">
        <v>70</v>
      </c>
      <c r="H44" s="182"/>
      <c r="I44" s="182"/>
      <c r="J44" s="182"/>
      <c r="K44" s="182"/>
      <c r="L44" s="182"/>
      <c r="M44" s="182"/>
      <c r="N44" s="182"/>
      <c r="O44" s="182"/>
      <c r="P44" s="32" t="s">
        <v>19</v>
      </c>
      <c r="Q44" s="32" t="s">
        <v>96</v>
      </c>
      <c r="R44" s="32" t="s">
        <v>28</v>
      </c>
      <c r="S44" s="203" t="s">
        <v>29</v>
      </c>
      <c r="T44" s="203"/>
      <c r="U44" s="32" t="s">
        <v>16</v>
      </c>
      <c r="V44" s="32"/>
      <c r="W44" s="34"/>
      <c r="X44" s="32"/>
      <c r="Y44" s="32"/>
      <c r="Z44" s="180"/>
      <c r="AA44" s="180"/>
      <c r="AB44" s="180"/>
      <c r="AC44" s="180"/>
      <c r="AD44" s="182" t="s">
        <v>31</v>
      </c>
      <c r="AE44" s="182"/>
      <c r="AF44" s="182"/>
      <c r="AG44" s="182"/>
      <c r="AH44" s="182"/>
      <c r="AI44" s="183"/>
      <c r="AJ44" s="23"/>
      <c r="AK44" s="23"/>
      <c r="AL44" s="23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26"/>
      <c r="BI44" s="26"/>
      <c r="BJ44" s="26"/>
      <c r="BK44" s="26"/>
      <c r="BL44" s="26"/>
      <c r="BM44" s="26"/>
      <c r="BN44" s="26"/>
      <c r="BO44" s="26"/>
      <c r="BP44" s="26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</row>
    <row r="45" spans="1:104" ht="17.399999999999999" x14ac:dyDescent="0.25">
      <c r="A45" s="23"/>
      <c r="B45" s="23"/>
      <c r="C45" s="38"/>
      <c r="D45" s="32"/>
      <c r="E45" s="32" t="s">
        <v>10</v>
      </c>
      <c r="F45" s="32"/>
      <c r="G45" s="182" t="s">
        <v>71</v>
      </c>
      <c r="H45" s="182"/>
      <c r="I45" s="182"/>
      <c r="J45" s="182"/>
      <c r="K45" s="182"/>
      <c r="L45" s="182"/>
      <c r="M45" s="182"/>
      <c r="N45" s="182"/>
      <c r="O45" s="182"/>
      <c r="P45" s="32" t="s">
        <v>27</v>
      </c>
      <c r="Q45" s="32" t="s">
        <v>96</v>
      </c>
      <c r="R45" s="32" t="s">
        <v>35</v>
      </c>
      <c r="S45" s="203" t="s">
        <v>41</v>
      </c>
      <c r="T45" s="203"/>
      <c r="U45" s="32" t="s">
        <v>16</v>
      </c>
      <c r="V45" s="32"/>
      <c r="W45" s="34"/>
      <c r="X45" s="32"/>
      <c r="Y45" s="32"/>
      <c r="Z45" s="180"/>
      <c r="AA45" s="180"/>
      <c r="AB45" s="180"/>
      <c r="AC45" s="180"/>
      <c r="AD45" s="182" t="s">
        <v>37</v>
      </c>
      <c r="AE45" s="182"/>
      <c r="AF45" s="182"/>
      <c r="AG45" s="182"/>
      <c r="AH45" s="182"/>
      <c r="AI45" s="183"/>
      <c r="AJ45" s="23"/>
      <c r="AK45" s="23"/>
      <c r="AL45" s="23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</row>
    <row r="46" spans="1:104" ht="17.399999999999999" x14ac:dyDescent="0.25">
      <c r="A46" s="23"/>
      <c r="B46" s="23"/>
      <c r="C46" s="38"/>
      <c r="D46" s="32"/>
      <c r="E46" s="32" t="s">
        <v>10</v>
      </c>
      <c r="F46" s="32"/>
      <c r="G46" s="182" t="s">
        <v>72</v>
      </c>
      <c r="H46" s="182"/>
      <c r="I46" s="182"/>
      <c r="J46" s="182"/>
      <c r="K46" s="182"/>
      <c r="L46" s="182"/>
      <c r="M46" s="182"/>
      <c r="N46" s="182"/>
      <c r="O46" s="182"/>
      <c r="P46" s="32" t="s">
        <v>19</v>
      </c>
      <c r="Q46" s="32" t="s">
        <v>96</v>
      </c>
      <c r="R46" s="32" t="s">
        <v>28</v>
      </c>
      <c r="S46" s="203" t="s">
        <v>29</v>
      </c>
      <c r="T46" s="203"/>
      <c r="U46" s="32" t="s">
        <v>16</v>
      </c>
      <c r="V46" s="32"/>
      <c r="W46" s="34"/>
      <c r="X46" s="32"/>
      <c r="Y46" s="32"/>
      <c r="Z46" s="180"/>
      <c r="AA46" s="180"/>
      <c r="AB46" s="180"/>
      <c r="AC46" s="180"/>
      <c r="AD46" s="182" t="s">
        <v>31</v>
      </c>
      <c r="AE46" s="182"/>
      <c r="AF46" s="182"/>
      <c r="AG46" s="182"/>
      <c r="AH46" s="182"/>
      <c r="AI46" s="183"/>
      <c r="AJ46" s="23"/>
      <c r="AK46" s="23"/>
      <c r="AL46" s="23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</row>
    <row r="47" spans="1:104" ht="17.399999999999999" x14ac:dyDescent="0.25">
      <c r="A47" s="23"/>
      <c r="B47" s="23"/>
      <c r="C47" s="38"/>
      <c r="D47" s="32"/>
      <c r="E47" s="32" t="s">
        <v>10</v>
      </c>
      <c r="F47" s="32"/>
      <c r="G47" s="182" t="s">
        <v>73</v>
      </c>
      <c r="H47" s="182"/>
      <c r="I47" s="182"/>
      <c r="J47" s="182"/>
      <c r="K47" s="182"/>
      <c r="L47" s="182"/>
      <c r="M47" s="182"/>
      <c r="N47" s="182"/>
      <c r="O47" s="182"/>
      <c r="P47" s="32" t="s">
        <v>27</v>
      </c>
      <c r="Q47" s="32" t="s">
        <v>96</v>
      </c>
      <c r="R47" s="32" t="s">
        <v>35</v>
      </c>
      <c r="S47" s="203" t="s">
        <v>41</v>
      </c>
      <c r="T47" s="203"/>
      <c r="U47" s="32" t="s">
        <v>16</v>
      </c>
      <c r="V47" s="32"/>
      <c r="W47" s="34"/>
      <c r="X47" s="32"/>
      <c r="Y47" s="32"/>
      <c r="Z47" s="180"/>
      <c r="AA47" s="180"/>
      <c r="AB47" s="180"/>
      <c r="AC47" s="180"/>
      <c r="AD47" s="182" t="s">
        <v>37</v>
      </c>
      <c r="AE47" s="182"/>
      <c r="AF47" s="182"/>
      <c r="AG47" s="182"/>
      <c r="AH47" s="182"/>
      <c r="AI47" s="183"/>
      <c r="AJ47" s="23"/>
      <c r="AK47" s="23"/>
      <c r="AL47" s="23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/>
      <c r="BM47" s="26"/>
      <c r="BN47" s="26"/>
      <c r="BO47" s="26"/>
      <c r="BP47" s="26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26"/>
      <c r="CP47" s="26"/>
      <c r="CQ47" s="26"/>
      <c r="CR47" s="26"/>
      <c r="CS47" s="26"/>
      <c r="CT47" s="26"/>
      <c r="CU47" s="26"/>
      <c r="CV47" s="26"/>
      <c r="CW47" s="26"/>
      <c r="CX47" s="26"/>
      <c r="CY47" s="26"/>
      <c r="CZ47" s="26"/>
    </row>
    <row r="48" spans="1:104" ht="17.399999999999999" x14ac:dyDescent="0.25">
      <c r="A48" s="23"/>
      <c r="B48" s="23"/>
      <c r="C48" s="38"/>
      <c r="D48" s="32"/>
      <c r="E48" s="32" t="s">
        <v>10</v>
      </c>
      <c r="F48" s="32"/>
      <c r="G48" s="182" t="s">
        <v>74</v>
      </c>
      <c r="H48" s="182"/>
      <c r="I48" s="182"/>
      <c r="J48" s="182"/>
      <c r="K48" s="182"/>
      <c r="L48" s="182"/>
      <c r="M48" s="182"/>
      <c r="N48" s="182"/>
      <c r="O48" s="182"/>
      <c r="P48" s="32" t="s">
        <v>34</v>
      </c>
      <c r="Q48" s="32" t="s">
        <v>96</v>
      </c>
      <c r="R48" s="32" t="s">
        <v>35</v>
      </c>
      <c r="S48" s="203" t="s">
        <v>41</v>
      </c>
      <c r="T48" s="203"/>
      <c r="U48" s="32" t="s">
        <v>16</v>
      </c>
      <c r="V48" s="32"/>
      <c r="W48" s="34"/>
      <c r="X48" s="32"/>
      <c r="Y48" s="32"/>
      <c r="Z48" s="180"/>
      <c r="AA48" s="180"/>
      <c r="AB48" s="180"/>
      <c r="AC48" s="180"/>
      <c r="AD48" s="182" t="s">
        <v>37</v>
      </c>
      <c r="AE48" s="182"/>
      <c r="AF48" s="182"/>
      <c r="AG48" s="182"/>
      <c r="AH48" s="182"/>
      <c r="AI48" s="183"/>
      <c r="AJ48" s="23"/>
      <c r="AK48" s="23"/>
      <c r="AL48" s="23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  <c r="CX48" s="26"/>
      <c r="CY48" s="26"/>
      <c r="CZ48" s="26"/>
    </row>
    <row r="49" spans="1:104" ht="17.399999999999999" x14ac:dyDescent="0.25">
      <c r="A49" s="23"/>
      <c r="B49" s="23"/>
      <c r="C49" s="38"/>
      <c r="D49" s="32"/>
      <c r="E49" s="32" t="s">
        <v>10</v>
      </c>
      <c r="F49" s="32"/>
      <c r="G49" s="182" t="s">
        <v>75</v>
      </c>
      <c r="H49" s="182"/>
      <c r="I49" s="182"/>
      <c r="J49" s="182"/>
      <c r="K49" s="182"/>
      <c r="L49" s="182"/>
      <c r="M49" s="182"/>
      <c r="N49" s="182"/>
      <c r="O49" s="182"/>
      <c r="P49" s="32" t="s">
        <v>34</v>
      </c>
      <c r="Q49" s="32" t="s">
        <v>96</v>
      </c>
      <c r="R49" s="32" t="s">
        <v>35</v>
      </c>
      <c r="S49" s="203" t="s">
        <v>41</v>
      </c>
      <c r="T49" s="203"/>
      <c r="U49" s="32" t="s">
        <v>16</v>
      </c>
      <c r="V49" s="32"/>
      <c r="W49" s="34"/>
      <c r="X49" s="32"/>
      <c r="Y49" s="32"/>
      <c r="Z49" s="180"/>
      <c r="AA49" s="180"/>
      <c r="AB49" s="180"/>
      <c r="AC49" s="180"/>
      <c r="AD49" s="182" t="s">
        <v>37</v>
      </c>
      <c r="AE49" s="182"/>
      <c r="AF49" s="182"/>
      <c r="AG49" s="182"/>
      <c r="AH49" s="182"/>
      <c r="AI49" s="183"/>
      <c r="AJ49" s="23"/>
      <c r="AK49" s="23"/>
      <c r="AL49" s="23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</row>
    <row r="50" spans="1:104" ht="17.399999999999999" x14ac:dyDescent="0.25">
      <c r="A50" s="23"/>
      <c r="B50" s="23"/>
      <c r="C50" s="38"/>
      <c r="D50" s="32"/>
      <c r="E50" s="32" t="s">
        <v>10</v>
      </c>
      <c r="F50" s="32"/>
      <c r="G50" s="182" t="s">
        <v>76</v>
      </c>
      <c r="H50" s="182"/>
      <c r="I50" s="182"/>
      <c r="J50" s="182"/>
      <c r="K50" s="182"/>
      <c r="L50" s="182"/>
      <c r="M50" s="182"/>
      <c r="N50" s="182"/>
      <c r="O50" s="182"/>
      <c r="P50" s="32" t="s">
        <v>34</v>
      </c>
      <c r="Q50" s="32" t="s">
        <v>96</v>
      </c>
      <c r="R50" s="32" t="s">
        <v>35</v>
      </c>
      <c r="S50" s="203" t="s">
        <v>41</v>
      </c>
      <c r="T50" s="203"/>
      <c r="U50" s="32" t="s">
        <v>16</v>
      </c>
      <c r="V50" s="32"/>
      <c r="W50" s="34"/>
      <c r="X50" s="32"/>
      <c r="Y50" s="32"/>
      <c r="Z50" s="180"/>
      <c r="AA50" s="180"/>
      <c r="AB50" s="180"/>
      <c r="AC50" s="180"/>
      <c r="AD50" s="182" t="s">
        <v>37</v>
      </c>
      <c r="AE50" s="182"/>
      <c r="AF50" s="182"/>
      <c r="AG50" s="182"/>
      <c r="AH50" s="182"/>
      <c r="AI50" s="183"/>
      <c r="AJ50" s="23"/>
      <c r="AK50" s="23"/>
      <c r="AL50" s="23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26"/>
      <c r="BN50" s="26"/>
      <c r="BO50" s="26"/>
      <c r="BP50" s="26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26"/>
      <c r="CP50" s="26"/>
      <c r="CQ50" s="26"/>
      <c r="CR50" s="26"/>
      <c r="CS50" s="26"/>
      <c r="CT50" s="26"/>
      <c r="CU50" s="26"/>
      <c r="CV50" s="26"/>
      <c r="CW50" s="26"/>
      <c r="CX50" s="26"/>
      <c r="CY50" s="26"/>
      <c r="CZ50" s="26"/>
    </row>
    <row r="51" spans="1:104" ht="17.399999999999999" x14ac:dyDescent="0.25">
      <c r="A51" s="23"/>
      <c r="B51" s="23"/>
      <c r="C51" s="38"/>
      <c r="D51" s="32"/>
      <c r="E51" s="32" t="s">
        <v>10</v>
      </c>
      <c r="F51" s="32"/>
      <c r="G51" s="182" t="s">
        <v>77</v>
      </c>
      <c r="H51" s="182"/>
      <c r="I51" s="182"/>
      <c r="J51" s="182"/>
      <c r="K51" s="182"/>
      <c r="L51" s="182"/>
      <c r="M51" s="182"/>
      <c r="N51" s="182"/>
      <c r="O51" s="182"/>
      <c r="P51" s="32" t="s">
        <v>34</v>
      </c>
      <c r="Q51" s="32" t="s">
        <v>96</v>
      </c>
      <c r="R51" s="32" t="s">
        <v>35</v>
      </c>
      <c r="S51" s="203" t="s">
        <v>41</v>
      </c>
      <c r="T51" s="203"/>
      <c r="U51" s="32" t="s">
        <v>16</v>
      </c>
      <c r="V51" s="32"/>
      <c r="W51" s="34"/>
      <c r="X51" s="32"/>
      <c r="Y51" s="32"/>
      <c r="Z51" s="180"/>
      <c r="AA51" s="180"/>
      <c r="AB51" s="180"/>
      <c r="AC51" s="180"/>
      <c r="AD51" s="182" t="s">
        <v>37</v>
      </c>
      <c r="AE51" s="182"/>
      <c r="AF51" s="182"/>
      <c r="AG51" s="182"/>
      <c r="AH51" s="182"/>
      <c r="AI51" s="183"/>
      <c r="AJ51" s="23"/>
      <c r="AK51" s="23"/>
      <c r="AL51" s="23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  <c r="BC51" s="26"/>
      <c r="BD51" s="26"/>
      <c r="BE51" s="26"/>
      <c r="BF51" s="26"/>
      <c r="BG51" s="26"/>
      <c r="BH51" s="26"/>
      <c r="BI51" s="26"/>
      <c r="BJ51" s="26"/>
      <c r="BK51" s="26"/>
      <c r="BL51" s="26"/>
      <c r="BM51" s="26"/>
      <c r="BN51" s="26"/>
      <c r="BO51" s="26"/>
      <c r="BP51" s="26"/>
      <c r="BQ51" s="26"/>
      <c r="BR51" s="26"/>
      <c r="BS51" s="26"/>
      <c r="BT51" s="26"/>
      <c r="BU51" s="26"/>
      <c r="BV51" s="26"/>
      <c r="BW51" s="26"/>
      <c r="BX51" s="26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26"/>
      <c r="CP51" s="26"/>
      <c r="CQ51" s="26"/>
      <c r="CR51" s="26"/>
      <c r="CS51" s="26"/>
      <c r="CT51" s="26"/>
      <c r="CU51" s="26"/>
      <c r="CV51" s="26"/>
      <c r="CW51" s="26"/>
      <c r="CX51" s="26"/>
      <c r="CY51" s="26"/>
      <c r="CZ51" s="26"/>
    </row>
    <row r="52" spans="1:104" ht="17.399999999999999" x14ac:dyDescent="0.25">
      <c r="A52" s="23"/>
      <c r="B52" s="23"/>
      <c r="C52" s="38"/>
      <c r="D52" s="32"/>
      <c r="E52" s="32" t="s">
        <v>10</v>
      </c>
      <c r="F52" s="32"/>
      <c r="G52" s="182" t="s">
        <v>78</v>
      </c>
      <c r="H52" s="182"/>
      <c r="I52" s="182"/>
      <c r="J52" s="182"/>
      <c r="K52" s="182"/>
      <c r="L52" s="182"/>
      <c r="M52" s="182"/>
      <c r="N52" s="182"/>
      <c r="O52" s="182"/>
      <c r="P52" s="32" t="s">
        <v>34</v>
      </c>
      <c r="Q52" s="32" t="s">
        <v>96</v>
      </c>
      <c r="R52" s="32" t="s">
        <v>35</v>
      </c>
      <c r="S52" s="203" t="s">
        <v>41</v>
      </c>
      <c r="T52" s="203"/>
      <c r="U52" s="32" t="s">
        <v>16</v>
      </c>
      <c r="V52" s="32"/>
      <c r="W52" s="34"/>
      <c r="X52" s="32"/>
      <c r="Y52" s="32"/>
      <c r="Z52" s="180"/>
      <c r="AA52" s="180"/>
      <c r="AB52" s="180"/>
      <c r="AC52" s="180"/>
      <c r="AD52" s="182" t="s">
        <v>37</v>
      </c>
      <c r="AE52" s="182"/>
      <c r="AF52" s="182"/>
      <c r="AG52" s="182"/>
      <c r="AH52" s="182"/>
      <c r="AI52" s="183"/>
      <c r="AJ52" s="23"/>
      <c r="AK52" s="23"/>
      <c r="AL52" s="23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26"/>
      <c r="BI52" s="26"/>
      <c r="BJ52" s="26"/>
      <c r="BK52" s="26"/>
      <c r="BL52" s="26"/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26"/>
      <c r="CP52" s="26"/>
      <c r="CQ52" s="26"/>
      <c r="CR52" s="26"/>
      <c r="CS52" s="26"/>
      <c r="CT52" s="26"/>
      <c r="CU52" s="26"/>
      <c r="CV52" s="26"/>
      <c r="CW52" s="26"/>
      <c r="CX52" s="26"/>
      <c r="CY52" s="26"/>
      <c r="CZ52" s="26"/>
    </row>
    <row r="53" spans="1:104" ht="17.399999999999999" x14ac:dyDescent="0.25">
      <c r="A53" s="23"/>
      <c r="B53" s="23"/>
      <c r="C53" s="38"/>
      <c r="D53" s="32"/>
      <c r="E53" s="32" t="s">
        <v>10</v>
      </c>
      <c r="F53" s="32"/>
      <c r="G53" s="182" t="s">
        <v>79</v>
      </c>
      <c r="H53" s="182"/>
      <c r="I53" s="182"/>
      <c r="J53" s="182"/>
      <c r="K53" s="182"/>
      <c r="L53" s="182"/>
      <c r="M53" s="182"/>
      <c r="N53" s="182"/>
      <c r="O53" s="182"/>
      <c r="P53" s="32" t="s">
        <v>34</v>
      </c>
      <c r="Q53" s="32" t="s">
        <v>96</v>
      </c>
      <c r="R53" s="32" t="s">
        <v>35</v>
      </c>
      <c r="S53" s="203" t="s">
        <v>41</v>
      </c>
      <c r="T53" s="203"/>
      <c r="U53" s="32" t="s">
        <v>16</v>
      </c>
      <c r="V53" s="32"/>
      <c r="W53" s="34"/>
      <c r="X53" s="32"/>
      <c r="Y53" s="32"/>
      <c r="Z53" s="180"/>
      <c r="AA53" s="180"/>
      <c r="AB53" s="180"/>
      <c r="AC53" s="180"/>
      <c r="AD53" s="182" t="s">
        <v>37</v>
      </c>
      <c r="AE53" s="182"/>
      <c r="AF53" s="182"/>
      <c r="AG53" s="182"/>
      <c r="AH53" s="182"/>
      <c r="AI53" s="183"/>
      <c r="AJ53" s="23"/>
      <c r="AK53" s="23"/>
      <c r="AL53" s="23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6"/>
      <c r="BB53" s="26"/>
      <c r="BC53" s="26"/>
      <c r="BD53" s="26"/>
      <c r="BE53" s="26"/>
      <c r="BF53" s="26"/>
      <c r="BG53" s="26"/>
      <c r="BH53" s="26"/>
      <c r="BI53" s="26"/>
      <c r="BJ53" s="26"/>
      <c r="BK53" s="26"/>
      <c r="BL53" s="26"/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26"/>
      <c r="CP53" s="26"/>
      <c r="CQ53" s="26"/>
      <c r="CR53" s="26"/>
      <c r="CS53" s="26"/>
      <c r="CT53" s="26"/>
      <c r="CU53" s="26"/>
      <c r="CV53" s="26"/>
      <c r="CW53" s="26"/>
      <c r="CX53" s="26"/>
      <c r="CY53" s="26"/>
      <c r="CZ53" s="26"/>
    </row>
    <row r="54" spans="1:104" ht="17.399999999999999" x14ac:dyDescent="0.25">
      <c r="A54" s="23"/>
      <c r="B54" s="23"/>
      <c r="C54" s="38"/>
      <c r="D54" s="32"/>
      <c r="E54" s="32"/>
      <c r="F54" s="32"/>
      <c r="G54" s="182"/>
      <c r="H54" s="182"/>
      <c r="I54" s="182"/>
      <c r="J54" s="182"/>
      <c r="K54" s="182"/>
      <c r="L54" s="182"/>
      <c r="M54" s="182"/>
      <c r="N54" s="182"/>
      <c r="O54" s="182"/>
      <c r="P54" s="32"/>
      <c r="Q54" s="32"/>
      <c r="R54" s="32"/>
      <c r="S54" s="203"/>
      <c r="T54" s="203"/>
      <c r="U54" s="32"/>
      <c r="V54" s="32"/>
      <c r="W54" s="34"/>
      <c r="X54" s="32"/>
      <c r="Y54" s="32"/>
      <c r="Z54" s="180"/>
      <c r="AA54" s="180"/>
      <c r="AB54" s="180"/>
      <c r="AC54" s="180"/>
      <c r="AD54" s="182"/>
      <c r="AE54" s="182"/>
      <c r="AF54" s="182"/>
      <c r="AG54" s="182"/>
      <c r="AH54" s="182"/>
      <c r="AI54" s="183"/>
      <c r="AJ54" s="23"/>
      <c r="AK54" s="23"/>
      <c r="AL54" s="23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  <c r="AX54" s="26"/>
      <c r="AY54" s="26"/>
      <c r="AZ54" s="26"/>
      <c r="BA54" s="26"/>
      <c r="BB54" s="26"/>
      <c r="BC54" s="26"/>
      <c r="BD54" s="26"/>
      <c r="BE54" s="26"/>
      <c r="BF54" s="26"/>
      <c r="BG54" s="26"/>
      <c r="BH54" s="26"/>
      <c r="BI54" s="26"/>
      <c r="BJ54" s="26"/>
      <c r="BK54" s="26"/>
      <c r="BL54" s="26"/>
      <c r="BM54" s="26"/>
      <c r="BN54" s="26"/>
      <c r="BO54" s="26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26"/>
      <c r="CP54" s="26"/>
      <c r="CQ54" s="26"/>
      <c r="CR54" s="26"/>
      <c r="CS54" s="26"/>
      <c r="CT54" s="26"/>
      <c r="CU54" s="26"/>
      <c r="CV54" s="26"/>
      <c r="CW54" s="26"/>
      <c r="CX54" s="26"/>
      <c r="CY54" s="26"/>
      <c r="CZ54" s="26"/>
    </row>
    <row r="55" spans="1:104" ht="17.399999999999999" x14ac:dyDescent="0.25">
      <c r="A55" s="23"/>
      <c r="B55" s="23"/>
      <c r="C55" s="38"/>
      <c r="D55" s="32"/>
      <c r="E55" s="32"/>
      <c r="F55" s="32"/>
      <c r="G55" s="182"/>
      <c r="H55" s="182"/>
      <c r="I55" s="182"/>
      <c r="J55" s="182"/>
      <c r="K55" s="182"/>
      <c r="L55" s="182"/>
      <c r="M55" s="182"/>
      <c r="N55" s="182"/>
      <c r="O55" s="182"/>
      <c r="P55" s="32"/>
      <c r="Q55" s="32"/>
      <c r="R55" s="32"/>
      <c r="S55" s="203"/>
      <c r="T55" s="203"/>
      <c r="U55" s="32"/>
      <c r="V55" s="32"/>
      <c r="W55" s="34"/>
      <c r="X55" s="32"/>
      <c r="Y55" s="32"/>
      <c r="Z55" s="180"/>
      <c r="AA55" s="180"/>
      <c r="AB55" s="180"/>
      <c r="AC55" s="180"/>
      <c r="AD55" s="182"/>
      <c r="AE55" s="182"/>
      <c r="AF55" s="182"/>
      <c r="AG55" s="182"/>
      <c r="AH55" s="182"/>
      <c r="AI55" s="183"/>
      <c r="AJ55" s="23"/>
      <c r="AK55" s="23"/>
      <c r="AL55" s="23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/>
      <c r="BD55" s="26"/>
      <c r="BE55" s="26"/>
      <c r="BF55" s="26"/>
      <c r="BG55" s="26"/>
      <c r="BH55" s="26"/>
      <c r="BI55" s="26"/>
      <c r="BJ55" s="26"/>
      <c r="BK55" s="26"/>
      <c r="BL55" s="26"/>
      <c r="BM55" s="26"/>
      <c r="BN55" s="26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26"/>
      <c r="CP55" s="26"/>
      <c r="CQ55" s="26"/>
      <c r="CR55" s="26"/>
      <c r="CS55" s="26"/>
      <c r="CT55" s="26"/>
      <c r="CU55" s="26"/>
      <c r="CV55" s="26"/>
      <c r="CW55" s="26"/>
      <c r="CX55" s="26"/>
      <c r="CY55" s="26"/>
      <c r="CZ55" s="26"/>
    </row>
    <row r="56" spans="1:104" ht="17.399999999999999" x14ac:dyDescent="0.25">
      <c r="A56" s="23"/>
      <c r="B56" s="23"/>
      <c r="C56" s="38"/>
      <c r="D56" s="32"/>
      <c r="E56" s="32"/>
      <c r="F56" s="32"/>
      <c r="G56" s="182"/>
      <c r="H56" s="182"/>
      <c r="I56" s="182"/>
      <c r="J56" s="182"/>
      <c r="K56" s="182"/>
      <c r="L56" s="182"/>
      <c r="M56" s="182"/>
      <c r="N56" s="182"/>
      <c r="O56" s="182"/>
      <c r="P56" s="32"/>
      <c r="Q56" s="32"/>
      <c r="R56" s="32"/>
      <c r="S56" s="203"/>
      <c r="T56" s="203"/>
      <c r="U56" s="32"/>
      <c r="V56" s="32"/>
      <c r="W56" s="34"/>
      <c r="X56" s="32"/>
      <c r="Y56" s="32"/>
      <c r="Z56" s="180"/>
      <c r="AA56" s="180"/>
      <c r="AB56" s="180"/>
      <c r="AC56" s="180"/>
      <c r="AD56" s="182"/>
      <c r="AE56" s="182"/>
      <c r="AF56" s="182"/>
      <c r="AG56" s="182"/>
      <c r="AH56" s="182"/>
      <c r="AI56" s="183"/>
      <c r="AJ56" s="23"/>
      <c r="AK56" s="23"/>
      <c r="AL56" s="23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  <c r="AZ56" s="26"/>
      <c r="BA56" s="26"/>
      <c r="BB56" s="26"/>
      <c r="BC56" s="26"/>
      <c r="BD56" s="26"/>
      <c r="BE56" s="26"/>
      <c r="BF56" s="26"/>
      <c r="BG56" s="26"/>
      <c r="BH56" s="26"/>
      <c r="BI56" s="26"/>
      <c r="BJ56" s="26"/>
      <c r="BK56" s="26"/>
      <c r="BL56" s="26"/>
      <c r="BM56" s="26"/>
      <c r="BN56" s="26"/>
      <c r="BO56" s="26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26"/>
      <c r="CP56" s="26"/>
      <c r="CQ56" s="26"/>
      <c r="CR56" s="26"/>
      <c r="CS56" s="26"/>
      <c r="CT56" s="26"/>
      <c r="CU56" s="26"/>
      <c r="CV56" s="26"/>
      <c r="CW56" s="26"/>
      <c r="CX56" s="26"/>
      <c r="CY56" s="26"/>
      <c r="CZ56" s="26"/>
    </row>
    <row r="57" spans="1:104" ht="17.399999999999999" x14ac:dyDescent="0.25">
      <c r="A57" s="23"/>
      <c r="B57" s="23"/>
      <c r="C57" s="38"/>
      <c r="D57" s="32"/>
      <c r="E57" s="32"/>
      <c r="F57" s="32"/>
      <c r="G57" s="182"/>
      <c r="H57" s="182"/>
      <c r="I57" s="182"/>
      <c r="J57" s="182"/>
      <c r="K57" s="182"/>
      <c r="L57" s="182"/>
      <c r="M57" s="182"/>
      <c r="N57" s="182"/>
      <c r="O57" s="182"/>
      <c r="P57" s="32"/>
      <c r="Q57" s="32"/>
      <c r="R57" s="32"/>
      <c r="S57" s="203"/>
      <c r="T57" s="203"/>
      <c r="U57" s="32"/>
      <c r="V57" s="32"/>
      <c r="W57" s="34"/>
      <c r="X57" s="32"/>
      <c r="Y57" s="32"/>
      <c r="Z57" s="180"/>
      <c r="AA57" s="180"/>
      <c r="AB57" s="180"/>
      <c r="AC57" s="180"/>
      <c r="AD57" s="182"/>
      <c r="AE57" s="182"/>
      <c r="AF57" s="182"/>
      <c r="AG57" s="182"/>
      <c r="AH57" s="182"/>
      <c r="AI57" s="183"/>
      <c r="AJ57" s="23"/>
      <c r="AK57" s="23"/>
      <c r="AL57" s="23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  <c r="AX57" s="26"/>
      <c r="AY57" s="26"/>
      <c r="AZ57" s="26"/>
      <c r="BA57" s="26"/>
      <c r="BB57" s="26"/>
      <c r="BC57" s="26"/>
      <c r="BD57" s="26"/>
      <c r="BE57" s="26"/>
      <c r="BF57" s="26"/>
      <c r="BG57" s="26"/>
      <c r="BH57" s="26"/>
      <c r="BI57" s="26"/>
      <c r="BJ57" s="26"/>
      <c r="BK57" s="26"/>
      <c r="BL57" s="26"/>
      <c r="BM57" s="26"/>
      <c r="BN57" s="26"/>
      <c r="BO57" s="26"/>
      <c r="BP57" s="26"/>
      <c r="BQ57" s="26"/>
      <c r="BR57" s="26"/>
      <c r="BS57" s="26"/>
      <c r="BT57" s="26"/>
      <c r="BU57" s="26"/>
      <c r="BV57" s="26"/>
      <c r="BW57" s="26"/>
      <c r="BX57" s="26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26"/>
      <c r="CP57" s="26"/>
      <c r="CQ57" s="26"/>
      <c r="CR57" s="26"/>
      <c r="CS57" s="26"/>
      <c r="CT57" s="26"/>
      <c r="CU57" s="26"/>
      <c r="CV57" s="26"/>
      <c r="CW57" s="26"/>
      <c r="CX57" s="26"/>
      <c r="CY57" s="26"/>
      <c r="CZ57" s="26"/>
    </row>
    <row r="58" spans="1:104" ht="17.399999999999999" x14ac:dyDescent="0.25">
      <c r="A58" s="23"/>
      <c r="B58" s="23"/>
      <c r="C58" s="38"/>
      <c r="D58" s="32"/>
      <c r="E58" s="32"/>
      <c r="F58" s="32"/>
      <c r="G58" s="182"/>
      <c r="H58" s="182"/>
      <c r="I58" s="182"/>
      <c r="J58" s="182"/>
      <c r="K58" s="182"/>
      <c r="L58" s="182"/>
      <c r="M58" s="182"/>
      <c r="N58" s="182"/>
      <c r="O58" s="182"/>
      <c r="P58" s="32"/>
      <c r="Q58" s="32"/>
      <c r="R58" s="32"/>
      <c r="S58" s="203"/>
      <c r="T58" s="203"/>
      <c r="U58" s="32"/>
      <c r="V58" s="32"/>
      <c r="W58" s="34"/>
      <c r="X58" s="32"/>
      <c r="Y58" s="32"/>
      <c r="Z58" s="180"/>
      <c r="AA58" s="180"/>
      <c r="AB58" s="180"/>
      <c r="AC58" s="180"/>
      <c r="AD58" s="182"/>
      <c r="AE58" s="182"/>
      <c r="AF58" s="182"/>
      <c r="AG58" s="182"/>
      <c r="AH58" s="182"/>
      <c r="AI58" s="183"/>
      <c r="AJ58" s="23"/>
      <c r="AK58" s="23"/>
      <c r="AL58" s="23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  <c r="AX58" s="26"/>
      <c r="AY58" s="26"/>
      <c r="AZ58" s="26"/>
      <c r="BA58" s="26"/>
      <c r="BB58" s="26"/>
      <c r="BC58" s="26"/>
      <c r="BD58" s="26"/>
      <c r="BE58" s="26"/>
      <c r="BF58" s="26"/>
      <c r="BG58" s="26"/>
      <c r="BH58" s="26"/>
      <c r="BI58" s="26"/>
      <c r="BJ58" s="26"/>
      <c r="BK58" s="26"/>
      <c r="BL58" s="26"/>
      <c r="BM58" s="26"/>
      <c r="BN58" s="26"/>
      <c r="BO58" s="26"/>
      <c r="BP58" s="26"/>
      <c r="BQ58" s="26"/>
      <c r="BR58" s="26"/>
      <c r="BS58" s="26"/>
      <c r="BT58" s="26"/>
      <c r="BU58" s="26"/>
      <c r="BV58" s="26"/>
      <c r="BW58" s="26"/>
      <c r="BX58" s="26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26"/>
      <c r="CP58" s="26"/>
      <c r="CQ58" s="26"/>
      <c r="CR58" s="26"/>
      <c r="CS58" s="26"/>
      <c r="CT58" s="26"/>
      <c r="CU58" s="26"/>
      <c r="CV58" s="26"/>
      <c r="CW58" s="26"/>
      <c r="CX58" s="26"/>
      <c r="CY58" s="26"/>
      <c r="CZ58" s="26"/>
    </row>
    <row r="59" spans="1:104" ht="17.399999999999999" x14ac:dyDescent="0.25">
      <c r="A59" s="23"/>
      <c r="B59" s="23"/>
      <c r="C59" s="38"/>
      <c r="D59" s="32"/>
      <c r="E59" s="32"/>
      <c r="F59" s="32"/>
      <c r="G59" s="180"/>
      <c r="H59" s="182"/>
      <c r="I59" s="182"/>
      <c r="J59" s="182"/>
      <c r="K59" s="182"/>
      <c r="L59" s="182"/>
      <c r="M59" s="182"/>
      <c r="N59" s="182"/>
      <c r="O59" s="182"/>
      <c r="P59" s="32"/>
      <c r="Q59" s="32"/>
      <c r="R59" s="32"/>
      <c r="S59" s="203"/>
      <c r="T59" s="203"/>
      <c r="U59" s="32"/>
      <c r="V59" s="32"/>
      <c r="W59" s="34"/>
      <c r="X59" s="32"/>
      <c r="Y59" s="32"/>
      <c r="Z59" s="180"/>
      <c r="AA59" s="180"/>
      <c r="AB59" s="180"/>
      <c r="AC59" s="180"/>
      <c r="AD59" s="182"/>
      <c r="AE59" s="182"/>
      <c r="AF59" s="182"/>
      <c r="AG59" s="182"/>
      <c r="AH59" s="182"/>
      <c r="AI59" s="183"/>
      <c r="AJ59" s="23"/>
      <c r="AK59" s="23"/>
      <c r="AL59" s="23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  <c r="AX59" s="26"/>
      <c r="AY59" s="26"/>
      <c r="AZ59" s="26"/>
      <c r="BA59" s="26"/>
      <c r="BB59" s="26"/>
      <c r="BC59" s="26"/>
      <c r="BD59" s="26"/>
      <c r="BE59" s="26"/>
      <c r="BF59" s="26"/>
      <c r="BG59" s="26"/>
      <c r="BH59" s="26"/>
      <c r="BI59" s="26"/>
      <c r="BJ59" s="26"/>
      <c r="BK59" s="26"/>
      <c r="BL59" s="26"/>
      <c r="BM59" s="26"/>
      <c r="BN59" s="26"/>
      <c r="BO59" s="26"/>
      <c r="BP59" s="26"/>
      <c r="BQ59" s="26"/>
      <c r="BR59" s="26"/>
      <c r="BS59" s="26"/>
      <c r="BT59" s="26"/>
      <c r="BU59" s="26"/>
      <c r="BV59" s="26"/>
      <c r="BW59" s="26"/>
      <c r="BX59" s="26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26"/>
      <c r="CP59" s="26"/>
      <c r="CQ59" s="26"/>
      <c r="CR59" s="26"/>
      <c r="CS59" s="26"/>
      <c r="CT59" s="26"/>
      <c r="CU59" s="26"/>
      <c r="CV59" s="26"/>
      <c r="CW59" s="26"/>
      <c r="CX59" s="26"/>
      <c r="CY59" s="26"/>
      <c r="CZ59" s="26"/>
    </row>
    <row r="60" spans="1:104" ht="17.399999999999999" x14ac:dyDescent="0.25">
      <c r="A60" s="23"/>
      <c r="B60" s="23"/>
      <c r="C60" s="38"/>
      <c r="D60" s="32"/>
      <c r="E60" s="32"/>
      <c r="F60" s="32"/>
      <c r="G60" s="182"/>
      <c r="H60" s="182"/>
      <c r="I60" s="182"/>
      <c r="J60" s="182"/>
      <c r="K60" s="182"/>
      <c r="L60" s="182"/>
      <c r="M60" s="182"/>
      <c r="N60" s="182"/>
      <c r="O60" s="182"/>
      <c r="P60" s="32"/>
      <c r="Q60" s="32"/>
      <c r="R60" s="32"/>
      <c r="S60" s="203"/>
      <c r="T60" s="203"/>
      <c r="U60" s="32"/>
      <c r="V60" s="32"/>
      <c r="W60" s="34"/>
      <c r="X60" s="32"/>
      <c r="Y60" s="32"/>
      <c r="Z60" s="180"/>
      <c r="AA60" s="180"/>
      <c r="AB60" s="180"/>
      <c r="AC60" s="180"/>
      <c r="AD60" s="182"/>
      <c r="AE60" s="182"/>
      <c r="AF60" s="182"/>
      <c r="AG60" s="182"/>
      <c r="AH60" s="182"/>
      <c r="AI60" s="183"/>
      <c r="AJ60" s="23"/>
      <c r="AK60" s="23"/>
      <c r="AL60" s="23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26"/>
      <c r="BB60" s="26"/>
      <c r="BC60" s="26"/>
      <c r="BD60" s="26"/>
      <c r="BE60" s="26"/>
      <c r="BF60" s="26"/>
      <c r="BG60" s="26"/>
      <c r="BH60" s="26"/>
      <c r="BI60" s="26"/>
      <c r="BJ60" s="26"/>
      <c r="BK60" s="26"/>
      <c r="BL60" s="26"/>
      <c r="BM60" s="26"/>
      <c r="BN60" s="26"/>
      <c r="BO60" s="26"/>
      <c r="BP60" s="26"/>
      <c r="BQ60" s="26"/>
      <c r="BR60" s="26"/>
      <c r="BS60" s="26"/>
      <c r="BT60" s="26"/>
      <c r="BU60" s="26"/>
      <c r="BV60" s="26"/>
      <c r="BW60" s="26"/>
      <c r="BX60" s="26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26"/>
      <c r="CP60" s="26"/>
      <c r="CQ60" s="26"/>
      <c r="CR60" s="26"/>
      <c r="CS60" s="26"/>
      <c r="CT60" s="26"/>
      <c r="CU60" s="26"/>
      <c r="CV60" s="26"/>
      <c r="CW60" s="26"/>
      <c r="CX60" s="26"/>
      <c r="CY60" s="26"/>
      <c r="CZ60" s="26"/>
    </row>
    <row r="61" spans="1:104" ht="17.399999999999999" x14ac:dyDescent="0.25">
      <c r="A61" s="23"/>
      <c r="B61" s="23"/>
      <c r="C61" s="38"/>
      <c r="D61" s="32"/>
      <c r="E61" s="32"/>
      <c r="F61" s="32"/>
      <c r="G61" s="180"/>
      <c r="H61" s="182"/>
      <c r="I61" s="182"/>
      <c r="J61" s="182"/>
      <c r="K61" s="182"/>
      <c r="L61" s="182"/>
      <c r="M61" s="182"/>
      <c r="N61" s="182"/>
      <c r="O61" s="182"/>
      <c r="P61" s="32"/>
      <c r="Q61" s="32"/>
      <c r="R61" s="32"/>
      <c r="S61" s="203"/>
      <c r="T61" s="203"/>
      <c r="U61" s="32"/>
      <c r="V61" s="32"/>
      <c r="W61" s="34"/>
      <c r="X61" s="32"/>
      <c r="Y61" s="32"/>
      <c r="Z61" s="180"/>
      <c r="AA61" s="180"/>
      <c r="AB61" s="180"/>
      <c r="AC61" s="180"/>
      <c r="AD61" s="182"/>
      <c r="AE61" s="182"/>
      <c r="AF61" s="182"/>
      <c r="AG61" s="182"/>
      <c r="AH61" s="182"/>
      <c r="AI61" s="183"/>
      <c r="AJ61" s="23"/>
      <c r="AK61" s="23"/>
      <c r="AL61" s="23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  <c r="AX61" s="26"/>
      <c r="AY61" s="26"/>
      <c r="AZ61" s="26"/>
      <c r="BA61" s="26"/>
      <c r="BB61" s="26"/>
      <c r="BC61" s="26"/>
      <c r="BD61" s="26"/>
      <c r="BE61" s="26"/>
      <c r="BF61" s="26"/>
      <c r="BG61" s="26"/>
      <c r="BH61" s="26"/>
      <c r="BI61" s="26"/>
      <c r="BJ61" s="26"/>
      <c r="BK61" s="26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26"/>
      <c r="BW61" s="26"/>
      <c r="BX61" s="26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26"/>
      <c r="CP61" s="26"/>
      <c r="CQ61" s="26"/>
      <c r="CR61" s="26"/>
      <c r="CS61" s="26"/>
      <c r="CT61" s="26"/>
      <c r="CU61" s="26"/>
      <c r="CV61" s="26"/>
      <c r="CW61" s="26"/>
      <c r="CX61" s="26"/>
      <c r="CY61" s="26"/>
      <c r="CZ61" s="26"/>
    </row>
    <row r="62" spans="1:104" ht="17.399999999999999" x14ac:dyDescent="0.25">
      <c r="A62" s="23"/>
      <c r="B62" s="23"/>
      <c r="C62" s="38"/>
      <c r="D62" s="32"/>
      <c r="E62" s="32"/>
      <c r="F62" s="32"/>
      <c r="G62" s="182"/>
      <c r="H62" s="182"/>
      <c r="I62" s="182"/>
      <c r="J62" s="182"/>
      <c r="K62" s="182"/>
      <c r="L62" s="182"/>
      <c r="M62" s="182"/>
      <c r="N62" s="182"/>
      <c r="O62" s="182"/>
      <c r="P62" s="32"/>
      <c r="Q62" s="32"/>
      <c r="R62" s="32"/>
      <c r="S62" s="203"/>
      <c r="T62" s="203"/>
      <c r="U62" s="32"/>
      <c r="V62" s="32"/>
      <c r="W62" s="34"/>
      <c r="X62" s="32"/>
      <c r="Y62" s="32"/>
      <c r="Z62" s="180"/>
      <c r="AA62" s="180"/>
      <c r="AB62" s="180"/>
      <c r="AC62" s="180"/>
      <c r="AD62" s="182"/>
      <c r="AE62" s="182"/>
      <c r="AF62" s="182"/>
      <c r="AG62" s="182"/>
      <c r="AH62" s="182"/>
      <c r="AI62" s="183"/>
      <c r="AJ62" s="23"/>
      <c r="AK62" s="23"/>
      <c r="AL62" s="23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  <c r="AX62" s="26"/>
      <c r="AY62" s="26"/>
      <c r="AZ62" s="26"/>
      <c r="BA62" s="26"/>
      <c r="BB62" s="26"/>
      <c r="BC62" s="26"/>
      <c r="BD62" s="26"/>
      <c r="BE62" s="26"/>
      <c r="BF62" s="26"/>
      <c r="BG62" s="26"/>
      <c r="BH62" s="26"/>
      <c r="BI62" s="26"/>
      <c r="BJ62" s="26"/>
      <c r="BK62" s="26"/>
      <c r="BL62" s="26"/>
      <c r="BM62" s="26"/>
      <c r="BN62" s="26"/>
      <c r="BO62" s="26"/>
      <c r="BP62" s="26"/>
      <c r="BQ62" s="26"/>
      <c r="BR62" s="26"/>
      <c r="BS62" s="26"/>
      <c r="BT62" s="26"/>
      <c r="BU62" s="26"/>
      <c r="BV62" s="26"/>
      <c r="BW62" s="26"/>
      <c r="BX62" s="26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26"/>
      <c r="CP62" s="26"/>
      <c r="CQ62" s="26"/>
      <c r="CR62" s="26"/>
      <c r="CS62" s="26"/>
      <c r="CT62" s="26"/>
      <c r="CU62" s="26"/>
      <c r="CV62" s="26"/>
      <c r="CW62" s="26"/>
      <c r="CX62" s="26"/>
      <c r="CY62" s="26"/>
      <c r="CZ62" s="26"/>
    </row>
    <row r="63" spans="1:104" ht="17.399999999999999" x14ac:dyDescent="0.25">
      <c r="A63" s="23"/>
      <c r="B63" s="23"/>
      <c r="C63" s="38"/>
      <c r="D63" s="32"/>
      <c r="E63" s="32"/>
      <c r="F63" s="32"/>
      <c r="G63" s="182"/>
      <c r="H63" s="182"/>
      <c r="I63" s="182"/>
      <c r="J63" s="182"/>
      <c r="K63" s="182"/>
      <c r="L63" s="182"/>
      <c r="M63" s="182"/>
      <c r="N63" s="182"/>
      <c r="O63" s="182"/>
      <c r="P63" s="32"/>
      <c r="Q63" s="32"/>
      <c r="R63" s="32"/>
      <c r="S63" s="203"/>
      <c r="T63" s="203"/>
      <c r="U63" s="32"/>
      <c r="V63" s="32"/>
      <c r="W63" s="34"/>
      <c r="X63" s="32"/>
      <c r="Y63" s="32"/>
      <c r="Z63" s="180"/>
      <c r="AA63" s="180"/>
      <c r="AB63" s="180"/>
      <c r="AC63" s="180"/>
      <c r="AD63" s="182"/>
      <c r="AE63" s="182"/>
      <c r="AF63" s="182"/>
      <c r="AG63" s="182"/>
      <c r="AH63" s="182"/>
      <c r="AI63" s="183"/>
      <c r="AJ63" s="23"/>
      <c r="AK63" s="23"/>
      <c r="AL63" s="23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  <c r="AX63" s="26"/>
      <c r="AY63" s="26"/>
      <c r="AZ63" s="26"/>
      <c r="BA63" s="26"/>
      <c r="BB63" s="26"/>
      <c r="BC63" s="26"/>
      <c r="BD63" s="26"/>
      <c r="BE63" s="26"/>
      <c r="BF63" s="26"/>
      <c r="BG63" s="26"/>
      <c r="BH63" s="26"/>
      <c r="BI63" s="26"/>
      <c r="BJ63" s="26"/>
      <c r="BK63" s="26"/>
      <c r="BL63" s="26"/>
      <c r="BM63" s="26"/>
      <c r="BN63" s="26"/>
      <c r="BO63" s="26"/>
      <c r="BP63" s="26"/>
      <c r="BQ63" s="26"/>
      <c r="BR63" s="26"/>
      <c r="BS63" s="26"/>
      <c r="BT63" s="26"/>
      <c r="BU63" s="26"/>
      <c r="BV63" s="26"/>
      <c r="BW63" s="26"/>
      <c r="BX63" s="26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26"/>
      <c r="CP63" s="26"/>
      <c r="CQ63" s="26"/>
      <c r="CR63" s="26"/>
      <c r="CS63" s="26"/>
      <c r="CT63" s="26"/>
      <c r="CU63" s="26"/>
      <c r="CV63" s="26"/>
      <c r="CW63" s="26"/>
      <c r="CX63" s="26"/>
      <c r="CY63" s="26"/>
      <c r="CZ63" s="26"/>
    </row>
    <row r="64" spans="1:104" ht="17.399999999999999" x14ac:dyDescent="0.25">
      <c r="A64" s="23"/>
      <c r="B64" s="23"/>
      <c r="C64" s="38"/>
      <c r="D64" s="32"/>
      <c r="E64" s="32"/>
      <c r="F64" s="32"/>
      <c r="G64" s="182"/>
      <c r="H64" s="182"/>
      <c r="I64" s="182"/>
      <c r="J64" s="182"/>
      <c r="K64" s="182"/>
      <c r="L64" s="182"/>
      <c r="M64" s="182"/>
      <c r="N64" s="182"/>
      <c r="O64" s="182"/>
      <c r="P64" s="32"/>
      <c r="Q64" s="32"/>
      <c r="R64" s="32"/>
      <c r="S64" s="203"/>
      <c r="T64" s="203"/>
      <c r="U64" s="32"/>
      <c r="V64" s="32"/>
      <c r="W64" s="34"/>
      <c r="X64" s="39"/>
      <c r="Y64" s="39"/>
      <c r="Z64" s="180"/>
      <c r="AA64" s="180"/>
      <c r="AB64" s="180"/>
      <c r="AC64" s="180"/>
      <c r="AD64" s="182"/>
      <c r="AE64" s="182"/>
      <c r="AF64" s="182"/>
      <c r="AG64" s="182"/>
      <c r="AH64" s="182"/>
      <c r="AI64" s="183"/>
      <c r="AJ64" s="23"/>
      <c r="AK64" s="23"/>
      <c r="AL64" s="23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26"/>
      <c r="BI64" s="26"/>
      <c r="BJ64" s="26"/>
      <c r="BK64" s="26"/>
      <c r="BL64" s="26"/>
      <c r="BM64" s="26"/>
      <c r="BN64" s="26"/>
      <c r="BO64" s="26"/>
      <c r="BP64" s="26"/>
      <c r="BQ64" s="26"/>
      <c r="BR64" s="26"/>
      <c r="BS64" s="26"/>
      <c r="BT64" s="26"/>
      <c r="BU64" s="26"/>
      <c r="BV64" s="26"/>
      <c r="BW64" s="26"/>
      <c r="BX64" s="26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26"/>
      <c r="CP64" s="26"/>
      <c r="CQ64" s="26"/>
      <c r="CR64" s="26"/>
      <c r="CS64" s="26"/>
      <c r="CT64" s="26"/>
      <c r="CU64" s="26"/>
      <c r="CV64" s="26"/>
      <c r="CW64" s="26"/>
      <c r="CX64" s="26"/>
      <c r="CY64" s="26"/>
      <c r="CZ64" s="26"/>
    </row>
    <row r="65" spans="1:104" ht="17.399999999999999" x14ac:dyDescent="0.25">
      <c r="A65" s="23"/>
      <c r="B65" s="23"/>
      <c r="C65" s="38"/>
      <c r="D65" s="32"/>
      <c r="E65" s="32"/>
      <c r="F65" s="32"/>
      <c r="G65" s="182"/>
      <c r="H65" s="182"/>
      <c r="I65" s="182"/>
      <c r="J65" s="182"/>
      <c r="K65" s="182"/>
      <c r="L65" s="182"/>
      <c r="M65" s="182"/>
      <c r="N65" s="182"/>
      <c r="O65" s="182"/>
      <c r="P65" s="32"/>
      <c r="Q65" s="32"/>
      <c r="R65" s="32"/>
      <c r="S65" s="203"/>
      <c r="T65" s="203"/>
      <c r="U65" s="32"/>
      <c r="V65" s="32"/>
      <c r="W65" s="34"/>
      <c r="X65" s="39"/>
      <c r="Y65" s="39"/>
      <c r="Z65" s="180"/>
      <c r="AA65" s="180"/>
      <c r="AB65" s="180"/>
      <c r="AC65" s="180"/>
      <c r="AD65" s="182"/>
      <c r="AE65" s="182"/>
      <c r="AF65" s="182"/>
      <c r="AG65" s="182"/>
      <c r="AH65" s="182"/>
      <c r="AI65" s="183"/>
      <c r="AJ65" s="23"/>
      <c r="AK65" s="23"/>
      <c r="AL65" s="23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  <c r="AX65" s="26"/>
      <c r="AY65" s="26"/>
      <c r="AZ65" s="26"/>
      <c r="BA65" s="26"/>
      <c r="BB65" s="26"/>
      <c r="BC65" s="26"/>
      <c r="BD65" s="26"/>
      <c r="BE65" s="26"/>
      <c r="BF65" s="26"/>
      <c r="BG65" s="26"/>
      <c r="BH65" s="26"/>
      <c r="BI65" s="26"/>
      <c r="BJ65" s="26"/>
      <c r="BK65" s="26"/>
      <c r="BL65" s="26"/>
      <c r="BM65" s="26"/>
      <c r="BN65" s="26"/>
      <c r="BO65" s="26"/>
      <c r="BP65" s="26"/>
      <c r="BQ65" s="26"/>
      <c r="BR65" s="26"/>
      <c r="BS65" s="26"/>
      <c r="BT65" s="26"/>
      <c r="BU65" s="26"/>
      <c r="BV65" s="26"/>
      <c r="BW65" s="26"/>
      <c r="BX65" s="26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26"/>
      <c r="CP65" s="26"/>
      <c r="CQ65" s="26"/>
      <c r="CR65" s="26"/>
      <c r="CS65" s="26"/>
      <c r="CT65" s="26"/>
      <c r="CU65" s="26"/>
      <c r="CV65" s="26"/>
      <c r="CW65" s="26"/>
      <c r="CX65" s="26"/>
      <c r="CY65" s="26"/>
      <c r="CZ65" s="26"/>
    </row>
    <row r="66" spans="1:104" ht="17.399999999999999" x14ac:dyDescent="0.25">
      <c r="A66" s="23"/>
      <c r="B66" s="23"/>
      <c r="C66" s="38"/>
      <c r="D66" s="32"/>
      <c r="E66" s="32"/>
      <c r="F66" s="32"/>
      <c r="G66" s="182"/>
      <c r="H66" s="182"/>
      <c r="I66" s="182"/>
      <c r="J66" s="182"/>
      <c r="K66" s="182"/>
      <c r="L66" s="182"/>
      <c r="M66" s="182"/>
      <c r="N66" s="182"/>
      <c r="O66" s="182"/>
      <c r="P66" s="32"/>
      <c r="Q66" s="32"/>
      <c r="R66" s="32"/>
      <c r="S66" s="203"/>
      <c r="T66" s="203"/>
      <c r="U66" s="32"/>
      <c r="V66" s="32"/>
      <c r="W66" s="34"/>
      <c r="X66" s="39"/>
      <c r="Y66" s="39"/>
      <c r="Z66" s="180"/>
      <c r="AA66" s="180"/>
      <c r="AB66" s="180"/>
      <c r="AC66" s="180"/>
      <c r="AD66" s="182"/>
      <c r="AE66" s="182"/>
      <c r="AF66" s="182"/>
      <c r="AG66" s="182"/>
      <c r="AH66" s="182"/>
      <c r="AI66" s="183"/>
      <c r="AJ66" s="23"/>
      <c r="AK66" s="23"/>
      <c r="AL66" s="23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26"/>
      <c r="CP66" s="26"/>
      <c r="CQ66" s="26"/>
      <c r="CR66" s="26"/>
      <c r="CS66" s="26"/>
      <c r="CT66" s="26"/>
      <c r="CU66" s="26"/>
      <c r="CV66" s="26"/>
      <c r="CW66" s="26"/>
      <c r="CX66" s="26"/>
      <c r="CY66" s="26"/>
      <c r="CZ66" s="26"/>
    </row>
    <row r="67" spans="1:104" ht="17.399999999999999" x14ac:dyDescent="0.25">
      <c r="A67" s="23"/>
      <c r="B67" s="23"/>
      <c r="C67" s="38"/>
      <c r="D67" s="32"/>
      <c r="E67" s="32"/>
      <c r="F67" s="32"/>
      <c r="G67" s="182"/>
      <c r="H67" s="182"/>
      <c r="I67" s="182"/>
      <c r="J67" s="182"/>
      <c r="K67" s="182"/>
      <c r="L67" s="182"/>
      <c r="M67" s="182"/>
      <c r="N67" s="182"/>
      <c r="O67" s="182"/>
      <c r="P67" s="32"/>
      <c r="Q67" s="32"/>
      <c r="R67" s="32"/>
      <c r="S67" s="203"/>
      <c r="T67" s="203"/>
      <c r="U67" s="32"/>
      <c r="V67" s="32"/>
      <c r="W67" s="34"/>
      <c r="X67" s="32"/>
      <c r="Y67" s="32"/>
      <c r="Z67" s="180"/>
      <c r="AA67" s="180"/>
      <c r="AB67" s="180"/>
      <c r="AC67" s="180"/>
      <c r="AD67" s="182"/>
      <c r="AE67" s="182"/>
      <c r="AF67" s="182"/>
      <c r="AG67" s="182"/>
      <c r="AH67" s="182"/>
      <c r="AI67" s="183"/>
      <c r="AJ67" s="23"/>
      <c r="AK67" s="23"/>
      <c r="AL67" s="23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  <c r="AX67" s="26"/>
      <c r="AY67" s="26"/>
      <c r="AZ67" s="26"/>
      <c r="BA67" s="26"/>
      <c r="BB67" s="26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26"/>
      <c r="CP67" s="26"/>
      <c r="CQ67" s="26"/>
      <c r="CR67" s="26"/>
      <c r="CS67" s="26"/>
      <c r="CT67" s="26"/>
      <c r="CU67" s="26"/>
      <c r="CV67" s="26"/>
      <c r="CW67" s="26"/>
      <c r="CX67" s="26"/>
      <c r="CY67" s="26"/>
      <c r="CZ67" s="26"/>
    </row>
    <row r="68" spans="1:104" ht="17.399999999999999" x14ac:dyDescent="0.3">
      <c r="A68" s="23"/>
      <c r="B68" s="23"/>
      <c r="C68" s="40"/>
      <c r="D68" s="41"/>
      <c r="E68" s="41"/>
      <c r="F68" s="41"/>
      <c r="G68" s="182"/>
      <c r="H68" s="182"/>
      <c r="I68" s="182"/>
      <c r="J68" s="182"/>
      <c r="K68" s="182"/>
      <c r="L68" s="182"/>
      <c r="M68" s="182"/>
      <c r="N68" s="182"/>
      <c r="O68" s="182"/>
      <c r="P68" s="41"/>
      <c r="Q68" s="41"/>
      <c r="R68" s="41"/>
      <c r="S68" s="203"/>
      <c r="T68" s="203"/>
      <c r="U68" s="41"/>
      <c r="V68" s="41"/>
      <c r="W68" s="34"/>
      <c r="X68" s="41"/>
      <c r="Y68" s="41"/>
      <c r="Z68" s="180"/>
      <c r="AA68" s="180"/>
      <c r="AB68" s="180"/>
      <c r="AC68" s="180"/>
      <c r="AD68" s="182"/>
      <c r="AE68" s="182"/>
      <c r="AF68" s="182"/>
      <c r="AG68" s="182"/>
      <c r="AH68" s="182"/>
      <c r="AI68" s="183"/>
      <c r="AJ68" s="23"/>
      <c r="AK68" s="23"/>
      <c r="AL68" s="23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  <c r="AX68" s="26"/>
      <c r="AY68" s="26"/>
      <c r="AZ68" s="26"/>
      <c r="BA68" s="26"/>
      <c r="BB68" s="26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BS68" s="26"/>
      <c r="BT68" s="26"/>
      <c r="BU68" s="26"/>
      <c r="BV68" s="26"/>
      <c r="BW68" s="26"/>
      <c r="BX68" s="26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26"/>
      <c r="CP68" s="26"/>
      <c r="CQ68" s="26"/>
      <c r="CR68" s="26"/>
      <c r="CS68" s="26"/>
      <c r="CT68" s="26"/>
      <c r="CU68" s="26"/>
      <c r="CV68" s="26"/>
      <c r="CW68" s="26"/>
      <c r="CX68" s="26"/>
      <c r="CY68" s="26"/>
      <c r="CZ68" s="26"/>
    </row>
    <row r="69" spans="1:104" ht="17.399999999999999" x14ac:dyDescent="0.3">
      <c r="A69" s="23"/>
      <c r="B69" s="23"/>
      <c r="C69" s="40"/>
      <c r="D69" s="41"/>
      <c r="E69" s="41"/>
      <c r="F69" s="41"/>
      <c r="G69" s="182"/>
      <c r="H69" s="182"/>
      <c r="I69" s="182"/>
      <c r="J69" s="182"/>
      <c r="K69" s="182"/>
      <c r="L69" s="182"/>
      <c r="M69" s="182"/>
      <c r="N69" s="182"/>
      <c r="O69" s="182"/>
      <c r="P69" s="41"/>
      <c r="Q69" s="41"/>
      <c r="R69" s="41"/>
      <c r="S69" s="203"/>
      <c r="T69" s="203"/>
      <c r="U69" s="41"/>
      <c r="V69" s="41"/>
      <c r="W69" s="34"/>
      <c r="X69" s="41"/>
      <c r="Y69" s="41"/>
      <c r="Z69" s="180"/>
      <c r="AA69" s="180"/>
      <c r="AB69" s="180"/>
      <c r="AC69" s="180"/>
      <c r="AD69" s="182"/>
      <c r="AE69" s="182"/>
      <c r="AF69" s="182"/>
      <c r="AG69" s="182"/>
      <c r="AH69" s="182"/>
      <c r="AI69" s="183"/>
      <c r="AJ69" s="23"/>
      <c r="AK69" s="23"/>
      <c r="AL69" s="23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26"/>
      <c r="BI69" s="26"/>
      <c r="BJ69" s="26"/>
      <c r="BK69" s="26"/>
      <c r="BL69" s="26"/>
      <c r="BM69" s="26"/>
      <c r="BN69" s="26"/>
      <c r="BO69" s="26"/>
      <c r="BP69" s="26"/>
      <c r="BQ69" s="26"/>
      <c r="BR69" s="26"/>
      <c r="BS69" s="26"/>
      <c r="BT69" s="26"/>
      <c r="BU69" s="26"/>
      <c r="BV69" s="26"/>
      <c r="BW69" s="26"/>
      <c r="BX69" s="26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26"/>
      <c r="CP69" s="26"/>
      <c r="CQ69" s="26"/>
      <c r="CR69" s="26"/>
      <c r="CS69" s="26"/>
      <c r="CT69" s="26"/>
      <c r="CU69" s="26"/>
      <c r="CV69" s="26"/>
      <c r="CW69" s="26"/>
      <c r="CX69" s="26"/>
      <c r="CY69" s="26"/>
      <c r="CZ69" s="26"/>
    </row>
    <row r="70" spans="1:104" ht="17.399999999999999" x14ac:dyDescent="0.3">
      <c r="A70" s="23"/>
      <c r="B70" s="23"/>
      <c r="C70" s="40"/>
      <c r="D70" s="41"/>
      <c r="E70" s="41"/>
      <c r="F70" s="41"/>
      <c r="G70" s="182"/>
      <c r="H70" s="182"/>
      <c r="I70" s="182"/>
      <c r="J70" s="182"/>
      <c r="K70" s="182"/>
      <c r="L70" s="182"/>
      <c r="M70" s="182"/>
      <c r="N70" s="182"/>
      <c r="O70" s="182"/>
      <c r="P70" s="41"/>
      <c r="Q70" s="41"/>
      <c r="R70" s="41"/>
      <c r="S70" s="203"/>
      <c r="T70" s="203"/>
      <c r="U70" s="41"/>
      <c r="V70" s="41"/>
      <c r="W70" s="34"/>
      <c r="X70" s="41"/>
      <c r="Y70" s="41"/>
      <c r="Z70" s="180"/>
      <c r="AA70" s="180"/>
      <c r="AB70" s="180"/>
      <c r="AC70" s="180"/>
      <c r="AD70" s="182"/>
      <c r="AE70" s="182"/>
      <c r="AF70" s="182"/>
      <c r="AG70" s="182"/>
      <c r="AH70" s="182"/>
      <c r="AI70" s="183"/>
      <c r="AJ70" s="23"/>
      <c r="AK70" s="23"/>
      <c r="AL70" s="23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26"/>
      <c r="CP70" s="26"/>
      <c r="CQ70" s="26"/>
      <c r="CR70" s="26"/>
      <c r="CS70" s="26"/>
      <c r="CT70" s="26"/>
      <c r="CU70" s="26"/>
      <c r="CV70" s="26"/>
      <c r="CW70" s="26"/>
      <c r="CX70" s="26"/>
      <c r="CY70" s="26"/>
      <c r="CZ70" s="26"/>
    </row>
    <row r="71" spans="1:104" ht="17.399999999999999" x14ac:dyDescent="0.3">
      <c r="A71" s="23"/>
      <c r="B71" s="23"/>
      <c r="C71" s="40"/>
      <c r="D71" s="41"/>
      <c r="E71" s="41"/>
      <c r="F71" s="41"/>
      <c r="G71" s="182"/>
      <c r="H71" s="182"/>
      <c r="I71" s="182"/>
      <c r="J71" s="182"/>
      <c r="K71" s="182"/>
      <c r="L71" s="182"/>
      <c r="M71" s="182"/>
      <c r="N71" s="182"/>
      <c r="O71" s="182"/>
      <c r="P71" s="41"/>
      <c r="Q71" s="41"/>
      <c r="R71" s="41"/>
      <c r="S71" s="203"/>
      <c r="T71" s="203"/>
      <c r="U71" s="41"/>
      <c r="V71" s="41"/>
      <c r="W71" s="34"/>
      <c r="X71" s="41"/>
      <c r="Y71" s="41"/>
      <c r="Z71" s="180"/>
      <c r="AA71" s="180"/>
      <c r="AB71" s="180"/>
      <c r="AC71" s="180"/>
      <c r="AD71" s="182"/>
      <c r="AE71" s="182"/>
      <c r="AF71" s="182"/>
      <c r="AG71" s="182"/>
      <c r="AH71" s="182"/>
      <c r="AI71" s="183"/>
      <c r="AJ71" s="23"/>
      <c r="AK71" s="23"/>
      <c r="AL71" s="23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  <c r="AX71" s="26"/>
      <c r="AY71" s="26"/>
      <c r="AZ71" s="26"/>
      <c r="BA71" s="26"/>
      <c r="BB71" s="2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26"/>
      <c r="CP71" s="26"/>
      <c r="CQ71" s="26"/>
      <c r="CR71" s="26"/>
      <c r="CS71" s="26"/>
      <c r="CT71" s="26"/>
      <c r="CU71" s="26"/>
      <c r="CV71" s="26"/>
      <c r="CW71" s="26"/>
      <c r="CX71" s="26"/>
      <c r="CY71" s="26"/>
      <c r="CZ71" s="26"/>
    </row>
    <row r="72" spans="1:104" ht="17.399999999999999" x14ac:dyDescent="0.3">
      <c r="A72" s="23"/>
      <c r="B72" s="23"/>
      <c r="C72" s="40"/>
      <c r="D72" s="41"/>
      <c r="E72" s="41"/>
      <c r="F72" s="41"/>
      <c r="G72" s="182"/>
      <c r="H72" s="182"/>
      <c r="I72" s="182"/>
      <c r="J72" s="182"/>
      <c r="K72" s="182"/>
      <c r="L72" s="182"/>
      <c r="M72" s="182"/>
      <c r="N72" s="182"/>
      <c r="O72" s="182"/>
      <c r="P72" s="41"/>
      <c r="Q72" s="41"/>
      <c r="R72" s="41"/>
      <c r="S72" s="203"/>
      <c r="T72" s="203"/>
      <c r="U72" s="41"/>
      <c r="V72" s="41"/>
      <c r="W72" s="34"/>
      <c r="X72" s="41"/>
      <c r="Y72" s="41"/>
      <c r="Z72" s="180"/>
      <c r="AA72" s="180"/>
      <c r="AB72" s="180"/>
      <c r="AC72" s="180"/>
      <c r="AD72" s="182"/>
      <c r="AE72" s="182"/>
      <c r="AF72" s="182"/>
      <c r="AG72" s="182"/>
      <c r="AH72" s="182"/>
      <c r="AI72" s="183"/>
      <c r="AJ72" s="23"/>
      <c r="AK72" s="23"/>
      <c r="AL72" s="23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  <c r="AX72" s="26"/>
      <c r="AY72" s="26"/>
      <c r="AZ72" s="26"/>
      <c r="BA72" s="26"/>
      <c r="BB72" s="26"/>
      <c r="BC72" s="26"/>
      <c r="BD72" s="26"/>
      <c r="BE72" s="26"/>
      <c r="BF72" s="26"/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6"/>
      <c r="BV72" s="26"/>
      <c r="BW72" s="26"/>
      <c r="BX72" s="26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26"/>
      <c r="CP72" s="26"/>
      <c r="CQ72" s="26"/>
      <c r="CR72" s="26"/>
      <c r="CS72" s="26"/>
      <c r="CT72" s="26"/>
      <c r="CU72" s="26"/>
      <c r="CV72" s="26"/>
      <c r="CW72" s="26"/>
      <c r="CX72" s="26"/>
      <c r="CY72" s="26"/>
      <c r="CZ72" s="26"/>
    </row>
    <row r="73" spans="1:104" ht="17.399999999999999" x14ac:dyDescent="0.3">
      <c r="A73" s="23"/>
      <c r="B73" s="23"/>
      <c r="C73" s="40"/>
      <c r="D73" s="41"/>
      <c r="E73" s="41"/>
      <c r="F73" s="41"/>
      <c r="G73" s="182"/>
      <c r="H73" s="182"/>
      <c r="I73" s="182"/>
      <c r="J73" s="182"/>
      <c r="K73" s="182"/>
      <c r="L73" s="182"/>
      <c r="M73" s="182"/>
      <c r="N73" s="182"/>
      <c r="O73" s="182"/>
      <c r="P73" s="41"/>
      <c r="Q73" s="41"/>
      <c r="R73" s="41"/>
      <c r="S73" s="203"/>
      <c r="T73" s="203"/>
      <c r="U73" s="41"/>
      <c r="V73" s="41"/>
      <c r="W73" s="34"/>
      <c r="X73" s="41"/>
      <c r="Y73" s="41"/>
      <c r="Z73" s="180"/>
      <c r="AA73" s="180"/>
      <c r="AB73" s="180"/>
      <c r="AC73" s="180"/>
      <c r="AD73" s="182"/>
      <c r="AE73" s="182"/>
      <c r="AF73" s="182"/>
      <c r="AG73" s="182"/>
      <c r="AH73" s="182"/>
      <c r="AI73" s="183"/>
      <c r="AJ73" s="23"/>
      <c r="AK73" s="23"/>
      <c r="AL73" s="23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  <c r="BD73" s="26"/>
      <c r="BE73" s="26"/>
      <c r="BF73" s="26"/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26"/>
      <c r="BS73" s="26"/>
      <c r="BT73" s="26"/>
      <c r="BU73" s="26"/>
      <c r="BV73" s="26"/>
      <c r="BW73" s="26"/>
      <c r="BX73" s="26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26"/>
      <c r="CP73" s="26"/>
      <c r="CQ73" s="26"/>
      <c r="CR73" s="26"/>
      <c r="CS73" s="26"/>
      <c r="CT73" s="26"/>
      <c r="CU73" s="26"/>
      <c r="CV73" s="26"/>
      <c r="CW73" s="26"/>
      <c r="CX73" s="26"/>
      <c r="CY73" s="26"/>
      <c r="CZ73" s="26"/>
    </row>
    <row r="74" spans="1:104" ht="17.399999999999999" x14ac:dyDescent="0.3">
      <c r="A74" s="23"/>
      <c r="B74" s="23"/>
      <c r="C74" s="40"/>
      <c r="D74" s="41"/>
      <c r="E74" s="41"/>
      <c r="F74" s="41"/>
      <c r="G74" s="182"/>
      <c r="H74" s="182"/>
      <c r="I74" s="182"/>
      <c r="J74" s="182"/>
      <c r="K74" s="182"/>
      <c r="L74" s="182"/>
      <c r="M74" s="182"/>
      <c r="N74" s="182"/>
      <c r="O74" s="182"/>
      <c r="P74" s="41"/>
      <c r="Q74" s="41"/>
      <c r="R74" s="41"/>
      <c r="S74" s="203"/>
      <c r="T74" s="203"/>
      <c r="U74" s="41"/>
      <c r="V74" s="41"/>
      <c r="W74" s="34"/>
      <c r="X74" s="41"/>
      <c r="Y74" s="41"/>
      <c r="Z74" s="180"/>
      <c r="AA74" s="180"/>
      <c r="AB74" s="180"/>
      <c r="AC74" s="180"/>
      <c r="AD74" s="182"/>
      <c r="AE74" s="182"/>
      <c r="AF74" s="182"/>
      <c r="AG74" s="182"/>
      <c r="AH74" s="182"/>
      <c r="AI74" s="183"/>
      <c r="AJ74" s="23"/>
      <c r="AK74" s="23"/>
      <c r="AL74" s="23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  <c r="AX74" s="26"/>
      <c r="AY74" s="26"/>
      <c r="AZ74" s="26"/>
      <c r="BA74" s="26"/>
      <c r="BB74" s="26"/>
      <c r="BC74" s="26"/>
      <c r="BD74" s="26"/>
      <c r="BE74" s="26"/>
      <c r="BF74" s="26"/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6"/>
      <c r="BV74" s="26"/>
      <c r="BW74" s="26"/>
      <c r="BX74" s="26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26"/>
      <c r="CP74" s="26"/>
      <c r="CQ74" s="26"/>
      <c r="CR74" s="26"/>
      <c r="CS74" s="26"/>
      <c r="CT74" s="26"/>
      <c r="CU74" s="26"/>
      <c r="CV74" s="26"/>
      <c r="CW74" s="26"/>
      <c r="CX74" s="26"/>
      <c r="CY74" s="26"/>
      <c r="CZ74" s="26"/>
    </row>
    <row r="75" spans="1:104" ht="17.399999999999999" x14ac:dyDescent="0.3">
      <c r="A75" s="23"/>
      <c r="B75" s="23"/>
      <c r="C75" s="40"/>
      <c r="D75" s="41"/>
      <c r="E75" s="41"/>
      <c r="F75" s="41"/>
      <c r="G75" s="182"/>
      <c r="H75" s="182"/>
      <c r="I75" s="182"/>
      <c r="J75" s="182"/>
      <c r="K75" s="182"/>
      <c r="L75" s="182"/>
      <c r="M75" s="182"/>
      <c r="N75" s="182"/>
      <c r="O75" s="182"/>
      <c r="P75" s="41"/>
      <c r="Q75" s="41"/>
      <c r="R75" s="41"/>
      <c r="S75" s="203"/>
      <c r="T75" s="203"/>
      <c r="U75" s="41"/>
      <c r="V75" s="41"/>
      <c r="W75" s="34"/>
      <c r="X75" s="41"/>
      <c r="Y75" s="41"/>
      <c r="Z75" s="180"/>
      <c r="AA75" s="180"/>
      <c r="AB75" s="180"/>
      <c r="AC75" s="180"/>
      <c r="AD75" s="182"/>
      <c r="AE75" s="182"/>
      <c r="AF75" s="182"/>
      <c r="AG75" s="182"/>
      <c r="AH75" s="182"/>
      <c r="AI75" s="183"/>
      <c r="AJ75" s="23"/>
      <c r="AK75" s="23"/>
      <c r="AL75" s="23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26"/>
      <c r="BS75" s="26"/>
      <c r="BT75" s="26"/>
      <c r="BU75" s="26"/>
      <c r="BV75" s="26"/>
      <c r="BW75" s="26"/>
      <c r="BX75" s="26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26"/>
      <c r="CP75" s="26"/>
      <c r="CQ75" s="26"/>
      <c r="CR75" s="26"/>
      <c r="CS75" s="26"/>
      <c r="CT75" s="26"/>
      <c r="CU75" s="26"/>
      <c r="CV75" s="26"/>
      <c r="CW75" s="26"/>
      <c r="CX75" s="26"/>
      <c r="CY75" s="26"/>
      <c r="CZ75" s="26"/>
    </row>
    <row r="76" spans="1:104" ht="17.399999999999999" x14ac:dyDescent="0.3">
      <c r="A76" s="23"/>
      <c r="B76" s="23"/>
      <c r="C76" s="40"/>
      <c r="D76" s="41"/>
      <c r="E76" s="41"/>
      <c r="F76" s="41"/>
      <c r="G76" s="182"/>
      <c r="H76" s="182"/>
      <c r="I76" s="182"/>
      <c r="J76" s="182"/>
      <c r="K76" s="182"/>
      <c r="L76" s="182"/>
      <c r="M76" s="182"/>
      <c r="N76" s="182"/>
      <c r="O76" s="182"/>
      <c r="P76" s="41"/>
      <c r="Q76" s="41"/>
      <c r="R76" s="41"/>
      <c r="S76" s="203"/>
      <c r="T76" s="203"/>
      <c r="U76" s="41"/>
      <c r="V76" s="41"/>
      <c r="W76" s="34"/>
      <c r="X76" s="41"/>
      <c r="Y76" s="41"/>
      <c r="Z76" s="180"/>
      <c r="AA76" s="180"/>
      <c r="AB76" s="180"/>
      <c r="AC76" s="180"/>
      <c r="AD76" s="182"/>
      <c r="AE76" s="182"/>
      <c r="AF76" s="182"/>
      <c r="AG76" s="182"/>
      <c r="AH76" s="182"/>
      <c r="AI76" s="183"/>
      <c r="AJ76" s="23"/>
      <c r="AK76" s="23"/>
      <c r="AL76" s="23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  <c r="CX76" s="26"/>
      <c r="CY76" s="26"/>
      <c r="CZ76" s="26"/>
    </row>
    <row r="77" spans="1:104" ht="17.399999999999999" x14ac:dyDescent="0.3">
      <c r="A77" s="23"/>
      <c r="B77" s="23"/>
      <c r="C77" s="40"/>
      <c r="D77" s="41"/>
      <c r="E77" s="41"/>
      <c r="F77" s="41"/>
      <c r="G77" s="182"/>
      <c r="H77" s="182"/>
      <c r="I77" s="182"/>
      <c r="J77" s="182"/>
      <c r="K77" s="182"/>
      <c r="L77" s="182"/>
      <c r="M77" s="182"/>
      <c r="N77" s="182"/>
      <c r="O77" s="182"/>
      <c r="P77" s="41"/>
      <c r="Q77" s="41"/>
      <c r="R77" s="41"/>
      <c r="S77" s="203"/>
      <c r="T77" s="203"/>
      <c r="U77" s="41"/>
      <c r="V77" s="41"/>
      <c r="W77" s="34"/>
      <c r="X77" s="41"/>
      <c r="Y77" s="41"/>
      <c r="Z77" s="180"/>
      <c r="AA77" s="180"/>
      <c r="AB77" s="180"/>
      <c r="AC77" s="180"/>
      <c r="AD77" s="182"/>
      <c r="AE77" s="182"/>
      <c r="AF77" s="182"/>
      <c r="AG77" s="182"/>
      <c r="AH77" s="182"/>
      <c r="AI77" s="183"/>
      <c r="AJ77" s="23"/>
      <c r="AK77" s="23"/>
      <c r="AL77" s="23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26"/>
      <c r="CP77" s="26"/>
      <c r="CQ77" s="26"/>
      <c r="CR77" s="26"/>
      <c r="CS77" s="26"/>
      <c r="CT77" s="26"/>
      <c r="CU77" s="26"/>
      <c r="CV77" s="26"/>
      <c r="CW77" s="26"/>
      <c r="CX77" s="26"/>
      <c r="CY77" s="26"/>
      <c r="CZ77" s="26"/>
    </row>
    <row r="78" spans="1:104" ht="17.399999999999999" x14ac:dyDescent="0.3">
      <c r="A78" s="23"/>
      <c r="B78" s="23"/>
      <c r="C78" s="40"/>
      <c r="D78" s="41"/>
      <c r="E78" s="41"/>
      <c r="F78" s="41"/>
      <c r="G78" s="182"/>
      <c r="H78" s="182"/>
      <c r="I78" s="182"/>
      <c r="J78" s="182"/>
      <c r="K78" s="182"/>
      <c r="L78" s="182"/>
      <c r="M78" s="182"/>
      <c r="N78" s="182"/>
      <c r="O78" s="182"/>
      <c r="P78" s="41"/>
      <c r="Q78" s="41"/>
      <c r="R78" s="41"/>
      <c r="S78" s="203"/>
      <c r="T78" s="203"/>
      <c r="U78" s="41"/>
      <c r="V78" s="41"/>
      <c r="W78" s="34"/>
      <c r="X78" s="41"/>
      <c r="Y78" s="41"/>
      <c r="Z78" s="180"/>
      <c r="AA78" s="180"/>
      <c r="AB78" s="180"/>
      <c r="AC78" s="180"/>
      <c r="AD78" s="182"/>
      <c r="AE78" s="182"/>
      <c r="AF78" s="182"/>
      <c r="AG78" s="182"/>
      <c r="AH78" s="182"/>
      <c r="AI78" s="183"/>
      <c r="AJ78" s="23"/>
      <c r="AK78" s="23"/>
      <c r="AL78" s="23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  <c r="AX78" s="26"/>
      <c r="AY78" s="26"/>
      <c r="AZ78" s="26"/>
      <c r="BA78" s="26"/>
      <c r="BB78" s="26"/>
      <c r="BC78" s="26"/>
      <c r="BD78" s="26"/>
      <c r="BE78" s="26"/>
      <c r="BF78" s="26"/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26"/>
      <c r="BS78" s="26"/>
      <c r="BT78" s="26"/>
      <c r="BU78" s="26"/>
      <c r="BV78" s="26"/>
      <c r="BW78" s="26"/>
      <c r="BX78" s="26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26"/>
      <c r="CP78" s="26"/>
      <c r="CQ78" s="26"/>
      <c r="CR78" s="26"/>
      <c r="CS78" s="26"/>
      <c r="CT78" s="26"/>
      <c r="CU78" s="26"/>
      <c r="CV78" s="26"/>
      <c r="CW78" s="26"/>
      <c r="CX78" s="26"/>
      <c r="CY78" s="26"/>
      <c r="CZ78" s="26"/>
    </row>
    <row r="79" spans="1:104" ht="17.399999999999999" x14ac:dyDescent="0.3">
      <c r="A79" s="23"/>
      <c r="B79" s="23"/>
      <c r="C79" s="40"/>
      <c r="D79" s="41"/>
      <c r="E79" s="41"/>
      <c r="F79" s="41"/>
      <c r="G79" s="182"/>
      <c r="H79" s="182"/>
      <c r="I79" s="182"/>
      <c r="J79" s="182"/>
      <c r="K79" s="182"/>
      <c r="L79" s="182"/>
      <c r="M79" s="182"/>
      <c r="N79" s="182"/>
      <c r="O79" s="182"/>
      <c r="P79" s="41"/>
      <c r="Q79" s="41"/>
      <c r="R79" s="41"/>
      <c r="S79" s="203"/>
      <c r="T79" s="203"/>
      <c r="U79" s="41"/>
      <c r="V79" s="41"/>
      <c r="W79" s="34"/>
      <c r="X79" s="41"/>
      <c r="Y79" s="41"/>
      <c r="Z79" s="180"/>
      <c r="AA79" s="180"/>
      <c r="AB79" s="180"/>
      <c r="AC79" s="180"/>
      <c r="AD79" s="182"/>
      <c r="AE79" s="182"/>
      <c r="AF79" s="182"/>
      <c r="AG79" s="182"/>
      <c r="AH79" s="182"/>
      <c r="AI79" s="183"/>
      <c r="AJ79" s="23"/>
      <c r="AK79" s="23"/>
      <c r="AL79" s="23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26"/>
      <c r="BD79" s="26"/>
      <c r="BE79" s="26"/>
      <c r="BF79" s="26"/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26"/>
      <c r="CP79" s="26"/>
      <c r="CQ79" s="26"/>
      <c r="CR79" s="26"/>
      <c r="CS79" s="26"/>
      <c r="CT79" s="26"/>
      <c r="CU79" s="26"/>
      <c r="CV79" s="26"/>
      <c r="CW79" s="26"/>
      <c r="CX79" s="26"/>
      <c r="CY79" s="26"/>
      <c r="CZ79" s="26"/>
    </row>
    <row r="80" spans="1:104" ht="17.399999999999999" x14ac:dyDescent="0.3">
      <c r="A80" s="23"/>
      <c r="B80" s="23"/>
      <c r="C80" s="40"/>
      <c r="D80" s="41"/>
      <c r="E80" s="41"/>
      <c r="F80" s="41"/>
      <c r="G80" s="182"/>
      <c r="H80" s="182"/>
      <c r="I80" s="182"/>
      <c r="J80" s="182"/>
      <c r="K80" s="182"/>
      <c r="L80" s="182"/>
      <c r="M80" s="182"/>
      <c r="N80" s="182"/>
      <c r="O80" s="182"/>
      <c r="P80" s="41"/>
      <c r="Q80" s="41"/>
      <c r="R80" s="41"/>
      <c r="S80" s="203"/>
      <c r="T80" s="203"/>
      <c r="U80" s="41"/>
      <c r="V80" s="41"/>
      <c r="W80" s="34"/>
      <c r="X80" s="41"/>
      <c r="Y80" s="41"/>
      <c r="Z80" s="180"/>
      <c r="AA80" s="180"/>
      <c r="AB80" s="180"/>
      <c r="AC80" s="180"/>
      <c r="AD80" s="182"/>
      <c r="AE80" s="182"/>
      <c r="AF80" s="182"/>
      <c r="AG80" s="182"/>
      <c r="AH80" s="182"/>
      <c r="AI80" s="183"/>
      <c r="AJ80" s="23"/>
      <c r="AK80" s="23"/>
      <c r="AL80" s="23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  <c r="AX80" s="26"/>
      <c r="AY80" s="26"/>
      <c r="AZ80" s="26"/>
      <c r="BA80" s="26"/>
      <c r="BB80" s="26"/>
      <c r="BC80" s="26"/>
      <c r="BD80" s="26"/>
      <c r="BE80" s="26"/>
      <c r="BF80" s="26"/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BW80" s="26"/>
      <c r="BX80" s="26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26"/>
      <c r="CP80" s="26"/>
      <c r="CQ80" s="26"/>
      <c r="CR80" s="26"/>
      <c r="CS80" s="26"/>
      <c r="CT80" s="26"/>
      <c r="CU80" s="26"/>
      <c r="CV80" s="26"/>
      <c r="CW80" s="26"/>
      <c r="CX80" s="26"/>
      <c r="CY80" s="26"/>
      <c r="CZ80" s="26"/>
    </row>
    <row r="81" spans="1:104" ht="17.399999999999999" x14ac:dyDescent="0.3">
      <c r="A81" s="23"/>
      <c r="B81" s="23"/>
      <c r="C81" s="40"/>
      <c r="D81" s="41"/>
      <c r="E81" s="41"/>
      <c r="F81" s="41"/>
      <c r="G81" s="182"/>
      <c r="H81" s="182"/>
      <c r="I81" s="182"/>
      <c r="J81" s="182"/>
      <c r="K81" s="182"/>
      <c r="L81" s="182"/>
      <c r="M81" s="182"/>
      <c r="N81" s="182"/>
      <c r="O81" s="182"/>
      <c r="P81" s="41"/>
      <c r="Q81" s="41"/>
      <c r="R81" s="41"/>
      <c r="S81" s="203"/>
      <c r="T81" s="203"/>
      <c r="U81" s="41"/>
      <c r="V81" s="41"/>
      <c r="W81" s="34"/>
      <c r="X81" s="41"/>
      <c r="Y81" s="41"/>
      <c r="Z81" s="180"/>
      <c r="AA81" s="180"/>
      <c r="AB81" s="180"/>
      <c r="AC81" s="180"/>
      <c r="AD81" s="182"/>
      <c r="AE81" s="182"/>
      <c r="AF81" s="182"/>
      <c r="AG81" s="182"/>
      <c r="AH81" s="182"/>
      <c r="AI81" s="183"/>
      <c r="AJ81" s="23"/>
      <c r="AK81" s="23"/>
      <c r="AL81" s="23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  <c r="AX81" s="26"/>
      <c r="AY81" s="26"/>
      <c r="AZ81" s="26"/>
      <c r="BA81" s="26"/>
      <c r="BB81" s="26"/>
      <c r="BC81" s="26"/>
      <c r="BD81" s="26"/>
      <c r="BE81" s="26"/>
      <c r="BF81" s="26"/>
      <c r="BG81" s="26"/>
      <c r="BH81" s="26"/>
      <c r="BI81" s="26"/>
      <c r="BJ81" s="26"/>
      <c r="BK81" s="26"/>
      <c r="BL81" s="26"/>
      <c r="BM81" s="26"/>
      <c r="BN81" s="26"/>
      <c r="BO81" s="26"/>
      <c r="BP81" s="26"/>
      <c r="BQ81" s="26"/>
      <c r="BR81" s="26"/>
      <c r="BS81" s="26"/>
      <c r="BT81" s="26"/>
      <c r="BU81" s="26"/>
      <c r="BV81" s="26"/>
      <c r="BW81" s="26"/>
      <c r="BX81" s="26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26"/>
      <c r="CP81" s="26"/>
      <c r="CQ81" s="26"/>
      <c r="CR81" s="26"/>
      <c r="CS81" s="26"/>
      <c r="CT81" s="26"/>
      <c r="CU81" s="26"/>
      <c r="CV81" s="26"/>
      <c r="CW81" s="26"/>
      <c r="CX81" s="26"/>
      <c r="CY81" s="26"/>
      <c r="CZ81" s="26"/>
    </row>
    <row r="82" spans="1:104" ht="17.399999999999999" x14ac:dyDescent="0.3">
      <c r="A82" s="23"/>
      <c r="B82" s="23"/>
      <c r="C82" s="40"/>
      <c r="D82" s="41"/>
      <c r="E82" s="41"/>
      <c r="F82" s="41"/>
      <c r="G82" s="182"/>
      <c r="H82" s="182"/>
      <c r="I82" s="182"/>
      <c r="J82" s="182"/>
      <c r="K82" s="182"/>
      <c r="L82" s="182"/>
      <c r="M82" s="182"/>
      <c r="N82" s="182"/>
      <c r="O82" s="182"/>
      <c r="P82" s="41"/>
      <c r="Q82" s="41"/>
      <c r="R82" s="41"/>
      <c r="S82" s="203"/>
      <c r="T82" s="203"/>
      <c r="U82" s="41"/>
      <c r="V82" s="41"/>
      <c r="W82" s="34"/>
      <c r="X82" s="41"/>
      <c r="Y82" s="41"/>
      <c r="Z82" s="180"/>
      <c r="AA82" s="180"/>
      <c r="AB82" s="180"/>
      <c r="AC82" s="180"/>
      <c r="AD82" s="182"/>
      <c r="AE82" s="182"/>
      <c r="AF82" s="182"/>
      <c r="AG82" s="182"/>
      <c r="AH82" s="182"/>
      <c r="AI82" s="183"/>
      <c r="AJ82" s="23"/>
      <c r="AK82" s="23"/>
      <c r="AL82" s="23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  <c r="AX82" s="26"/>
      <c r="AY82" s="26"/>
      <c r="AZ82" s="26"/>
      <c r="BA82" s="26"/>
      <c r="BB82" s="26"/>
      <c r="BC82" s="26"/>
      <c r="BD82" s="26"/>
      <c r="BE82" s="26"/>
      <c r="BF82" s="26"/>
      <c r="BG82" s="26"/>
      <c r="BH82" s="26"/>
      <c r="BI82" s="26"/>
      <c r="BJ82" s="26"/>
      <c r="BK82" s="26"/>
      <c r="BL82" s="26"/>
      <c r="BM82" s="26"/>
      <c r="BN82" s="26"/>
      <c r="BO82" s="26"/>
      <c r="BP82" s="26"/>
      <c r="BQ82" s="26"/>
      <c r="BR82" s="26"/>
      <c r="BS82" s="26"/>
      <c r="BT82" s="26"/>
      <c r="BU82" s="26"/>
      <c r="BV82" s="26"/>
      <c r="BW82" s="26"/>
      <c r="BX82" s="26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26"/>
      <c r="CP82" s="26"/>
      <c r="CQ82" s="26"/>
      <c r="CR82" s="26"/>
      <c r="CS82" s="26"/>
      <c r="CT82" s="26"/>
      <c r="CU82" s="26"/>
      <c r="CV82" s="26"/>
      <c r="CW82" s="26"/>
      <c r="CX82" s="26"/>
      <c r="CY82" s="26"/>
      <c r="CZ82" s="26"/>
    </row>
    <row r="83" spans="1:104" ht="17.399999999999999" x14ac:dyDescent="0.3">
      <c r="A83" s="23"/>
      <c r="B83" s="23"/>
      <c r="C83" s="40"/>
      <c r="D83" s="41"/>
      <c r="E83" s="41"/>
      <c r="F83" s="41"/>
      <c r="G83" s="182"/>
      <c r="H83" s="182"/>
      <c r="I83" s="182"/>
      <c r="J83" s="182"/>
      <c r="K83" s="182"/>
      <c r="L83" s="182"/>
      <c r="M83" s="182"/>
      <c r="N83" s="182"/>
      <c r="O83" s="182"/>
      <c r="P83" s="41"/>
      <c r="Q83" s="41"/>
      <c r="R83" s="41"/>
      <c r="S83" s="203"/>
      <c r="T83" s="203"/>
      <c r="U83" s="41"/>
      <c r="V83" s="41"/>
      <c r="W83" s="34"/>
      <c r="X83" s="41"/>
      <c r="Y83" s="41"/>
      <c r="Z83" s="180"/>
      <c r="AA83" s="180"/>
      <c r="AB83" s="180"/>
      <c r="AC83" s="180"/>
      <c r="AD83" s="182"/>
      <c r="AE83" s="182"/>
      <c r="AF83" s="182"/>
      <c r="AG83" s="182"/>
      <c r="AH83" s="182"/>
      <c r="AI83" s="183"/>
      <c r="AJ83" s="23"/>
      <c r="AK83" s="23"/>
      <c r="AL83" s="23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  <c r="AX83" s="26"/>
      <c r="AY83" s="26"/>
      <c r="AZ83" s="26"/>
      <c r="BA83" s="26"/>
      <c r="BB83" s="26"/>
      <c r="BC83" s="26"/>
      <c r="BD83" s="26"/>
      <c r="BE83" s="26"/>
      <c r="BF83" s="26"/>
      <c r="BG83" s="26"/>
      <c r="BH83" s="26"/>
      <c r="BI83" s="26"/>
      <c r="BJ83" s="26"/>
      <c r="BK83" s="26"/>
      <c r="BL83" s="26"/>
      <c r="BM83" s="26"/>
      <c r="BN83" s="26"/>
      <c r="BO83" s="26"/>
      <c r="BP83" s="26"/>
      <c r="BQ83" s="26"/>
      <c r="BR83" s="26"/>
      <c r="BS83" s="26"/>
      <c r="BT83" s="26"/>
      <c r="BU83" s="26"/>
      <c r="BV83" s="26"/>
      <c r="BW83" s="26"/>
      <c r="BX83" s="26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26"/>
      <c r="CP83" s="26"/>
      <c r="CQ83" s="26"/>
      <c r="CR83" s="26"/>
      <c r="CS83" s="26"/>
      <c r="CT83" s="26"/>
      <c r="CU83" s="26"/>
      <c r="CV83" s="26"/>
      <c r="CW83" s="26"/>
      <c r="CX83" s="26"/>
      <c r="CY83" s="26"/>
      <c r="CZ83" s="26"/>
    </row>
    <row r="84" spans="1:104" ht="17.399999999999999" x14ac:dyDescent="0.3">
      <c r="A84" s="23"/>
      <c r="B84" s="23"/>
      <c r="C84" s="40"/>
      <c r="D84" s="41"/>
      <c r="E84" s="41"/>
      <c r="F84" s="41"/>
      <c r="G84" s="182"/>
      <c r="H84" s="182"/>
      <c r="I84" s="182"/>
      <c r="J84" s="182"/>
      <c r="K84" s="182"/>
      <c r="L84" s="182"/>
      <c r="M84" s="182"/>
      <c r="N84" s="182"/>
      <c r="O84" s="182"/>
      <c r="P84" s="41"/>
      <c r="Q84" s="41"/>
      <c r="R84" s="41"/>
      <c r="S84" s="203"/>
      <c r="T84" s="203"/>
      <c r="U84" s="41"/>
      <c r="V84" s="41"/>
      <c r="W84" s="34"/>
      <c r="X84" s="41"/>
      <c r="Y84" s="41"/>
      <c r="Z84" s="180"/>
      <c r="AA84" s="180"/>
      <c r="AB84" s="180"/>
      <c r="AC84" s="180"/>
      <c r="AD84" s="182"/>
      <c r="AE84" s="182"/>
      <c r="AF84" s="182"/>
      <c r="AG84" s="182"/>
      <c r="AH84" s="182"/>
      <c r="AI84" s="183"/>
      <c r="AJ84" s="23"/>
      <c r="AK84" s="23"/>
      <c r="AL84" s="23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  <c r="AX84" s="26"/>
      <c r="AY84" s="26"/>
      <c r="AZ84" s="26"/>
      <c r="BA84" s="26"/>
      <c r="BB84" s="26"/>
      <c r="BC84" s="26"/>
      <c r="BD84" s="26"/>
      <c r="BE84" s="26"/>
      <c r="BF84" s="26"/>
      <c r="BG84" s="26"/>
      <c r="BH84" s="26"/>
      <c r="BI84" s="26"/>
      <c r="BJ84" s="26"/>
      <c r="BK84" s="26"/>
      <c r="BL84" s="26"/>
      <c r="BM84" s="26"/>
      <c r="BN84" s="26"/>
      <c r="BO84" s="26"/>
      <c r="BP84" s="26"/>
      <c r="BQ84" s="26"/>
      <c r="BR84" s="26"/>
      <c r="BS84" s="26"/>
      <c r="BT84" s="26"/>
      <c r="BU84" s="26"/>
      <c r="BV84" s="26"/>
      <c r="BW84" s="26"/>
      <c r="BX84" s="26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26"/>
      <c r="CP84" s="26"/>
      <c r="CQ84" s="26"/>
      <c r="CR84" s="26"/>
      <c r="CS84" s="26"/>
      <c r="CT84" s="26"/>
      <c r="CU84" s="26"/>
      <c r="CV84" s="26"/>
      <c r="CW84" s="26"/>
      <c r="CX84" s="26"/>
      <c r="CY84" s="26"/>
      <c r="CZ84" s="26"/>
    </row>
    <row r="85" spans="1:104" ht="17.399999999999999" x14ac:dyDescent="0.3">
      <c r="A85" s="23"/>
      <c r="B85" s="23"/>
      <c r="C85" s="40"/>
      <c r="D85" s="41"/>
      <c r="E85" s="41"/>
      <c r="F85" s="41"/>
      <c r="G85" s="182"/>
      <c r="H85" s="182"/>
      <c r="I85" s="182"/>
      <c r="J85" s="182"/>
      <c r="K85" s="182"/>
      <c r="L85" s="182"/>
      <c r="M85" s="182"/>
      <c r="N85" s="182"/>
      <c r="O85" s="182"/>
      <c r="P85" s="41"/>
      <c r="Q85" s="41"/>
      <c r="R85" s="41"/>
      <c r="S85" s="203"/>
      <c r="T85" s="203"/>
      <c r="U85" s="41"/>
      <c r="V85" s="41"/>
      <c r="W85" s="34"/>
      <c r="X85" s="41"/>
      <c r="Y85" s="41"/>
      <c r="Z85" s="180"/>
      <c r="AA85" s="180"/>
      <c r="AB85" s="180"/>
      <c r="AC85" s="180"/>
      <c r="AD85" s="182"/>
      <c r="AE85" s="182"/>
      <c r="AF85" s="182"/>
      <c r="AG85" s="182"/>
      <c r="AH85" s="182"/>
      <c r="AI85" s="183"/>
      <c r="AJ85" s="23"/>
      <c r="AK85" s="23"/>
      <c r="AL85" s="23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  <c r="AX85" s="26"/>
      <c r="AY85" s="26"/>
      <c r="AZ85" s="26"/>
      <c r="BA85" s="26"/>
      <c r="BB85" s="26"/>
      <c r="BC85" s="26"/>
      <c r="BD85" s="26"/>
      <c r="BE85" s="26"/>
      <c r="BF85" s="26"/>
      <c r="BG85" s="26"/>
      <c r="BH85" s="26"/>
      <c r="BI85" s="26"/>
      <c r="BJ85" s="26"/>
      <c r="BK85" s="26"/>
      <c r="BL85" s="26"/>
      <c r="BM85" s="26"/>
      <c r="BN85" s="26"/>
      <c r="BO85" s="26"/>
      <c r="BP85" s="26"/>
      <c r="BQ85" s="26"/>
      <c r="BR85" s="26"/>
      <c r="BS85" s="26"/>
      <c r="BT85" s="26"/>
      <c r="BU85" s="26"/>
      <c r="BV85" s="26"/>
      <c r="BW85" s="26"/>
      <c r="BX85" s="26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26"/>
      <c r="CP85" s="26"/>
      <c r="CQ85" s="26"/>
      <c r="CR85" s="26"/>
      <c r="CS85" s="26"/>
      <c r="CT85" s="26"/>
      <c r="CU85" s="26"/>
      <c r="CV85" s="26"/>
      <c r="CW85" s="26"/>
      <c r="CX85" s="26"/>
      <c r="CY85" s="26"/>
      <c r="CZ85" s="26"/>
    </row>
    <row r="86" spans="1:104" ht="17.399999999999999" x14ac:dyDescent="0.3">
      <c r="A86" s="23"/>
      <c r="B86" s="23"/>
      <c r="C86" s="40"/>
      <c r="D86" s="41"/>
      <c r="E86" s="41"/>
      <c r="F86" s="41"/>
      <c r="G86" s="182"/>
      <c r="H86" s="182"/>
      <c r="I86" s="182"/>
      <c r="J86" s="182"/>
      <c r="K86" s="182"/>
      <c r="L86" s="182"/>
      <c r="M86" s="182"/>
      <c r="N86" s="182"/>
      <c r="O86" s="182"/>
      <c r="P86" s="41"/>
      <c r="Q86" s="41"/>
      <c r="R86" s="41"/>
      <c r="S86" s="203"/>
      <c r="T86" s="203"/>
      <c r="U86" s="41"/>
      <c r="V86" s="41"/>
      <c r="W86" s="34"/>
      <c r="X86" s="41"/>
      <c r="Y86" s="41"/>
      <c r="Z86" s="180"/>
      <c r="AA86" s="180"/>
      <c r="AB86" s="180"/>
      <c r="AC86" s="180"/>
      <c r="AD86" s="182"/>
      <c r="AE86" s="182"/>
      <c r="AF86" s="182"/>
      <c r="AG86" s="182"/>
      <c r="AH86" s="182"/>
      <c r="AI86" s="183"/>
      <c r="AJ86" s="23"/>
      <c r="AK86" s="23"/>
      <c r="AL86" s="23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  <c r="AZ86" s="26"/>
      <c r="BA86" s="26"/>
      <c r="BB86" s="26"/>
      <c r="BC86" s="26"/>
      <c r="BD86" s="26"/>
      <c r="BE86" s="26"/>
      <c r="BF86" s="26"/>
      <c r="BG86" s="26"/>
      <c r="BH86" s="26"/>
      <c r="BI86" s="26"/>
      <c r="BJ86" s="26"/>
      <c r="BK86" s="26"/>
      <c r="BL86" s="26"/>
      <c r="BM86" s="26"/>
      <c r="BN86" s="26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26"/>
      <c r="CP86" s="26"/>
      <c r="CQ86" s="26"/>
      <c r="CR86" s="26"/>
      <c r="CS86" s="26"/>
      <c r="CT86" s="26"/>
      <c r="CU86" s="26"/>
      <c r="CV86" s="26"/>
      <c r="CW86" s="26"/>
      <c r="CX86" s="26"/>
      <c r="CY86" s="26"/>
      <c r="CZ86" s="26"/>
    </row>
    <row r="87" spans="1:104" ht="17.399999999999999" x14ac:dyDescent="0.3">
      <c r="A87" s="23"/>
      <c r="B87" s="23"/>
      <c r="C87" s="40"/>
      <c r="D87" s="41"/>
      <c r="E87" s="41"/>
      <c r="F87" s="41"/>
      <c r="G87" s="182"/>
      <c r="H87" s="182"/>
      <c r="I87" s="182"/>
      <c r="J87" s="182"/>
      <c r="K87" s="182"/>
      <c r="L87" s="182"/>
      <c r="M87" s="182"/>
      <c r="N87" s="182"/>
      <c r="O87" s="182"/>
      <c r="P87" s="41"/>
      <c r="Q87" s="41"/>
      <c r="R87" s="41"/>
      <c r="S87" s="203"/>
      <c r="T87" s="203"/>
      <c r="U87" s="41"/>
      <c r="V87" s="41"/>
      <c r="W87" s="34"/>
      <c r="X87" s="41"/>
      <c r="Y87" s="41"/>
      <c r="Z87" s="180"/>
      <c r="AA87" s="180"/>
      <c r="AB87" s="180"/>
      <c r="AC87" s="180"/>
      <c r="AD87" s="182"/>
      <c r="AE87" s="182"/>
      <c r="AF87" s="182"/>
      <c r="AG87" s="182"/>
      <c r="AH87" s="182"/>
      <c r="AI87" s="183"/>
      <c r="AJ87" s="23"/>
      <c r="AK87" s="23"/>
      <c r="AL87" s="23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6"/>
      <c r="BE87" s="26"/>
      <c r="BF87" s="26"/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26"/>
      <c r="CP87" s="26"/>
      <c r="CQ87" s="26"/>
      <c r="CR87" s="26"/>
      <c r="CS87" s="26"/>
      <c r="CT87" s="26"/>
      <c r="CU87" s="26"/>
      <c r="CV87" s="26"/>
      <c r="CW87" s="26"/>
      <c r="CX87" s="26"/>
      <c r="CY87" s="26"/>
      <c r="CZ87" s="26"/>
    </row>
    <row r="88" spans="1:104" ht="17.399999999999999" x14ac:dyDescent="0.3">
      <c r="A88" s="23"/>
      <c r="B88" s="23"/>
      <c r="C88" s="40"/>
      <c r="D88" s="41"/>
      <c r="E88" s="41"/>
      <c r="F88" s="41"/>
      <c r="G88" s="182"/>
      <c r="H88" s="182"/>
      <c r="I88" s="182"/>
      <c r="J88" s="182"/>
      <c r="K88" s="182"/>
      <c r="L88" s="182"/>
      <c r="M88" s="182"/>
      <c r="N88" s="182"/>
      <c r="O88" s="182"/>
      <c r="P88" s="41"/>
      <c r="Q88" s="41"/>
      <c r="R88" s="41"/>
      <c r="S88" s="203"/>
      <c r="T88" s="203"/>
      <c r="U88" s="41"/>
      <c r="V88" s="41"/>
      <c r="W88" s="34"/>
      <c r="X88" s="41"/>
      <c r="Y88" s="41"/>
      <c r="Z88" s="180"/>
      <c r="AA88" s="180"/>
      <c r="AB88" s="180"/>
      <c r="AC88" s="180"/>
      <c r="AD88" s="182"/>
      <c r="AE88" s="182"/>
      <c r="AF88" s="182"/>
      <c r="AG88" s="182"/>
      <c r="AH88" s="182"/>
      <c r="AI88" s="183"/>
      <c r="AJ88" s="23"/>
      <c r="AK88" s="23"/>
      <c r="AL88" s="23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  <c r="AX88" s="26"/>
      <c r="AY88" s="26"/>
      <c r="AZ88" s="26"/>
      <c r="BA88" s="26"/>
      <c r="BB88" s="26"/>
      <c r="BC88" s="26"/>
      <c r="BD88" s="26"/>
      <c r="BE88" s="26"/>
      <c r="BF88" s="26"/>
      <c r="BG88" s="26"/>
      <c r="BH88" s="26"/>
      <c r="BI88" s="26"/>
      <c r="BJ88" s="26"/>
      <c r="BK88" s="26"/>
      <c r="BL88" s="26"/>
      <c r="BM88" s="26"/>
      <c r="BN88" s="26"/>
      <c r="BO88" s="26"/>
      <c r="BP88" s="26"/>
      <c r="BQ88" s="26"/>
      <c r="BR88" s="26"/>
      <c r="BS88" s="26"/>
      <c r="BT88" s="26"/>
      <c r="BU88" s="26"/>
      <c r="BV88" s="26"/>
      <c r="BW88" s="26"/>
      <c r="BX88" s="26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26"/>
      <c r="CP88" s="26"/>
      <c r="CQ88" s="26"/>
      <c r="CR88" s="26"/>
      <c r="CS88" s="26"/>
      <c r="CT88" s="26"/>
      <c r="CU88" s="26"/>
      <c r="CV88" s="26"/>
      <c r="CW88" s="26"/>
      <c r="CX88" s="26"/>
      <c r="CY88" s="26"/>
      <c r="CZ88" s="26"/>
    </row>
    <row r="89" spans="1:104" ht="17.399999999999999" x14ac:dyDescent="0.3">
      <c r="A89" s="23"/>
      <c r="B89" s="23"/>
      <c r="C89" s="40"/>
      <c r="D89" s="41"/>
      <c r="E89" s="41"/>
      <c r="F89" s="41"/>
      <c r="G89" s="182"/>
      <c r="H89" s="182"/>
      <c r="I89" s="182"/>
      <c r="J89" s="182"/>
      <c r="K89" s="182"/>
      <c r="L89" s="182"/>
      <c r="M89" s="182"/>
      <c r="N89" s="182"/>
      <c r="O89" s="182"/>
      <c r="P89" s="41"/>
      <c r="Q89" s="41"/>
      <c r="R89" s="41"/>
      <c r="S89" s="203"/>
      <c r="T89" s="203"/>
      <c r="U89" s="41"/>
      <c r="V89" s="41"/>
      <c r="W89" s="34"/>
      <c r="X89" s="41"/>
      <c r="Y89" s="41"/>
      <c r="Z89" s="180"/>
      <c r="AA89" s="180"/>
      <c r="AB89" s="180"/>
      <c r="AC89" s="180"/>
      <c r="AD89" s="182"/>
      <c r="AE89" s="182"/>
      <c r="AF89" s="182"/>
      <c r="AG89" s="182"/>
      <c r="AH89" s="182"/>
      <c r="AI89" s="183"/>
      <c r="AJ89" s="23"/>
      <c r="AK89" s="23"/>
      <c r="AL89" s="23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  <c r="AX89" s="26"/>
      <c r="AY89" s="26"/>
      <c r="AZ89" s="26"/>
      <c r="BA89" s="26"/>
      <c r="BB89" s="26"/>
      <c r="BC89" s="26"/>
      <c r="BD89" s="26"/>
      <c r="BE89" s="26"/>
      <c r="BF89" s="26"/>
      <c r="BG89" s="26"/>
      <c r="BH89" s="26"/>
      <c r="BI89" s="26"/>
      <c r="BJ89" s="26"/>
      <c r="BK89" s="26"/>
      <c r="BL89" s="26"/>
      <c r="BM89" s="26"/>
      <c r="BN89" s="26"/>
      <c r="BO89" s="26"/>
      <c r="BP89" s="26"/>
      <c r="BQ89" s="26"/>
      <c r="BR89" s="26"/>
      <c r="BS89" s="26"/>
      <c r="BT89" s="26"/>
      <c r="BU89" s="26"/>
      <c r="BV89" s="26"/>
      <c r="BW89" s="26"/>
      <c r="BX89" s="26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26"/>
      <c r="CP89" s="26"/>
      <c r="CQ89" s="26"/>
      <c r="CR89" s="26"/>
      <c r="CS89" s="26"/>
      <c r="CT89" s="26"/>
      <c r="CU89" s="26"/>
      <c r="CV89" s="26"/>
      <c r="CW89" s="26"/>
      <c r="CX89" s="26"/>
      <c r="CY89" s="26"/>
      <c r="CZ89" s="26"/>
    </row>
    <row r="90" spans="1:104" ht="17.399999999999999" x14ac:dyDescent="0.3">
      <c r="A90" s="23"/>
      <c r="B90" s="23"/>
      <c r="C90" s="40"/>
      <c r="D90" s="41"/>
      <c r="E90" s="41"/>
      <c r="F90" s="41"/>
      <c r="G90" s="182"/>
      <c r="H90" s="182"/>
      <c r="I90" s="182"/>
      <c r="J90" s="182"/>
      <c r="K90" s="182"/>
      <c r="L90" s="182"/>
      <c r="M90" s="182"/>
      <c r="N90" s="182"/>
      <c r="O90" s="182"/>
      <c r="P90" s="41"/>
      <c r="Q90" s="41"/>
      <c r="R90" s="41"/>
      <c r="S90" s="203"/>
      <c r="T90" s="203"/>
      <c r="U90" s="41"/>
      <c r="V90" s="41"/>
      <c r="W90" s="34"/>
      <c r="X90" s="41"/>
      <c r="Y90" s="41"/>
      <c r="Z90" s="180"/>
      <c r="AA90" s="180"/>
      <c r="AB90" s="180"/>
      <c r="AC90" s="180"/>
      <c r="AD90" s="182"/>
      <c r="AE90" s="182"/>
      <c r="AF90" s="182"/>
      <c r="AG90" s="182"/>
      <c r="AH90" s="182"/>
      <c r="AI90" s="183"/>
      <c r="AJ90" s="23"/>
      <c r="AK90" s="23"/>
      <c r="AL90" s="23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  <c r="AX90" s="26"/>
      <c r="AY90" s="26"/>
      <c r="AZ90" s="26"/>
      <c r="BA90" s="26"/>
      <c r="BB90" s="26"/>
      <c r="BC90" s="26"/>
      <c r="BD90" s="26"/>
      <c r="BE90" s="26"/>
      <c r="BF90" s="26"/>
      <c r="BG90" s="26"/>
      <c r="BH90" s="26"/>
      <c r="BI90" s="26"/>
      <c r="BJ90" s="26"/>
      <c r="BK90" s="26"/>
      <c r="BL90" s="26"/>
      <c r="BM90" s="26"/>
      <c r="BN90" s="26"/>
      <c r="BO90" s="26"/>
      <c r="BP90" s="26"/>
      <c r="BQ90" s="26"/>
      <c r="BR90" s="26"/>
      <c r="BS90" s="26"/>
      <c r="BT90" s="26"/>
      <c r="BU90" s="26"/>
      <c r="BV90" s="26"/>
      <c r="BW90" s="26"/>
      <c r="BX90" s="26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26"/>
      <c r="CP90" s="26"/>
      <c r="CQ90" s="26"/>
      <c r="CR90" s="26"/>
      <c r="CS90" s="26"/>
      <c r="CT90" s="26"/>
      <c r="CU90" s="26"/>
      <c r="CV90" s="26"/>
      <c r="CW90" s="26"/>
      <c r="CX90" s="26"/>
      <c r="CY90" s="26"/>
      <c r="CZ90" s="26"/>
    </row>
    <row r="91" spans="1:104" ht="17.399999999999999" x14ac:dyDescent="0.3">
      <c r="A91" s="23"/>
      <c r="B91" s="23"/>
      <c r="C91" s="40"/>
      <c r="D91" s="41"/>
      <c r="E91" s="41"/>
      <c r="F91" s="41"/>
      <c r="G91" s="182"/>
      <c r="H91" s="182"/>
      <c r="I91" s="182"/>
      <c r="J91" s="182"/>
      <c r="K91" s="182"/>
      <c r="L91" s="182"/>
      <c r="M91" s="182"/>
      <c r="N91" s="182"/>
      <c r="O91" s="182"/>
      <c r="P91" s="41"/>
      <c r="Q91" s="41"/>
      <c r="R91" s="41"/>
      <c r="S91" s="203"/>
      <c r="T91" s="203"/>
      <c r="U91" s="41"/>
      <c r="V91" s="41"/>
      <c r="W91" s="34"/>
      <c r="X91" s="41"/>
      <c r="Y91" s="41"/>
      <c r="Z91" s="180"/>
      <c r="AA91" s="180"/>
      <c r="AB91" s="180"/>
      <c r="AC91" s="180"/>
      <c r="AD91" s="182"/>
      <c r="AE91" s="182"/>
      <c r="AF91" s="182"/>
      <c r="AG91" s="182"/>
      <c r="AH91" s="182"/>
      <c r="AI91" s="183"/>
      <c r="AJ91" s="23"/>
      <c r="AK91" s="23"/>
      <c r="AL91" s="23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  <c r="AX91" s="26"/>
      <c r="AY91" s="26"/>
      <c r="AZ91" s="26"/>
      <c r="BA91" s="26"/>
      <c r="BB91" s="26"/>
      <c r="BC91" s="26"/>
      <c r="BD91" s="26"/>
      <c r="BE91" s="26"/>
      <c r="BF91" s="26"/>
      <c r="BG91" s="26"/>
      <c r="BH91" s="26"/>
      <c r="BI91" s="26"/>
      <c r="BJ91" s="26"/>
      <c r="BK91" s="26"/>
      <c r="BL91" s="26"/>
      <c r="BM91" s="26"/>
      <c r="BN91" s="26"/>
      <c r="BO91" s="26"/>
      <c r="BP91" s="26"/>
      <c r="BQ91" s="26"/>
      <c r="BR91" s="26"/>
      <c r="BS91" s="26"/>
      <c r="BT91" s="26"/>
      <c r="BU91" s="26"/>
      <c r="BV91" s="26"/>
      <c r="BW91" s="26"/>
      <c r="BX91" s="26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26"/>
      <c r="CP91" s="26"/>
      <c r="CQ91" s="26"/>
      <c r="CR91" s="26"/>
      <c r="CS91" s="26"/>
      <c r="CT91" s="26"/>
      <c r="CU91" s="26"/>
      <c r="CV91" s="26"/>
      <c r="CW91" s="26"/>
      <c r="CX91" s="26"/>
      <c r="CY91" s="26"/>
      <c r="CZ91" s="26"/>
    </row>
    <row r="92" spans="1:104" ht="17.399999999999999" x14ac:dyDescent="0.3">
      <c r="A92" s="23"/>
      <c r="B92" s="23"/>
      <c r="C92" s="40"/>
      <c r="D92" s="41"/>
      <c r="E92" s="41"/>
      <c r="F92" s="41"/>
      <c r="G92" s="182"/>
      <c r="H92" s="182"/>
      <c r="I92" s="182"/>
      <c r="J92" s="182"/>
      <c r="K92" s="182"/>
      <c r="L92" s="182"/>
      <c r="M92" s="182"/>
      <c r="N92" s="182"/>
      <c r="O92" s="182"/>
      <c r="P92" s="41"/>
      <c r="Q92" s="41"/>
      <c r="R92" s="41"/>
      <c r="S92" s="203"/>
      <c r="T92" s="203"/>
      <c r="U92" s="41"/>
      <c r="V92" s="41"/>
      <c r="W92" s="34"/>
      <c r="X92" s="41"/>
      <c r="Y92" s="41"/>
      <c r="Z92" s="180"/>
      <c r="AA92" s="180"/>
      <c r="AB92" s="180"/>
      <c r="AC92" s="180"/>
      <c r="AD92" s="182"/>
      <c r="AE92" s="182"/>
      <c r="AF92" s="182"/>
      <c r="AG92" s="182"/>
      <c r="AH92" s="182"/>
      <c r="AI92" s="183"/>
      <c r="AJ92" s="23"/>
      <c r="AK92" s="23"/>
      <c r="AL92" s="23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26"/>
      <c r="CP92" s="26"/>
      <c r="CQ92" s="26"/>
      <c r="CR92" s="26"/>
      <c r="CS92" s="26"/>
      <c r="CT92" s="26"/>
      <c r="CU92" s="26"/>
      <c r="CV92" s="26"/>
      <c r="CW92" s="26"/>
      <c r="CX92" s="26"/>
      <c r="CY92" s="26"/>
      <c r="CZ92" s="26"/>
    </row>
    <row r="93" spans="1:104" ht="17.399999999999999" x14ac:dyDescent="0.3">
      <c r="A93" s="23"/>
      <c r="B93" s="23"/>
      <c r="C93" s="40"/>
      <c r="D93" s="41"/>
      <c r="E93" s="41"/>
      <c r="F93" s="41"/>
      <c r="G93" s="182"/>
      <c r="H93" s="182"/>
      <c r="I93" s="182"/>
      <c r="J93" s="182"/>
      <c r="K93" s="182"/>
      <c r="L93" s="182"/>
      <c r="M93" s="182"/>
      <c r="N93" s="182"/>
      <c r="O93" s="182"/>
      <c r="P93" s="41"/>
      <c r="Q93" s="41"/>
      <c r="R93" s="41"/>
      <c r="S93" s="203"/>
      <c r="T93" s="203"/>
      <c r="U93" s="41"/>
      <c r="V93" s="41"/>
      <c r="W93" s="34"/>
      <c r="X93" s="41"/>
      <c r="Y93" s="41"/>
      <c r="Z93" s="180"/>
      <c r="AA93" s="180"/>
      <c r="AB93" s="180"/>
      <c r="AC93" s="180"/>
      <c r="AD93" s="182"/>
      <c r="AE93" s="182"/>
      <c r="AF93" s="182"/>
      <c r="AG93" s="182"/>
      <c r="AH93" s="182"/>
      <c r="AI93" s="183"/>
      <c r="AJ93" s="23"/>
      <c r="AK93" s="23"/>
      <c r="AL93" s="23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  <c r="AX93" s="26"/>
      <c r="AY93" s="26"/>
      <c r="AZ93" s="26"/>
      <c r="BA93" s="26"/>
      <c r="BB93" s="26"/>
      <c r="BC93" s="26"/>
      <c r="BD93" s="26"/>
      <c r="BE93" s="26"/>
      <c r="BF93" s="26"/>
      <c r="BG93" s="26"/>
      <c r="BH93" s="26"/>
      <c r="BI93" s="26"/>
      <c r="BJ93" s="26"/>
      <c r="BK93" s="26"/>
      <c r="BL93" s="26"/>
      <c r="BM93" s="26"/>
      <c r="BN93" s="26"/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26"/>
      <c r="CP93" s="26"/>
      <c r="CQ93" s="26"/>
      <c r="CR93" s="26"/>
      <c r="CS93" s="26"/>
      <c r="CT93" s="26"/>
      <c r="CU93" s="26"/>
      <c r="CV93" s="26"/>
      <c r="CW93" s="26"/>
      <c r="CX93" s="26"/>
      <c r="CY93" s="26"/>
      <c r="CZ93" s="26"/>
    </row>
    <row r="94" spans="1:104" ht="17.399999999999999" x14ac:dyDescent="0.3">
      <c r="A94" s="23"/>
      <c r="B94" s="23"/>
      <c r="C94" s="42"/>
      <c r="D94" s="43"/>
      <c r="E94" s="43"/>
      <c r="F94" s="43"/>
      <c r="G94" s="199"/>
      <c r="H94" s="199"/>
      <c r="I94" s="199"/>
      <c r="J94" s="199"/>
      <c r="K94" s="199"/>
      <c r="L94" s="199"/>
      <c r="M94" s="199"/>
      <c r="N94" s="199"/>
      <c r="O94" s="199"/>
      <c r="P94" s="43"/>
      <c r="Q94" s="43"/>
      <c r="R94" s="43"/>
      <c r="S94" s="204"/>
      <c r="T94" s="204"/>
      <c r="U94" s="43"/>
      <c r="V94" s="43"/>
      <c r="W94" s="44"/>
      <c r="X94" s="43"/>
      <c r="Y94" s="43"/>
      <c r="Z94" s="181"/>
      <c r="AA94" s="181"/>
      <c r="AB94" s="181"/>
      <c r="AC94" s="181"/>
      <c r="AD94" s="184"/>
      <c r="AE94" s="184"/>
      <c r="AF94" s="184"/>
      <c r="AG94" s="184"/>
      <c r="AH94" s="184"/>
      <c r="AI94" s="185"/>
      <c r="AJ94" s="23"/>
      <c r="AK94" s="23"/>
      <c r="AL94" s="23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  <c r="AX94" s="26"/>
      <c r="AY94" s="26"/>
      <c r="AZ94" s="26"/>
      <c r="BA94" s="26"/>
      <c r="BB94" s="26"/>
      <c r="BC94" s="26"/>
      <c r="BD94" s="26"/>
      <c r="BE94" s="26"/>
      <c r="BF94" s="26"/>
      <c r="BG94" s="26"/>
      <c r="BH94" s="26"/>
      <c r="BI94" s="26"/>
      <c r="BJ94" s="26"/>
      <c r="BK94" s="26"/>
      <c r="BL94" s="26"/>
      <c r="BM94" s="26"/>
      <c r="BN94" s="26"/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26"/>
      <c r="CP94" s="26"/>
      <c r="CQ94" s="26"/>
      <c r="CR94" s="26"/>
      <c r="CS94" s="26"/>
      <c r="CT94" s="26"/>
      <c r="CU94" s="26"/>
      <c r="CV94" s="26"/>
      <c r="CW94" s="26"/>
      <c r="CX94" s="26"/>
      <c r="CY94" s="26"/>
      <c r="CZ94" s="26"/>
    </row>
    <row r="95" spans="1:104" x14ac:dyDescent="0.25">
      <c r="A95" s="23"/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26"/>
      <c r="CP95" s="26"/>
      <c r="CQ95" s="26"/>
      <c r="CR95" s="26"/>
      <c r="CS95" s="26"/>
      <c r="CT95" s="26"/>
      <c r="CU95" s="26"/>
      <c r="CV95" s="26"/>
      <c r="CW95" s="26"/>
      <c r="CX95" s="26"/>
      <c r="CY95" s="26"/>
      <c r="CZ95" s="26"/>
    </row>
    <row r="96" spans="1:104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  <c r="AW96" s="26"/>
      <c r="AX96" s="26"/>
      <c r="AY96" s="26"/>
      <c r="AZ96" s="26"/>
      <c r="BA96" s="26"/>
      <c r="BB96" s="26"/>
      <c r="BC96" s="26"/>
      <c r="BD96" s="26"/>
      <c r="BE96" s="26"/>
      <c r="BF96" s="26"/>
      <c r="BG96" s="26"/>
      <c r="BH96" s="26"/>
      <c r="BI96" s="26"/>
      <c r="BJ96" s="26"/>
      <c r="BK96" s="26"/>
      <c r="BL96" s="26"/>
      <c r="BM96" s="26"/>
      <c r="BN96" s="26"/>
      <c r="BO96" s="26"/>
      <c r="BP96" s="26"/>
      <c r="BQ96" s="26"/>
      <c r="BR96" s="26"/>
      <c r="BS96" s="26"/>
      <c r="BT96" s="26"/>
      <c r="BU96" s="26"/>
      <c r="BV96" s="26"/>
      <c r="BW96" s="26"/>
      <c r="BX96" s="26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26"/>
      <c r="CP96" s="26"/>
      <c r="CQ96" s="26"/>
      <c r="CR96" s="26"/>
      <c r="CS96" s="26"/>
      <c r="CT96" s="26"/>
      <c r="CU96" s="26"/>
      <c r="CV96" s="26"/>
      <c r="CW96" s="26"/>
      <c r="CX96" s="26"/>
      <c r="CY96" s="26"/>
      <c r="CZ96" s="26"/>
    </row>
    <row r="97" spans="1:104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  <c r="AX97" s="26"/>
      <c r="AY97" s="26"/>
      <c r="AZ97" s="26"/>
      <c r="BA97" s="26"/>
      <c r="BB97" s="26"/>
      <c r="BC97" s="26"/>
      <c r="BD97" s="26"/>
      <c r="BE97" s="26"/>
      <c r="BF97" s="26"/>
      <c r="BG97" s="26"/>
      <c r="BH97" s="26"/>
      <c r="BI97" s="26"/>
      <c r="BJ97" s="26"/>
      <c r="BK97" s="26"/>
      <c r="BL97" s="26"/>
      <c r="BM97" s="26"/>
      <c r="BN97" s="26"/>
      <c r="BO97" s="26"/>
      <c r="BP97" s="26"/>
      <c r="BQ97" s="26"/>
      <c r="BR97" s="26"/>
      <c r="BS97" s="26"/>
      <c r="BT97" s="26"/>
      <c r="BU97" s="26"/>
      <c r="BV97" s="26"/>
      <c r="BW97" s="26"/>
      <c r="BX97" s="26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26"/>
      <c r="CP97" s="26"/>
      <c r="CQ97" s="26"/>
      <c r="CR97" s="26"/>
      <c r="CS97" s="26"/>
      <c r="CT97" s="26"/>
      <c r="CU97" s="26"/>
      <c r="CV97" s="26"/>
      <c r="CW97" s="26"/>
      <c r="CX97" s="26"/>
      <c r="CY97" s="26"/>
      <c r="CZ97" s="26"/>
    </row>
    <row r="98" spans="1:104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  <c r="AX98" s="26"/>
      <c r="AY98" s="26"/>
      <c r="AZ98" s="26"/>
      <c r="BA98" s="26"/>
      <c r="BB98" s="26"/>
      <c r="BC98" s="26"/>
      <c r="BD98" s="26"/>
      <c r="BE98" s="26"/>
      <c r="BF98" s="26"/>
      <c r="BG98" s="26"/>
      <c r="BH98" s="26"/>
      <c r="BI98" s="26"/>
      <c r="BJ98" s="26"/>
      <c r="BK98" s="26"/>
      <c r="BL98" s="26"/>
      <c r="BM98" s="26"/>
      <c r="BN98" s="26"/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26"/>
      <c r="CP98" s="26"/>
      <c r="CQ98" s="26"/>
      <c r="CR98" s="26"/>
      <c r="CS98" s="26"/>
      <c r="CT98" s="26"/>
      <c r="CU98" s="26"/>
      <c r="CV98" s="26"/>
      <c r="CW98" s="26"/>
      <c r="CX98" s="26"/>
      <c r="CY98" s="26"/>
      <c r="CZ98" s="26"/>
    </row>
    <row r="99" spans="1:104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  <c r="BB99" s="26"/>
      <c r="BC99" s="26"/>
      <c r="BD99" s="26"/>
      <c r="BE99" s="26"/>
      <c r="BF99" s="26"/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26"/>
      <c r="CP99" s="26"/>
      <c r="CQ99" s="26"/>
      <c r="CR99" s="26"/>
      <c r="CS99" s="26"/>
      <c r="CT99" s="26"/>
      <c r="CU99" s="26"/>
      <c r="CV99" s="26"/>
      <c r="CW99" s="26"/>
      <c r="CX99" s="26"/>
      <c r="CY99" s="26"/>
      <c r="CZ99" s="26"/>
    </row>
    <row r="100" spans="1:104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  <c r="AX100" s="26"/>
      <c r="AY100" s="26"/>
      <c r="AZ100" s="26"/>
      <c r="BA100" s="26"/>
      <c r="BB100" s="26"/>
      <c r="BC100" s="26"/>
      <c r="BD100" s="26"/>
      <c r="BE100" s="26"/>
      <c r="BF100" s="26"/>
      <c r="BG100" s="26"/>
      <c r="BH100" s="26"/>
      <c r="BI100" s="26"/>
      <c r="BJ100" s="26"/>
      <c r="BK100" s="26"/>
      <c r="BL100" s="26"/>
      <c r="BM100" s="26"/>
      <c r="BN100" s="26"/>
      <c r="BO100" s="26"/>
      <c r="BP100" s="26"/>
      <c r="BQ100" s="26"/>
      <c r="BR100" s="26"/>
      <c r="BS100" s="26"/>
      <c r="BT100" s="26"/>
      <c r="BU100" s="26"/>
      <c r="BV100" s="26"/>
      <c r="BW100" s="26"/>
      <c r="BX100" s="26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26"/>
      <c r="CP100" s="26"/>
      <c r="CQ100" s="26"/>
      <c r="CR100" s="26"/>
      <c r="CS100" s="26"/>
      <c r="CT100" s="26"/>
      <c r="CU100" s="26"/>
      <c r="CV100" s="26"/>
      <c r="CW100" s="26"/>
      <c r="CX100" s="26"/>
      <c r="CY100" s="26"/>
      <c r="CZ100" s="26"/>
    </row>
    <row r="101" spans="1:104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  <c r="AX101" s="26"/>
      <c r="AY101" s="26"/>
      <c r="AZ101" s="26"/>
      <c r="BA101" s="26"/>
      <c r="BB101" s="26"/>
      <c r="BC101" s="26"/>
      <c r="BD101" s="26"/>
      <c r="BE101" s="26"/>
      <c r="BF101" s="26"/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26"/>
      <c r="BR101" s="26"/>
      <c r="BS101" s="26"/>
      <c r="BT101" s="26"/>
      <c r="BU101" s="26"/>
      <c r="BV101" s="26"/>
      <c r="BW101" s="26"/>
      <c r="BX101" s="26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26"/>
      <c r="CP101" s="26"/>
      <c r="CQ101" s="26"/>
      <c r="CR101" s="26"/>
      <c r="CS101" s="26"/>
      <c r="CT101" s="26"/>
      <c r="CU101" s="26"/>
      <c r="CV101" s="26"/>
      <c r="CW101" s="26"/>
      <c r="CX101" s="26"/>
      <c r="CY101" s="26"/>
      <c r="CZ101" s="26"/>
    </row>
    <row r="102" spans="1:104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AW102" s="26"/>
      <c r="AX102" s="26"/>
      <c r="AY102" s="26"/>
      <c r="AZ102" s="26"/>
      <c r="BA102" s="26"/>
      <c r="BB102" s="26"/>
      <c r="BC102" s="26"/>
      <c r="BD102" s="26"/>
      <c r="BE102" s="26"/>
      <c r="BF102" s="26"/>
      <c r="BG102" s="26"/>
      <c r="BH102" s="26"/>
      <c r="BI102" s="26"/>
      <c r="BJ102" s="26"/>
      <c r="BK102" s="26"/>
      <c r="BL102" s="26"/>
      <c r="BM102" s="26"/>
      <c r="BN102" s="26"/>
      <c r="BO102" s="26"/>
      <c r="BP102" s="26"/>
      <c r="BQ102" s="26"/>
      <c r="BR102" s="26"/>
      <c r="BS102" s="26"/>
      <c r="BT102" s="26"/>
      <c r="BU102" s="26"/>
      <c r="BV102" s="26"/>
      <c r="BW102" s="26"/>
      <c r="BX102" s="26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26"/>
      <c r="CP102" s="26"/>
      <c r="CQ102" s="26"/>
      <c r="CR102" s="26"/>
      <c r="CS102" s="26"/>
      <c r="CT102" s="26"/>
      <c r="CU102" s="26"/>
      <c r="CV102" s="26"/>
      <c r="CW102" s="26"/>
      <c r="CX102" s="26"/>
      <c r="CY102" s="26"/>
      <c r="CZ102" s="26"/>
    </row>
    <row r="103" spans="1:104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  <c r="AX103" s="26"/>
      <c r="AY103" s="26"/>
      <c r="AZ103" s="26"/>
      <c r="BA103" s="26"/>
      <c r="BB103" s="26"/>
      <c r="BC103" s="26"/>
      <c r="BD103" s="26"/>
      <c r="BE103" s="26"/>
      <c r="BF103" s="26"/>
      <c r="BG103" s="26"/>
      <c r="BH103" s="26"/>
      <c r="BI103" s="26"/>
      <c r="BJ103" s="26"/>
      <c r="BK103" s="26"/>
      <c r="BL103" s="26"/>
      <c r="BM103" s="26"/>
      <c r="BN103" s="26"/>
      <c r="BO103" s="26"/>
      <c r="BP103" s="26"/>
      <c r="BQ103" s="26"/>
      <c r="BR103" s="26"/>
      <c r="BS103" s="26"/>
      <c r="BT103" s="26"/>
      <c r="BU103" s="26"/>
      <c r="BV103" s="26"/>
      <c r="BW103" s="26"/>
      <c r="BX103" s="26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26"/>
      <c r="CP103" s="26"/>
      <c r="CQ103" s="26"/>
      <c r="CR103" s="26"/>
      <c r="CS103" s="26"/>
      <c r="CT103" s="26"/>
      <c r="CU103" s="26"/>
      <c r="CV103" s="26"/>
      <c r="CW103" s="26"/>
      <c r="CX103" s="26"/>
      <c r="CY103" s="26"/>
      <c r="CZ103" s="26"/>
    </row>
    <row r="104" spans="1:104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  <c r="AX104" s="26"/>
      <c r="AY104" s="26"/>
      <c r="AZ104" s="26"/>
      <c r="BA104" s="26"/>
      <c r="BB104" s="26"/>
      <c r="BC104" s="26"/>
      <c r="BD104" s="26"/>
      <c r="BE104" s="26"/>
      <c r="BF104" s="26"/>
      <c r="BG104" s="26"/>
      <c r="BH104" s="26"/>
      <c r="BI104" s="26"/>
      <c r="BJ104" s="26"/>
      <c r="BK104" s="26"/>
      <c r="BL104" s="26"/>
      <c r="BM104" s="26"/>
      <c r="BN104" s="26"/>
      <c r="BO104" s="26"/>
      <c r="BP104" s="26"/>
      <c r="BQ104" s="26"/>
      <c r="BR104" s="26"/>
      <c r="BS104" s="26"/>
      <c r="BT104" s="26"/>
      <c r="BU104" s="26"/>
      <c r="BV104" s="26"/>
      <c r="BW104" s="26"/>
      <c r="BX104" s="26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26"/>
      <c r="CP104" s="26"/>
      <c r="CQ104" s="26"/>
      <c r="CR104" s="26"/>
      <c r="CS104" s="26"/>
      <c r="CT104" s="26"/>
      <c r="CU104" s="26"/>
      <c r="CV104" s="26"/>
      <c r="CW104" s="26"/>
      <c r="CX104" s="26"/>
      <c r="CY104" s="26"/>
      <c r="CZ104" s="26"/>
    </row>
    <row r="105" spans="1:104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AW105" s="26"/>
      <c r="AX105" s="26"/>
      <c r="AY105" s="26"/>
      <c r="AZ105" s="26"/>
      <c r="BA105" s="26"/>
      <c r="BB105" s="26"/>
      <c r="BC105" s="26"/>
      <c r="BD105" s="26"/>
      <c r="BE105" s="26"/>
      <c r="BF105" s="26"/>
      <c r="BG105" s="26"/>
      <c r="BH105" s="26"/>
      <c r="BI105" s="26"/>
      <c r="BJ105" s="26"/>
      <c r="BK105" s="26"/>
      <c r="BL105" s="26"/>
      <c r="BM105" s="26"/>
      <c r="BN105" s="26"/>
      <c r="BO105" s="26"/>
      <c r="BP105" s="26"/>
      <c r="BQ105" s="26"/>
      <c r="BR105" s="26"/>
      <c r="BS105" s="26"/>
      <c r="BT105" s="26"/>
      <c r="BU105" s="26"/>
      <c r="BV105" s="26"/>
      <c r="BW105" s="26"/>
      <c r="BX105" s="26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26"/>
      <c r="CP105" s="26"/>
      <c r="CQ105" s="26"/>
      <c r="CR105" s="26"/>
      <c r="CS105" s="26"/>
      <c r="CT105" s="26"/>
      <c r="CU105" s="26"/>
      <c r="CV105" s="26"/>
      <c r="CW105" s="26"/>
      <c r="CX105" s="26"/>
      <c r="CY105" s="26"/>
      <c r="CZ105" s="26"/>
    </row>
    <row r="106" spans="1:104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AW106" s="26"/>
      <c r="AX106" s="26"/>
      <c r="AY106" s="26"/>
      <c r="AZ106" s="26"/>
      <c r="BA106" s="26"/>
      <c r="BB106" s="26"/>
      <c r="BC106" s="26"/>
      <c r="BD106" s="26"/>
      <c r="BE106" s="26"/>
      <c r="BF106" s="26"/>
      <c r="BG106" s="26"/>
      <c r="BH106" s="26"/>
      <c r="BI106" s="26"/>
      <c r="BJ106" s="26"/>
      <c r="BK106" s="26"/>
      <c r="BL106" s="26"/>
      <c r="BM106" s="26"/>
      <c r="BN106" s="26"/>
      <c r="BO106" s="26"/>
      <c r="BP106" s="26"/>
      <c r="BQ106" s="26"/>
      <c r="BR106" s="26"/>
      <c r="BS106" s="26"/>
      <c r="BT106" s="26"/>
      <c r="BU106" s="26"/>
      <c r="BV106" s="26"/>
      <c r="BW106" s="26"/>
      <c r="BX106" s="26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26"/>
      <c r="CP106" s="26"/>
      <c r="CQ106" s="26"/>
      <c r="CR106" s="26"/>
      <c r="CS106" s="26"/>
      <c r="CT106" s="26"/>
      <c r="CU106" s="26"/>
      <c r="CV106" s="26"/>
      <c r="CW106" s="26"/>
      <c r="CX106" s="26"/>
      <c r="CY106" s="26"/>
      <c r="CZ106" s="26"/>
    </row>
    <row r="107" spans="1:104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  <c r="AX107" s="26"/>
      <c r="AY107" s="26"/>
      <c r="AZ107" s="26"/>
      <c r="BA107" s="26"/>
      <c r="BB107" s="26"/>
      <c r="BC107" s="26"/>
      <c r="BD107" s="26"/>
      <c r="BE107" s="26"/>
      <c r="BF107" s="26"/>
      <c r="BG107" s="26"/>
      <c r="BH107" s="26"/>
      <c r="BI107" s="26"/>
      <c r="BJ107" s="26"/>
      <c r="BK107" s="26"/>
      <c r="BL107" s="26"/>
      <c r="BM107" s="26"/>
      <c r="BN107" s="26"/>
      <c r="BO107" s="26"/>
      <c r="BP107" s="26"/>
      <c r="BQ107" s="26"/>
      <c r="BR107" s="26"/>
      <c r="BS107" s="26"/>
      <c r="BT107" s="26"/>
      <c r="BU107" s="26"/>
      <c r="BV107" s="26"/>
      <c r="BW107" s="26"/>
      <c r="BX107" s="26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26"/>
      <c r="CP107" s="26"/>
      <c r="CQ107" s="26"/>
      <c r="CR107" s="26"/>
      <c r="CS107" s="26"/>
      <c r="CT107" s="26"/>
      <c r="CU107" s="26"/>
      <c r="CV107" s="26"/>
      <c r="CW107" s="26"/>
      <c r="CX107" s="26"/>
      <c r="CY107" s="26"/>
      <c r="CZ107" s="26"/>
    </row>
    <row r="108" spans="1:104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  <c r="AV108" s="26"/>
      <c r="AW108" s="26"/>
      <c r="AX108" s="26"/>
      <c r="AY108" s="26"/>
      <c r="AZ108" s="26"/>
      <c r="BA108" s="26"/>
      <c r="BB108" s="26"/>
      <c r="BC108" s="26"/>
      <c r="BD108" s="26"/>
      <c r="BE108" s="26"/>
      <c r="BF108" s="26"/>
      <c r="BG108" s="26"/>
      <c r="BH108" s="26"/>
      <c r="BI108" s="26"/>
      <c r="BJ108" s="26"/>
      <c r="BK108" s="26"/>
      <c r="BL108" s="26"/>
      <c r="BM108" s="26"/>
      <c r="BN108" s="26"/>
      <c r="BO108" s="26"/>
      <c r="BP108" s="26"/>
      <c r="BQ108" s="26"/>
      <c r="BR108" s="26"/>
      <c r="BS108" s="26"/>
      <c r="BT108" s="26"/>
      <c r="BU108" s="26"/>
      <c r="BV108" s="26"/>
      <c r="BW108" s="26"/>
      <c r="BX108" s="26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26"/>
      <c r="CP108" s="26"/>
      <c r="CQ108" s="26"/>
      <c r="CR108" s="26"/>
      <c r="CS108" s="26"/>
      <c r="CT108" s="26"/>
      <c r="CU108" s="26"/>
      <c r="CV108" s="26"/>
      <c r="CW108" s="26"/>
      <c r="CX108" s="26"/>
      <c r="CY108" s="26"/>
      <c r="CZ108" s="26"/>
    </row>
    <row r="109" spans="1:104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  <c r="AW109" s="26"/>
      <c r="AX109" s="26"/>
      <c r="AY109" s="26"/>
      <c r="AZ109" s="26"/>
      <c r="BA109" s="26"/>
      <c r="BB109" s="26"/>
      <c r="BC109" s="26"/>
      <c r="BD109" s="26"/>
      <c r="BE109" s="26"/>
      <c r="BF109" s="26"/>
      <c r="BG109" s="26"/>
      <c r="BH109" s="26"/>
      <c r="BI109" s="26"/>
      <c r="BJ109" s="26"/>
      <c r="BK109" s="26"/>
      <c r="BL109" s="26"/>
      <c r="BM109" s="26"/>
      <c r="BN109" s="26"/>
      <c r="BO109" s="26"/>
      <c r="BP109" s="26"/>
      <c r="BQ109" s="26"/>
      <c r="BR109" s="26"/>
      <c r="BS109" s="26"/>
      <c r="BT109" s="26"/>
      <c r="BU109" s="26"/>
      <c r="BV109" s="26"/>
      <c r="BW109" s="26"/>
      <c r="BX109" s="26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26"/>
      <c r="CP109" s="26"/>
      <c r="CQ109" s="26"/>
      <c r="CR109" s="26"/>
      <c r="CS109" s="26"/>
      <c r="CT109" s="26"/>
      <c r="CU109" s="26"/>
      <c r="CV109" s="26"/>
      <c r="CW109" s="26"/>
      <c r="CX109" s="26"/>
      <c r="CY109" s="26"/>
      <c r="CZ109" s="26"/>
    </row>
    <row r="110" spans="1:104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  <c r="AX110" s="26"/>
      <c r="AY110" s="26"/>
      <c r="AZ110" s="26"/>
      <c r="BA110" s="26"/>
      <c r="BB110" s="26"/>
      <c r="BC110" s="26"/>
      <c r="BD110" s="26"/>
      <c r="BE110" s="26"/>
      <c r="BF110" s="26"/>
      <c r="BG110" s="26"/>
      <c r="BH110" s="26"/>
      <c r="BI110" s="26"/>
      <c r="BJ110" s="26"/>
      <c r="BK110" s="26"/>
      <c r="BL110" s="26"/>
      <c r="BM110" s="26"/>
      <c r="BN110" s="26"/>
      <c r="BO110" s="26"/>
      <c r="BP110" s="26"/>
      <c r="BQ110" s="26"/>
      <c r="BR110" s="26"/>
      <c r="BS110" s="26"/>
      <c r="BT110" s="26"/>
      <c r="BU110" s="26"/>
      <c r="BV110" s="26"/>
      <c r="BW110" s="26"/>
      <c r="BX110" s="26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26"/>
      <c r="CP110" s="26"/>
      <c r="CQ110" s="26"/>
      <c r="CR110" s="26"/>
      <c r="CS110" s="26"/>
      <c r="CT110" s="26"/>
      <c r="CU110" s="26"/>
      <c r="CV110" s="26"/>
      <c r="CW110" s="26"/>
      <c r="CX110" s="26"/>
      <c r="CY110" s="26"/>
      <c r="CZ110" s="26"/>
    </row>
    <row r="111" spans="1:104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  <c r="AV111" s="26"/>
      <c r="AW111" s="26"/>
      <c r="AX111" s="26"/>
      <c r="AY111" s="26"/>
      <c r="AZ111" s="26"/>
      <c r="BA111" s="26"/>
      <c r="BB111" s="26"/>
      <c r="BC111" s="26"/>
      <c r="BD111" s="26"/>
      <c r="BE111" s="26"/>
      <c r="BF111" s="26"/>
      <c r="BG111" s="26"/>
      <c r="BH111" s="26"/>
      <c r="BI111" s="26"/>
      <c r="BJ111" s="26"/>
      <c r="BK111" s="26"/>
      <c r="BL111" s="26"/>
      <c r="BM111" s="26"/>
      <c r="BN111" s="26"/>
      <c r="BO111" s="26"/>
      <c r="BP111" s="26"/>
      <c r="BQ111" s="26"/>
      <c r="BR111" s="26"/>
      <c r="BS111" s="26"/>
      <c r="BT111" s="26"/>
      <c r="BU111" s="26"/>
      <c r="BV111" s="26"/>
      <c r="BW111" s="26"/>
      <c r="BX111" s="26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26"/>
      <c r="CP111" s="26"/>
      <c r="CQ111" s="26"/>
      <c r="CR111" s="26"/>
      <c r="CS111" s="26"/>
      <c r="CT111" s="26"/>
      <c r="CU111" s="26"/>
      <c r="CV111" s="26"/>
      <c r="CW111" s="26"/>
      <c r="CX111" s="26"/>
      <c r="CY111" s="26"/>
      <c r="CZ111" s="26"/>
    </row>
    <row r="112" spans="1:104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  <c r="AW112" s="26"/>
      <c r="AX112" s="26"/>
      <c r="AY112" s="26"/>
      <c r="AZ112" s="26"/>
      <c r="BA112" s="26"/>
      <c r="BB112" s="26"/>
      <c r="BC112" s="26"/>
      <c r="BD112" s="26"/>
      <c r="BE112" s="26"/>
      <c r="BF112" s="26"/>
      <c r="BG112" s="26"/>
      <c r="BH112" s="26"/>
      <c r="BI112" s="26"/>
      <c r="BJ112" s="26"/>
      <c r="BK112" s="26"/>
      <c r="BL112" s="26"/>
      <c r="BM112" s="26"/>
      <c r="BN112" s="26"/>
      <c r="BO112" s="26"/>
      <c r="BP112" s="26"/>
      <c r="BQ112" s="26"/>
      <c r="BR112" s="26"/>
      <c r="BS112" s="26"/>
      <c r="BT112" s="26"/>
      <c r="BU112" s="26"/>
      <c r="BV112" s="26"/>
      <c r="BW112" s="26"/>
      <c r="BX112" s="26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26"/>
      <c r="CP112" s="26"/>
      <c r="CQ112" s="26"/>
      <c r="CR112" s="26"/>
      <c r="CS112" s="26"/>
      <c r="CT112" s="26"/>
      <c r="CU112" s="26"/>
      <c r="CV112" s="26"/>
      <c r="CW112" s="26"/>
      <c r="CX112" s="26"/>
      <c r="CY112" s="26"/>
      <c r="CZ112" s="26"/>
    </row>
    <row r="113" spans="1:104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26"/>
      <c r="BC113" s="26"/>
      <c r="BD113" s="26"/>
      <c r="BE113" s="26"/>
      <c r="BF113" s="26"/>
      <c r="BG113" s="26"/>
      <c r="BH113" s="26"/>
      <c r="BI113" s="26"/>
      <c r="BJ113" s="26"/>
      <c r="BK113" s="26"/>
      <c r="BL113" s="26"/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  <c r="CU113" s="26"/>
      <c r="CV113" s="26"/>
      <c r="CW113" s="26"/>
      <c r="CX113" s="26"/>
      <c r="CY113" s="26"/>
      <c r="CZ113" s="26"/>
    </row>
    <row r="114" spans="1:104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  <c r="AW114" s="26"/>
      <c r="AX114" s="26"/>
      <c r="AY114" s="26"/>
      <c r="AZ114" s="26"/>
      <c r="BA114" s="26"/>
      <c r="BB114" s="26"/>
      <c r="BC114" s="26"/>
      <c r="BD114" s="26"/>
      <c r="BE114" s="26"/>
      <c r="BF114" s="26"/>
      <c r="BG114" s="26"/>
      <c r="BH114" s="26"/>
      <c r="BI114" s="26"/>
      <c r="BJ114" s="26"/>
      <c r="BK114" s="26"/>
      <c r="BL114" s="26"/>
      <c r="BM114" s="26"/>
      <c r="BN114" s="26"/>
      <c r="BO114" s="26"/>
      <c r="BP114" s="26"/>
      <c r="BQ114" s="26"/>
      <c r="BR114" s="26"/>
      <c r="BS114" s="26"/>
      <c r="BT114" s="26"/>
      <c r="BU114" s="26"/>
      <c r="BV114" s="26"/>
      <c r="BW114" s="26"/>
      <c r="BX114" s="26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26"/>
      <c r="CP114" s="26"/>
      <c r="CQ114" s="26"/>
      <c r="CR114" s="26"/>
      <c r="CS114" s="26"/>
      <c r="CT114" s="26"/>
      <c r="CU114" s="26"/>
      <c r="CV114" s="26"/>
      <c r="CW114" s="26"/>
      <c r="CX114" s="26"/>
      <c r="CY114" s="26"/>
      <c r="CZ114" s="26"/>
    </row>
    <row r="115" spans="1:104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6"/>
      <c r="AP115" s="26"/>
      <c r="AQ115" s="26"/>
      <c r="AR115" s="26"/>
      <c r="AS115" s="26"/>
      <c r="AT115" s="26"/>
      <c r="AU115" s="26"/>
      <c r="AV115" s="26"/>
      <c r="AW115" s="26"/>
      <c r="AX115" s="26"/>
      <c r="AY115" s="26"/>
      <c r="AZ115" s="26"/>
      <c r="BA115" s="26"/>
      <c r="BB115" s="26"/>
      <c r="BC115" s="26"/>
      <c r="BD115" s="26"/>
      <c r="BE115" s="26"/>
      <c r="BF115" s="26"/>
      <c r="BG115" s="26"/>
      <c r="BH115" s="26"/>
      <c r="BI115" s="26"/>
      <c r="BJ115" s="26"/>
      <c r="BK115" s="26"/>
      <c r="BL115" s="26"/>
      <c r="BM115" s="26"/>
      <c r="BN115" s="26"/>
      <c r="BO115" s="26"/>
      <c r="BP115" s="26"/>
      <c r="BQ115" s="26"/>
      <c r="BR115" s="26"/>
      <c r="BS115" s="26"/>
      <c r="BT115" s="26"/>
      <c r="BU115" s="26"/>
      <c r="BV115" s="26"/>
      <c r="BW115" s="26"/>
      <c r="BX115" s="26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26"/>
      <c r="CP115" s="26"/>
      <c r="CQ115" s="26"/>
      <c r="CR115" s="26"/>
      <c r="CS115" s="26"/>
      <c r="CT115" s="26"/>
      <c r="CU115" s="26"/>
      <c r="CV115" s="26"/>
      <c r="CW115" s="26"/>
      <c r="CX115" s="26"/>
      <c r="CY115" s="26"/>
      <c r="CZ115" s="26"/>
    </row>
    <row r="116" spans="1:104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AW116" s="26"/>
      <c r="AX116" s="26"/>
      <c r="AY116" s="26"/>
      <c r="AZ116" s="26"/>
      <c r="BA116" s="26"/>
      <c r="BB116" s="26"/>
      <c r="BC116" s="26"/>
      <c r="BD116" s="26"/>
      <c r="BE116" s="26"/>
      <c r="BF116" s="26"/>
      <c r="BG116" s="26"/>
      <c r="BH116" s="26"/>
      <c r="BI116" s="26"/>
      <c r="BJ116" s="26"/>
      <c r="BK116" s="26"/>
      <c r="BL116" s="26"/>
      <c r="BM116" s="26"/>
      <c r="BN116" s="26"/>
      <c r="BO116" s="26"/>
      <c r="BP116" s="26"/>
      <c r="BQ116" s="26"/>
      <c r="BR116" s="26"/>
      <c r="BS116" s="26"/>
      <c r="BT116" s="26"/>
      <c r="BU116" s="26"/>
      <c r="BV116" s="26"/>
      <c r="BW116" s="26"/>
      <c r="BX116" s="26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26"/>
      <c r="CP116" s="26"/>
      <c r="CQ116" s="26"/>
      <c r="CR116" s="26"/>
      <c r="CS116" s="26"/>
      <c r="CT116" s="26"/>
      <c r="CU116" s="26"/>
      <c r="CV116" s="26"/>
      <c r="CW116" s="26"/>
      <c r="CX116" s="26"/>
      <c r="CY116" s="26"/>
      <c r="CZ116" s="26"/>
    </row>
    <row r="117" spans="1:104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  <c r="AX117" s="26"/>
      <c r="AY117" s="26"/>
      <c r="AZ117" s="26"/>
      <c r="BA117" s="26"/>
      <c r="BB117" s="26"/>
      <c r="BC117" s="26"/>
      <c r="BD117" s="26"/>
      <c r="BE117" s="26"/>
      <c r="BF117" s="26"/>
      <c r="BG117" s="26"/>
      <c r="BH117" s="26"/>
      <c r="BI117" s="26"/>
      <c r="BJ117" s="26"/>
      <c r="BK117" s="26"/>
      <c r="BL117" s="26"/>
      <c r="BM117" s="26"/>
      <c r="BN117" s="26"/>
      <c r="BO117" s="26"/>
      <c r="BP117" s="26"/>
      <c r="BQ117" s="26"/>
      <c r="BR117" s="26"/>
      <c r="BS117" s="26"/>
      <c r="BT117" s="26"/>
      <c r="BU117" s="26"/>
      <c r="BV117" s="26"/>
      <c r="BW117" s="26"/>
      <c r="BX117" s="26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26"/>
      <c r="CP117" s="26"/>
      <c r="CQ117" s="26"/>
      <c r="CR117" s="26"/>
      <c r="CS117" s="26"/>
      <c r="CT117" s="26"/>
      <c r="CU117" s="26"/>
      <c r="CV117" s="26"/>
      <c r="CW117" s="26"/>
      <c r="CX117" s="26"/>
      <c r="CY117" s="26"/>
      <c r="CZ117" s="26"/>
    </row>
    <row r="118" spans="1:104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  <c r="CW118" s="26"/>
      <c r="CX118" s="26"/>
      <c r="CY118" s="26"/>
      <c r="CZ118" s="26"/>
    </row>
    <row r="119" spans="1:104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  <c r="AW119" s="26"/>
      <c r="AX119" s="26"/>
      <c r="AY119" s="26"/>
      <c r="AZ119" s="26"/>
      <c r="BA119" s="26"/>
      <c r="BB119" s="26"/>
      <c r="BC119" s="26"/>
      <c r="BD119" s="26"/>
      <c r="BE119" s="26"/>
      <c r="BF119" s="26"/>
      <c r="BG119" s="26"/>
      <c r="BH119" s="26"/>
      <c r="BI119" s="26"/>
      <c r="BJ119" s="26"/>
      <c r="BK119" s="26"/>
      <c r="BL119" s="26"/>
      <c r="BM119" s="26"/>
      <c r="BN119" s="26"/>
      <c r="BO119" s="26"/>
      <c r="BP119" s="26"/>
      <c r="BQ119" s="26"/>
      <c r="BR119" s="26"/>
      <c r="BS119" s="26"/>
      <c r="BT119" s="26"/>
      <c r="BU119" s="26"/>
      <c r="BV119" s="26"/>
      <c r="BW119" s="26"/>
      <c r="BX119" s="26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26"/>
      <c r="CP119" s="26"/>
      <c r="CQ119" s="26"/>
      <c r="CR119" s="26"/>
      <c r="CS119" s="26"/>
      <c r="CT119" s="26"/>
      <c r="CU119" s="26"/>
      <c r="CV119" s="26"/>
      <c r="CW119" s="26"/>
      <c r="CX119" s="26"/>
      <c r="CY119" s="26"/>
      <c r="CZ119" s="26"/>
    </row>
    <row r="120" spans="1:104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AW120" s="26"/>
      <c r="AX120" s="26"/>
      <c r="AY120" s="26"/>
      <c r="AZ120" s="26"/>
      <c r="BA120" s="26"/>
      <c r="BB120" s="26"/>
      <c r="BC120" s="26"/>
      <c r="BD120" s="26"/>
      <c r="BE120" s="26"/>
      <c r="BF120" s="26"/>
      <c r="BG120" s="26"/>
      <c r="BH120" s="26"/>
      <c r="BI120" s="26"/>
      <c r="BJ120" s="26"/>
      <c r="BK120" s="26"/>
      <c r="BL120" s="26"/>
      <c r="BM120" s="26"/>
      <c r="BN120" s="26"/>
      <c r="BO120" s="26"/>
      <c r="BP120" s="26"/>
      <c r="BQ120" s="26"/>
      <c r="BR120" s="26"/>
      <c r="BS120" s="26"/>
      <c r="BT120" s="26"/>
      <c r="BU120" s="26"/>
      <c r="BV120" s="26"/>
      <c r="BW120" s="26"/>
      <c r="BX120" s="26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26"/>
      <c r="CP120" s="26"/>
      <c r="CQ120" s="26"/>
      <c r="CR120" s="26"/>
      <c r="CS120" s="26"/>
      <c r="CT120" s="26"/>
      <c r="CU120" s="26"/>
      <c r="CV120" s="26"/>
      <c r="CW120" s="26"/>
      <c r="CX120" s="26"/>
      <c r="CY120" s="26"/>
      <c r="CZ120" s="26"/>
    </row>
    <row r="121" spans="1:104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26"/>
      <c r="AP121" s="26"/>
      <c r="AQ121" s="26"/>
      <c r="AR121" s="26"/>
      <c r="AS121" s="26"/>
      <c r="AT121" s="26"/>
      <c r="AU121" s="26"/>
      <c r="AV121" s="26"/>
      <c r="AW121" s="26"/>
      <c r="AX121" s="26"/>
      <c r="AY121" s="26"/>
      <c r="AZ121" s="26"/>
      <c r="BA121" s="26"/>
      <c r="BB121" s="26"/>
      <c r="BC121" s="26"/>
      <c r="BD121" s="26"/>
      <c r="BE121" s="26"/>
      <c r="BF121" s="26"/>
      <c r="BG121" s="26"/>
      <c r="BH121" s="26"/>
      <c r="BI121" s="26"/>
      <c r="BJ121" s="26"/>
      <c r="BK121" s="26"/>
      <c r="BL121" s="26"/>
      <c r="BM121" s="26"/>
      <c r="BN121" s="26"/>
      <c r="BO121" s="26"/>
      <c r="BP121" s="26"/>
      <c r="BQ121" s="26"/>
      <c r="BR121" s="26"/>
      <c r="BS121" s="26"/>
      <c r="BT121" s="26"/>
      <c r="BU121" s="26"/>
      <c r="BV121" s="26"/>
      <c r="BW121" s="26"/>
      <c r="BX121" s="26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26"/>
      <c r="CP121" s="26"/>
      <c r="CQ121" s="26"/>
      <c r="CR121" s="26"/>
      <c r="CS121" s="26"/>
      <c r="CT121" s="26"/>
      <c r="CU121" s="26"/>
      <c r="CV121" s="26"/>
      <c r="CW121" s="26"/>
      <c r="CX121" s="26"/>
      <c r="CY121" s="26"/>
      <c r="CZ121" s="26"/>
    </row>
    <row r="122" spans="1:104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6"/>
      <c r="AP122" s="26"/>
      <c r="AQ122" s="26"/>
      <c r="AR122" s="26"/>
      <c r="AS122" s="26"/>
      <c r="AT122" s="26"/>
      <c r="AU122" s="26"/>
      <c r="AV122" s="26"/>
      <c r="AW122" s="26"/>
      <c r="AX122" s="26"/>
      <c r="AY122" s="26"/>
      <c r="AZ122" s="26"/>
      <c r="BA122" s="26"/>
      <c r="BB122" s="26"/>
      <c r="BC122" s="26"/>
      <c r="BD122" s="26"/>
      <c r="BE122" s="26"/>
      <c r="BF122" s="26"/>
      <c r="BG122" s="26"/>
      <c r="BH122" s="26"/>
      <c r="BI122" s="26"/>
      <c r="BJ122" s="26"/>
      <c r="BK122" s="26"/>
      <c r="BL122" s="26"/>
      <c r="BM122" s="26"/>
      <c r="BN122" s="26"/>
      <c r="BO122" s="26"/>
      <c r="BP122" s="26"/>
      <c r="BQ122" s="26"/>
      <c r="BR122" s="26"/>
      <c r="BS122" s="26"/>
      <c r="BT122" s="26"/>
      <c r="BU122" s="26"/>
      <c r="BV122" s="26"/>
      <c r="BW122" s="26"/>
      <c r="BX122" s="26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26"/>
      <c r="CP122" s="26"/>
      <c r="CQ122" s="26"/>
      <c r="CR122" s="26"/>
      <c r="CS122" s="26"/>
      <c r="CT122" s="26"/>
      <c r="CU122" s="26"/>
      <c r="CV122" s="26"/>
      <c r="CW122" s="26"/>
      <c r="CX122" s="26"/>
      <c r="CY122" s="26"/>
      <c r="CZ122" s="26"/>
    </row>
    <row r="123" spans="1:104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26"/>
      <c r="AP123" s="26"/>
      <c r="AQ123" s="26"/>
      <c r="AR123" s="26"/>
      <c r="AS123" s="26"/>
      <c r="AT123" s="26"/>
      <c r="AU123" s="26"/>
      <c r="AV123" s="26"/>
      <c r="AW123" s="26"/>
      <c r="AX123" s="26"/>
      <c r="AY123" s="26"/>
      <c r="AZ123" s="26"/>
      <c r="BA123" s="26"/>
      <c r="BB123" s="26"/>
      <c r="BC123" s="26"/>
      <c r="BD123" s="26"/>
      <c r="BE123" s="26"/>
      <c r="BF123" s="26"/>
      <c r="BG123" s="26"/>
      <c r="BH123" s="26"/>
      <c r="BI123" s="26"/>
      <c r="BJ123" s="26"/>
      <c r="BK123" s="26"/>
      <c r="BL123" s="26"/>
      <c r="BM123" s="26"/>
      <c r="BN123" s="26"/>
      <c r="BO123" s="26"/>
      <c r="BP123" s="26"/>
      <c r="BQ123" s="26"/>
      <c r="BR123" s="26"/>
      <c r="BS123" s="26"/>
      <c r="BT123" s="26"/>
      <c r="BU123" s="26"/>
      <c r="BV123" s="26"/>
      <c r="BW123" s="26"/>
      <c r="BX123" s="26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26"/>
      <c r="CP123" s="26"/>
      <c r="CQ123" s="26"/>
      <c r="CR123" s="26"/>
      <c r="CS123" s="26"/>
      <c r="CT123" s="26"/>
      <c r="CU123" s="26"/>
      <c r="CV123" s="26"/>
      <c r="CW123" s="26"/>
      <c r="CX123" s="26"/>
      <c r="CY123" s="26"/>
      <c r="CZ123" s="26"/>
    </row>
    <row r="124" spans="1:104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  <c r="AX124" s="26"/>
      <c r="AY124" s="26"/>
      <c r="AZ124" s="26"/>
      <c r="BA124" s="26"/>
      <c r="BB124" s="26"/>
      <c r="BC124" s="26"/>
      <c r="BD124" s="26"/>
      <c r="BE124" s="26"/>
      <c r="BF124" s="26"/>
      <c r="BG124" s="26"/>
      <c r="BH124" s="26"/>
      <c r="BI124" s="26"/>
      <c r="BJ124" s="26"/>
      <c r="BK124" s="26"/>
      <c r="BL124" s="26"/>
      <c r="BM124" s="26"/>
      <c r="BN124" s="26"/>
      <c r="BO124" s="26"/>
      <c r="BP124" s="26"/>
      <c r="BQ124" s="26"/>
      <c r="BR124" s="26"/>
      <c r="BS124" s="26"/>
      <c r="BT124" s="26"/>
      <c r="BU124" s="26"/>
      <c r="BV124" s="26"/>
      <c r="BW124" s="26"/>
      <c r="BX124" s="26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26"/>
      <c r="CP124" s="26"/>
      <c r="CQ124" s="26"/>
      <c r="CR124" s="26"/>
      <c r="CS124" s="26"/>
      <c r="CT124" s="26"/>
      <c r="CU124" s="26"/>
      <c r="CV124" s="26"/>
      <c r="CW124" s="26"/>
      <c r="CX124" s="26"/>
      <c r="CY124" s="26"/>
      <c r="CZ124" s="26"/>
    </row>
    <row r="125" spans="1:104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/>
      <c r="AW125" s="26"/>
      <c r="AX125" s="26"/>
      <c r="AY125" s="26"/>
      <c r="AZ125" s="26"/>
      <c r="BA125" s="26"/>
      <c r="BB125" s="26"/>
      <c r="BC125" s="26"/>
      <c r="BD125" s="26"/>
      <c r="BE125" s="26"/>
      <c r="BF125" s="26"/>
      <c r="BG125" s="26"/>
      <c r="BH125" s="26"/>
      <c r="BI125" s="26"/>
      <c r="BJ125" s="26"/>
      <c r="BK125" s="26"/>
      <c r="BL125" s="26"/>
      <c r="BM125" s="26"/>
      <c r="BN125" s="26"/>
      <c r="BO125" s="26"/>
      <c r="BP125" s="26"/>
      <c r="BQ125" s="26"/>
      <c r="BR125" s="26"/>
      <c r="BS125" s="26"/>
      <c r="BT125" s="26"/>
      <c r="BU125" s="26"/>
      <c r="BV125" s="26"/>
      <c r="BW125" s="26"/>
      <c r="BX125" s="26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26"/>
      <c r="CP125" s="26"/>
      <c r="CQ125" s="26"/>
      <c r="CR125" s="26"/>
      <c r="CS125" s="26"/>
      <c r="CT125" s="26"/>
      <c r="CU125" s="26"/>
      <c r="CV125" s="26"/>
      <c r="CW125" s="26"/>
      <c r="CX125" s="26"/>
      <c r="CY125" s="26"/>
      <c r="CZ125" s="26"/>
    </row>
    <row r="126" spans="1:104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  <c r="AW126" s="26"/>
      <c r="AX126" s="26"/>
      <c r="AY126" s="26"/>
      <c r="AZ126" s="26"/>
      <c r="BA126" s="26"/>
      <c r="BB126" s="26"/>
      <c r="BC126" s="26"/>
      <c r="BD126" s="26"/>
      <c r="BE126" s="26"/>
      <c r="BF126" s="26"/>
      <c r="BG126" s="26"/>
      <c r="BH126" s="26"/>
      <c r="BI126" s="26"/>
      <c r="BJ126" s="26"/>
      <c r="BK126" s="26"/>
      <c r="BL126" s="26"/>
      <c r="BM126" s="26"/>
      <c r="BN126" s="26"/>
      <c r="BO126" s="26"/>
      <c r="BP126" s="26"/>
      <c r="BQ126" s="26"/>
      <c r="BR126" s="26"/>
      <c r="BS126" s="26"/>
      <c r="BT126" s="26"/>
      <c r="BU126" s="26"/>
      <c r="BV126" s="26"/>
      <c r="BW126" s="26"/>
      <c r="BX126" s="26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26"/>
      <c r="CP126" s="26"/>
      <c r="CQ126" s="26"/>
      <c r="CR126" s="26"/>
      <c r="CS126" s="26"/>
      <c r="CT126" s="26"/>
      <c r="CU126" s="26"/>
      <c r="CV126" s="26"/>
      <c r="CW126" s="26"/>
      <c r="CX126" s="26"/>
      <c r="CY126" s="26"/>
      <c r="CZ126" s="26"/>
    </row>
    <row r="127" spans="1:104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  <c r="AW127" s="26"/>
      <c r="AX127" s="26"/>
      <c r="AY127" s="26"/>
      <c r="AZ127" s="26"/>
      <c r="BA127" s="26"/>
      <c r="BB127" s="26"/>
      <c r="BC127" s="26"/>
      <c r="BD127" s="26"/>
      <c r="BE127" s="26"/>
      <c r="BF127" s="26"/>
      <c r="BG127" s="26"/>
      <c r="BH127" s="26"/>
      <c r="BI127" s="26"/>
      <c r="BJ127" s="26"/>
      <c r="BK127" s="26"/>
      <c r="BL127" s="26"/>
      <c r="BM127" s="26"/>
      <c r="BN127" s="26"/>
      <c r="BO127" s="26"/>
      <c r="BP127" s="26"/>
      <c r="BQ127" s="26"/>
      <c r="BR127" s="26"/>
      <c r="BS127" s="26"/>
      <c r="BT127" s="26"/>
      <c r="BU127" s="26"/>
      <c r="BV127" s="26"/>
      <c r="BW127" s="26"/>
      <c r="BX127" s="26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26"/>
      <c r="CP127" s="26"/>
      <c r="CQ127" s="26"/>
      <c r="CR127" s="26"/>
      <c r="CS127" s="26"/>
      <c r="CT127" s="26"/>
      <c r="CU127" s="26"/>
      <c r="CV127" s="26"/>
      <c r="CW127" s="26"/>
      <c r="CX127" s="26"/>
      <c r="CY127" s="26"/>
      <c r="CZ127" s="26"/>
    </row>
    <row r="128" spans="1:104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6"/>
      <c r="AP128" s="26"/>
      <c r="AQ128" s="26"/>
      <c r="AR128" s="26"/>
      <c r="AS128" s="26"/>
      <c r="AT128" s="26"/>
      <c r="AU128" s="26"/>
      <c r="AV128" s="26"/>
      <c r="AW128" s="26"/>
      <c r="AX128" s="26"/>
      <c r="AY128" s="26"/>
      <c r="AZ128" s="26"/>
      <c r="BA128" s="26"/>
      <c r="BB128" s="26"/>
      <c r="BC128" s="26"/>
      <c r="BD128" s="26"/>
      <c r="BE128" s="26"/>
      <c r="BF128" s="26"/>
      <c r="BG128" s="26"/>
      <c r="BH128" s="26"/>
      <c r="BI128" s="26"/>
      <c r="BJ128" s="26"/>
      <c r="BK128" s="26"/>
      <c r="BL128" s="26"/>
      <c r="BM128" s="26"/>
      <c r="BN128" s="26"/>
      <c r="BO128" s="26"/>
      <c r="BP128" s="26"/>
      <c r="BQ128" s="26"/>
      <c r="BR128" s="26"/>
      <c r="BS128" s="26"/>
      <c r="BT128" s="26"/>
      <c r="BU128" s="26"/>
      <c r="BV128" s="26"/>
      <c r="BW128" s="26"/>
      <c r="BX128" s="26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26"/>
      <c r="CP128" s="26"/>
      <c r="CQ128" s="26"/>
      <c r="CR128" s="26"/>
      <c r="CS128" s="26"/>
      <c r="CT128" s="26"/>
      <c r="CU128" s="26"/>
      <c r="CV128" s="26"/>
      <c r="CW128" s="26"/>
      <c r="CX128" s="26"/>
      <c r="CY128" s="26"/>
      <c r="CZ128" s="26"/>
    </row>
    <row r="129" spans="1:104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6"/>
      <c r="AP129" s="26"/>
      <c r="AQ129" s="26"/>
      <c r="AR129" s="26"/>
      <c r="AS129" s="26"/>
      <c r="AT129" s="26"/>
      <c r="AU129" s="26"/>
      <c r="AV129" s="26"/>
      <c r="AW129" s="26"/>
      <c r="AX129" s="26"/>
      <c r="AY129" s="26"/>
      <c r="AZ129" s="26"/>
      <c r="BA129" s="26"/>
      <c r="BB129" s="26"/>
      <c r="BC129" s="26"/>
      <c r="BD129" s="26"/>
      <c r="BE129" s="26"/>
      <c r="BF129" s="26"/>
      <c r="BG129" s="26"/>
      <c r="BH129" s="26"/>
      <c r="BI129" s="26"/>
      <c r="BJ129" s="26"/>
      <c r="BK129" s="26"/>
      <c r="BL129" s="26"/>
      <c r="BM129" s="26"/>
      <c r="BN129" s="26"/>
      <c r="BO129" s="26"/>
      <c r="BP129" s="26"/>
      <c r="BQ129" s="26"/>
      <c r="BR129" s="26"/>
      <c r="BS129" s="26"/>
      <c r="BT129" s="26"/>
      <c r="BU129" s="26"/>
      <c r="BV129" s="26"/>
      <c r="BW129" s="26"/>
      <c r="BX129" s="26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26"/>
      <c r="CP129" s="26"/>
      <c r="CQ129" s="26"/>
      <c r="CR129" s="26"/>
      <c r="CS129" s="26"/>
      <c r="CT129" s="26"/>
      <c r="CU129" s="26"/>
      <c r="CV129" s="26"/>
      <c r="CW129" s="26"/>
      <c r="CX129" s="26"/>
      <c r="CY129" s="26"/>
      <c r="CZ129" s="26"/>
    </row>
    <row r="130" spans="1:104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26"/>
      <c r="AM130" s="26"/>
      <c r="AN130" s="26"/>
      <c r="AO130" s="26"/>
      <c r="AP130" s="26"/>
      <c r="AQ130" s="26"/>
      <c r="AR130" s="26"/>
      <c r="AS130" s="26"/>
      <c r="AT130" s="26"/>
      <c r="AU130" s="26"/>
      <c r="AV130" s="26"/>
      <c r="AW130" s="26"/>
      <c r="AX130" s="26"/>
      <c r="AY130" s="26"/>
      <c r="AZ130" s="26"/>
      <c r="BA130" s="26"/>
      <c r="BB130" s="26"/>
      <c r="BC130" s="26"/>
      <c r="BD130" s="26"/>
      <c r="BE130" s="26"/>
      <c r="BF130" s="26"/>
      <c r="BG130" s="26"/>
      <c r="BH130" s="26"/>
      <c r="BI130" s="26"/>
      <c r="BJ130" s="26"/>
      <c r="BK130" s="26"/>
      <c r="BL130" s="26"/>
      <c r="BM130" s="26"/>
      <c r="BN130" s="26"/>
      <c r="BO130" s="26"/>
      <c r="BP130" s="26"/>
      <c r="BQ130" s="26"/>
      <c r="BR130" s="26"/>
      <c r="BS130" s="26"/>
      <c r="BT130" s="26"/>
      <c r="BU130" s="26"/>
      <c r="BV130" s="26"/>
      <c r="BW130" s="26"/>
      <c r="BX130" s="26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26"/>
      <c r="CP130" s="26"/>
      <c r="CQ130" s="26"/>
      <c r="CR130" s="26"/>
      <c r="CS130" s="26"/>
      <c r="CT130" s="26"/>
      <c r="CU130" s="26"/>
      <c r="CV130" s="26"/>
      <c r="CW130" s="26"/>
      <c r="CX130" s="26"/>
      <c r="CY130" s="26"/>
      <c r="CZ130" s="26"/>
    </row>
    <row r="131" spans="1:104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26"/>
      <c r="AM131" s="26"/>
      <c r="AN131" s="26"/>
      <c r="AO131" s="26"/>
      <c r="AP131" s="26"/>
      <c r="AQ131" s="26"/>
      <c r="AR131" s="26"/>
      <c r="AS131" s="26"/>
      <c r="AT131" s="26"/>
      <c r="AU131" s="26"/>
      <c r="AV131" s="26"/>
      <c r="AW131" s="26"/>
      <c r="AX131" s="26"/>
      <c r="AY131" s="26"/>
      <c r="AZ131" s="26"/>
      <c r="BA131" s="26"/>
      <c r="BB131" s="26"/>
      <c r="BC131" s="26"/>
      <c r="BD131" s="26"/>
      <c r="BE131" s="26"/>
      <c r="BF131" s="26"/>
      <c r="BG131" s="26"/>
      <c r="BH131" s="26"/>
      <c r="BI131" s="26"/>
      <c r="BJ131" s="26"/>
      <c r="BK131" s="26"/>
      <c r="BL131" s="26"/>
      <c r="BM131" s="26"/>
      <c r="BN131" s="26"/>
      <c r="BO131" s="26"/>
      <c r="BP131" s="26"/>
      <c r="BQ131" s="26"/>
      <c r="BR131" s="26"/>
      <c r="BS131" s="26"/>
      <c r="BT131" s="26"/>
      <c r="BU131" s="26"/>
      <c r="BV131" s="26"/>
      <c r="BW131" s="26"/>
      <c r="BX131" s="26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26"/>
      <c r="CP131" s="26"/>
      <c r="CQ131" s="26"/>
      <c r="CR131" s="26"/>
      <c r="CS131" s="26"/>
      <c r="CT131" s="26"/>
      <c r="CU131" s="26"/>
      <c r="CV131" s="26"/>
      <c r="CW131" s="26"/>
      <c r="CX131" s="26"/>
      <c r="CY131" s="26"/>
      <c r="CZ131" s="26"/>
    </row>
    <row r="132" spans="1:104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26"/>
      <c r="AU132" s="26"/>
      <c r="AV132" s="26"/>
      <c r="AW132" s="26"/>
      <c r="AX132" s="26"/>
      <c r="AY132" s="26"/>
      <c r="AZ132" s="26"/>
      <c r="BA132" s="26"/>
      <c r="BB132" s="26"/>
      <c r="BC132" s="26"/>
      <c r="BD132" s="26"/>
      <c r="BE132" s="26"/>
      <c r="BF132" s="26"/>
      <c r="BG132" s="26"/>
      <c r="BH132" s="26"/>
      <c r="BI132" s="26"/>
      <c r="BJ132" s="26"/>
      <c r="BK132" s="26"/>
      <c r="BL132" s="26"/>
      <c r="BM132" s="26"/>
      <c r="BN132" s="26"/>
      <c r="BO132" s="26"/>
      <c r="BP132" s="26"/>
      <c r="BQ132" s="26"/>
      <c r="BR132" s="26"/>
      <c r="BS132" s="26"/>
      <c r="BT132" s="26"/>
      <c r="BU132" s="26"/>
      <c r="BV132" s="26"/>
      <c r="BW132" s="26"/>
      <c r="BX132" s="26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26"/>
      <c r="CP132" s="26"/>
      <c r="CQ132" s="26"/>
      <c r="CR132" s="26"/>
      <c r="CS132" s="26"/>
      <c r="CT132" s="26"/>
      <c r="CU132" s="26"/>
      <c r="CV132" s="26"/>
      <c r="CW132" s="26"/>
      <c r="CX132" s="26"/>
      <c r="CY132" s="26"/>
      <c r="CZ132" s="26"/>
    </row>
    <row r="133" spans="1:104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AW133" s="26"/>
      <c r="AX133" s="26"/>
      <c r="AY133" s="26"/>
      <c r="AZ133" s="26"/>
      <c r="BA133" s="26"/>
      <c r="BB133" s="26"/>
      <c r="BC133" s="26"/>
      <c r="BD133" s="26"/>
      <c r="BE133" s="26"/>
      <c r="BF133" s="26"/>
      <c r="BG133" s="26"/>
      <c r="BH133" s="26"/>
      <c r="BI133" s="26"/>
      <c r="BJ133" s="26"/>
      <c r="BK133" s="26"/>
      <c r="BL133" s="26"/>
      <c r="BM133" s="26"/>
      <c r="BN133" s="26"/>
      <c r="BO133" s="26"/>
      <c r="BP133" s="26"/>
      <c r="BQ133" s="26"/>
      <c r="BR133" s="26"/>
      <c r="BS133" s="26"/>
      <c r="BT133" s="26"/>
      <c r="BU133" s="26"/>
      <c r="BV133" s="26"/>
      <c r="BW133" s="26"/>
      <c r="BX133" s="26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26"/>
      <c r="CP133" s="26"/>
      <c r="CQ133" s="26"/>
      <c r="CR133" s="26"/>
      <c r="CS133" s="26"/>
      <c r="CT133" s="26"/>
      <c r="CU133" s="26"/>
      <c r="CV133" s="26"/>
      <c r="CW133" s="26"/>
      <c r="CX133" s="26"/>
      <c r="CY133" s="26"/>
      <c r="CZ133" s="26"/>
    </row>
    <row r="134" spans="1:104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  <c r="AW134" s="26"/>
      <c r="AX134" s="26"/>
      <c r="AY134" s="26"/>
      <c r="AZ134" s="26"/>
      <c r="BA134" s="26"/>
      <c r="BB134" s="26"/>
      <c r="BC134" s="26"/>
      <c r="BD134" s="26"/>
      <c r="BE134" s="26"/>
      <c r="BF134" s="26"/>
      <c r="BG134" s="26"/>
      <c r="BH134" s="26"/>
      <c r="BI134" s="26"/>
      <c r="BJ134" s="26"/>
      <c r="BK134" s="26"/>
      <c r="BL134" s="26"/>
      <c r="BM134" s="26"/>
      <c r="BN134" s="26"/>
      <c r="BO134" s="26"/>
      <c r="BP134" s="26"/>
      <c r="BQ134" s="26"/>
      <c r="BR134" s="26"/>
      <c r="BS134" s="26"/>
      <c r="BT134" s="26"/>
      <c r="BU134" s="26"/>
      <c r="BV134" s="26"/>
      <c r="BW134" s="26"/>
      <c r="BX134" s="26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26"/>
      <c r="CP134" s="26"/>
      <c r="CQ134" s="26"/>
      <c r="CR134" s="26"/>
      <c r="CS134" s="26"/>
      <c r="CT134" s="26"/>
      <c r="CU134" s="26"/>
      <c r="CV134" s="26"/>
      <c r="CW134" s="26"/>
      <c r="CX134" s="26"/>
      <c r="CY134" s="26"/>
      <c r="CZ134" s="26"/>
    </row>
    <row r="135" spans="1:104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  <c r="AX135" s="26"/>
      <c r="AY135" s="26"/>
      <c r="AZ135" s="26"/>
      <c r="BA135" s="26"/>
      <c r="BB135" s="26"/>
      <c r="BC135" s="26"/>
      <c r="BD135" s="26"/>
      <c r="BE135" s="26"/>
      <c r="BF135" s="26"/>
      <c r="BG135" s="26"/>
      <c r="BH135" s="26"/>
      <c r="BI135" s="26"/>
      <c r="BJ135" s="26"/>
      <c r="BK135" s="26"/>
      <c r="BL135" s="26"/>
      <c r="BM135" s="26"/>
      <c r="BN135" s="26"/>
      <c r="BO135" s="26"/>
      <c r="BP135" s="26"/>
      <c r="BQ135" s="26"/>
      <c r="BR135" s="26"/>
      <c r="BS135" s="26"/>
      <c r="BT135" s="26"/>
      <c r="BU135" s="26"/>
      <c r="BV135" s="26"/>
      <c r="BW135" s="26"/>
      <c r="BX135" s="26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26"/>
      <c r="CP135" s="26"/>
      <c r="CQ135" s="26"/>
      <c r="CR135" s="26"/>
      <c r="CS135" s="26"/>
      <c r="CT135" s="26"/>
      <c r="CU135" s="26"/>
      <c r="CV135" s="26"/>
      <c r="CW135" s="26"/>
      <c r="CX135" s="26"/>
      <c r="CY135" s="26"/>
      <c r="CZ135" s="26"/>
    </row>
    <row r="136" spans="1:104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26"/>
      <c r="AM136" s="26"/>
      <c r="AN136" s="26"/>
      <c r="AO136" s="26"/>
      <c r="AP136" s="26"/>
      <c r="AQ136" s="26"/>
      <c r="AR136" s="26"/>
      <c r="AS136" s="26"/>
      <c r="AT136" s="26"/>
      <c r="AU136" s="26"/>
      <c r="AV136" s="26"/>
      <c r="AW136" s="26"/>
      <c r="AX136" s="26"/>
      <c r="AY136" s="26"/>
      <c r="AZ136" s="26"/>
      <c r="BA136" s="26"/>
      <c r="BB136" s="26"/>
      <c r="BC136" s="26"/>
      <c r="BD136" s="26"/>
      <c r="BE136" s="26"/>
      <c r="BF136" s="26"/>
      <c r="BG136" s="26"/>
      <c r="BH136" s="26"/>
      <c r="BI136" s="26"/>
      <c r="BJ136" s="26"/>
      <c r="BK136" s="26"/>
      <c r="BL136" s="26"/>
      <c r="BM136" s="26"/>
      <c r="BN136" s="26"/>
      <c r="BO136" s="26"/>
      <c r="BP136" s="26"/>
      <c r="BQ136" s="26"/>
      <c r="BR136" s="26"/>
      <c r="BS136" s="26"/>
      <c r="BT136" s="26"/>
      <c r="BU136" s="26"/>
      <c r="BV136" s="26"/>
      <c r="BW136" s="26"/>
      <c r="BX136" s="26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26"/>
      <c r="CP136" s="26"/>
      <c r="CQ136" s="26"/>
      <c r="CR136" s="26"/>
      <c r="CS136" s="26"/>
      <c r="CT136" s="26"/>
      <c r="CU136" s="26"/>
      <c r="CV136" s="26"/>
      <c r="CW136" s="26"/>
      <c r="CX136" s="26"/>
      <c r="CY136" s="26"/>
      <c r="CZ136" s="26"/>
    </row>
    <row r="137" spans="1:104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6"/>
      <c r="AM137" s="26"/>
      <c r="AN137" s="26"/>
      <c r="AO137" s="26"/>
      <c r="AP137" s="26"/>
      <c r="AQ137" s="26"/>
      <c r="AR137" s="26"/>
      <c r="AS137" s="26"/>
      <c r="AT137" s="26"/>
      <c r="AU137" s="26"/>
      <c r="AV137" s="26"/>
      <c r="AW137" s="26"/>
      <c r="AX137" s="26"/>
      <c r="AY137" s="26"/>
      <c r="AZ137" s="26"/>
      <c r="BA137" s="26"/>
      <c r="BB137" s="26"/>
      <c r="BC137" s="26"/>
      <c r="BD137" s="26"/>
      <c r="BE137" s="26"/>
      <c r="BF137" s="26"/>
      <c r="BG137" s="26"/>
      <c r="BH137" s="26"/>
      <c r="BI137" s="26"/>
      <c r="BJ137" s="26"/>
      <c r="BK137" s="26"/>
      <c r="BL137" s="26"/>
      <c r="BM137" s="26"/>
      <c r="BN137" s="26"/>
      <c r="BO137" s="26"/>
      <c r="BP137" s="26"/>
      <c r="BQ137" s="26"/>
      <c r="BR137" s="26"/>
      <c r="BS137" s="26"/>
      <c r="BT137" s="26"/>
      <c r="BU137" s="26"/>
      <c r="BV137" s="26"/>
      <c r="BW137" s="26"/>
      <c r="BX137" s="26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26"/>
      <c r="CP137" s="26"/>
      <c r="CQ137" s="26"/>
      <c r="CR137" s="26"/>
      <c r="CS137" s="26"/>
      <c r="CT137" s="26"/>
      <c r="CU137" s="26"/>
      <c r="CV137" s="26"/>
      <c r="CW137" s="26"/>
      <c r="CX137" s="26"/>
      <c r="CY137" s="26"/>
      <c r="CZ137" s="26"/>
    </row>
    <row r="138" spans="1:104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6"/>
      <c r="AM138" s="26"/>
      <c r="AN138" s="26"/>
      <c r="AO138" s="26"/>
      <c r="AP138" s="26"/>
      <c r="AQ138" s="26"/>
      <c r="AR138" s="26"/>
      <c r="AS138" s="26"/>
      <c r="AT138" s="26"/>
      <c r="AU138" s="26"/>
      <c r="AV138" s="26"/>
      <c r="AW138" s="26"/>
      <c r="AX138" s="26"/>
      <c r="AY138" s="26"/>
      <c r="AZ138" s="26"/>
      <c r="BA138" s="26"/>
      <c r="BB138" s="26"/>
      <c r="BC138" s="26"/>
      <c r="BD138" s="26"/>
      <c r="BE138" s="26"/>
      <c r="BF138" s="26"/>
      <c r="BG138" s="26"/>
      <c r="BH138" s="26"/>
      <c r="BI138" s="26"/>
      <c r="BJ138" s="26"/>
      <c r="BK138" s="26"/>
      <c r="BL138" s="26"/>
      <c r="BM138" s="26"/>
      <c r="BN138" s="26"/>
      <c r="BO138" s="26"/>
      <c r="BP138" s="26"/>
      <c r="BQ138" s="26"/>
      <c r="BR138" s="26"/>
      <c r="BS138" s="26"/>
      <c r="BT138" s="26"/>
      <c r="BU138" s="26"/>
      <c r="BV138" s="26"/>
      <c r="BW138" s="26"/>
      <c r="BX138" s="26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26"/>
      <c r="CP138" s="26"/>
      <c r="CQ138" s="26"/>
      <c r="CR138" s="26"/>
      <c r="CS138" s="26"/>
      <c r="CT138" s="26"/>
      <c r="CU138" s="26"/>
      <c r="CV138" s="26"/>
      <c r="CW138" s="26"/>
      <c r="CX138" s="26"/>
      <c r="CY138" s="26"/>
      <c r="CZ138" s="26"/>
    </row>
    <row r="139" spans="1:104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  <c r="BC139" s="26"/>
      <c r="BD139" s="26"/>
      <c r="BE139" s="26"/>
      <c r="BF139" s="26"/>
      <c r="BG139" s="26"/>
      <c r="BH139" s="26"/>
      <c r="BI139" s="26"/>
      <c r="BJ139" s="26"/>
      <c r="BK139" s="26"/>
      <c r="BL139" s="26"/>
      <c r="BM139" s="26"/>
      <c r="BN139" s="26"/>
      <c r="BO139" s="26"/>
      <c r="BP139" s="26"/>
      <c r="BQ139" s="26"/>
      <c r="BR139" s="26"/>
      <c r="BS139" s="26"/>
      <c r="BT139" s="26"/>
      <c r="BU139" s="26"/>
      <c r="BV139" s="26"/>
      <c r="BW139" s="26"/>
      <c r="BX139" s="26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26"/>
      <c r="CP139" s="26"/>
      <c r="CQ139" s="26"/>
      <c r="CR139" s="26"/>
      <c r="CS139" s="26"/>
      <c r="CT139" s="26"/>
      <c r="CU139" s="26"/>
      <c r="CV139" s="26"/>
      <c r="CW139" s="26"/>
      <c r="CX139" s="26"/>
      <c r="CY139" s="26"/>
      <c r="CZ139" s="26"/>
    </row>
    <row r="140" spans="1:104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  <c r="AX140" s="26"/>
      <c r="AY140" s="26"/>
      <c r="AZ140" s="26"/>
      <c r="BA140" s="26"/>
      <c r="BB140" s="26"/>
      <c r="BC140" s="26"/>
      <c r="BD140" s="26"/>
      <c r="BE140" s="26"/>
      <c r="BF140" s="26"/>
      <c r="BG140" s="26"/>
      <c r="BH140" s="26"/>
      <c r="BI140" s="26"/>
      <c r="BJ140" s="26"/>
      <c r="BK140" s="26"/>
      <c r="BL140" s="26"/>
      <c r="BM140" s="26"/>
      <c r="BN140" s="26"/>
      <c r="BO140" s="26"/>
      <c r="BP140" s="26"/>
      <c r="BQ140" s="26"/>
      <c r="BR140" s="26"/>
      <c r="BS140" s="26"/>
      <c r="BT140" s="26"/>
      <c r="BU140" s="26"/>
      <c r="BV140" s="26"/>
      <c r="BW140" s="26"/>
      <c r="BX140" s="26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26"/>
      <c r="CP140" s="26"/>
      <c r="CQ140" s="26"/>
      <c r="CR140" s="26"/>
      <c r="CS140" s="26"/>
      <c r="CT140" s="26"/>
      <c r="CU140" s="26"/>
      <c r="CV140" s="26"/>
      <c r="CW140" s="26"/>
      <c r="CX140" s="26"/>
      <c r="CY140" s="26"/>
      <c r="CZ140" s="26"/>
    </row>
    <row r="141" spans="1:104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  <c r="AU141" s="26"/>
      <c r="AV141" s="26"/>
      <c r="AW141" s="26"/>
      <c r="AX141" s="26"/>
      <c r="AY141" s="26"/>
      <c r="AZ141" s="26"/>
      <c r="BA141" s="26"/>
      <c r="BB141" s="26"/>
      <c r="BC141" s="26"/>
      <c r="BD141" s="26"/>
      <c r="BE141" s="26"/>
      <c r="BF141" s="26"/>
      <c r="BG141" s="26"/>
      <c r="BH141" s="26"/>
      <c r="BI141" s="26"/>
      <c r="BJ141" s="26"/>
      <c r="BK141" s="26"/>
      <c r="BL141" s="26"/>
      <c r="BM141" s="26"/>
      <c r="BN141" s="26"/>
      <c r="BO141" s="26"/>
      <c r="BP141" s="26"/>
      <c r="BQ141" s="26"/>
      <c r="BR141" s="26"/>
      <c r="BS141" s="26"/>
      <c r="BT141" s="26"/>
      <c r="BU141" s="26"/>
      <c r="BV141" s="26"/>
      <c r="BW141" s="26"/>
      <c r="BX141" s="26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26"/>
      <c r="CP141" s="26"/>
      <c r="CQ141" s="26"/>
      <c r="CR141" s="26"/>
      <c r="CS141" s="26"/>
      <c r="CT141" s="26"/>
      <c r="CU141" s="26"/>
      <c r="CV141" s="26"/>
      <c r="CW141" s="26"/>
      <c r="CX141" s="26"/>
      <c r="CY141" s="26"/>
      <c r="CZ141" s="26"/>
    </row>
    <row r="142" spans="1:104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26"/>
      <c r="AU142" s="26"/>
      <c r="AV142" s="26"/>
      <c r="AW142" s="26"/>
      <c r="AX142" s="26"/>
      <c r="AY142" s="26"/>
      <c r="AZ142" s="26"/>
      <c r="BA142" s="26"/>
      <c r="BB142" s="26"/>
      <c r="BC142" s="26"/>
      <c r="BD142" s="26"/>
      <c r="BE142" s="26"/>
      <c r="BF142" s="26"/>
      <c r="BG142" s="26"/>
      <c r="BH142" s="26"/>
      <c r="BI142" s="26"/>
      <c r="BJ142" s="26"/>
      <c r="BK142" s="26"/>
      <c r="BL142" s="26"/>
      <c r="BM142" s="26"/>
      <c r="BN142" s="26"/>
      <c r="BO142" s="26"/>
      <c r="BP142" s="26"/>
      <c r="BQ142" s="26"/>
      <c r="BR142" s="26"/>
      <c r="BS142" s="26"/>
      <c r="BT142" s="26"/>
      <c r="BU142" s="26"/>
      <c r="BV142" s="26"/>
      <c r="BW142" s="26"/>
      <c r="BX142" s="26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26"/>
      <c r="CP142" s="26"/>
      <c r="CQ142" s="26"/>
      <c r="CR142" s="26"/>
      <c r="CS142" s="26"/>
      <c r="CT142" s="26"/>
      <c r="CU142" s="26"/>
      <c r="CV142" s="26"/>
      <c r="CW142" s="26"/>
      <c r="CX142" s="26"/>
      <c r="CY142" s="26"/>
      <c r="CZ142" s="26"/>
    </row>
    <row r="143" spans="1:104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6"/>
      <c r="AP143" s="26"/>
      <c r="AQ143" s="26"/>
      <c r="AR143" s="26"/>
      <c r="AS143" s="26"/>
      <c r="AT143" s="26"/>
      <c r="AU143" s="26"/>
      <c r="AV143" s="26"/>
      <c r="AW143" s="26"/>
      <c r="AX143" s="26"/>
      <c r="AY143" s="26"/>
      <c r="AZ143" s="26"/>
      <c r="BA143" s="26"/>
      <c r="BB143" s="26"/>
      <c r="BC143" s="26"/>
      <c r="BD143" s="26"/>
      <c r="BE143" s="26"/>
      <c r="BF143" s="26"/>
      <c r="BG143" s="26"/>
      <c r="BH143" s="26"/>
      <c r="BI143" s="26"/>
      <c r="BJ143" s="26"/>
      <c r="BK143" s="26"/>
      <c r="BL143" s="26"/>
      <c r="BM143" s="26"/>
      <c r="BN143" s="26"/>
      <c r="BO143" s="26"/>
      <c r="BP143" s="26"/>
      <c r="BQ143" s="26"/>
      <c r="BR143" s="26"/>
      <c r="BS143" s="26"/>
      <c r="BT143" s="26"/>
      <c r="BU143" s="26"/>
      <c r="BV143" s="26"/>
      <c r="BW143" s="26"/>
      <c r="BX143" s="26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26"/>
      <c r="CP143" s="26"/>
      <c r="CQ143" s="26"/>
      <c r="CR143" s="26"/>
      <c r="CS143" s="26"/>
      <c r="CT143" s="26"/>
      <c r="CU143" s="26"/>
      <c r="CV143" s="26"/>
      <c r="CW143" s="26"/>
      <c r="CX143" s="26"/>
      <c r="CY143" s="26"/>
      <c r="CZ143" s="26"/>
    </row>
    <row r="144" spans="1:104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6"/>
      <c r="AM144" s="26"/>
      <c r="AN144" s="26"/>
      <c r="AO144" s="26"/>
      <c r="AP144" s="26"/>
      <c r="AQ144" s="26"/>
      <c r="AR144" s="26"/>
      <c r="AS144" s="26"/>
      <c r="AT144" s="26"/>
      <c r="AU144" s="26"/>
      <c r="AV144" s="26"/>
      <c r="AW144" s="26"/>
      <c r="AX144" s="26"/>
      <c r="AY144" s="26"/>
      <c r="AZ144" s="26"/>
      <c r="BA144" s="26"/>
      <c r="BB144" s="26"/>
      <c r="BC144" s="26"/>
      <c r="BD144" s="26"/>
      <c r="BE144" s="26"/>
      <c r="BF144" s="26"/>
      <c r="BG144" s="26"/>
      <c r="BH144" s="26"/>
      <c r="BI144" s="26"/>
      <c r="BJ144" s="26"/>
      <c r="BK144" s="26"/>
      <c r="BL144" s="26"/>
      <c r="BM144" s="26"/>
      <c r="BN144" s="26"/>
      <c r="BO144" s="26"/>
      <c r="BP144" s="26"/>
      <c r="BQ144" s="26"/>
      <c r="BR144" s="26"/>
      <c r="BS144" s="26"/>
      <c r="BT144" s="26"/>
      <c r="BU144" s="26"/>
      <c r="BV144" s="26"/>
      <c r="BW144" s="26"/>
      <c r="BX144" s="26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26"/>
      <c r="CP144" s="26"/>
      <c r="CQ144" s="26"/>
      <c r="CR144" s="26"/>
      <c r="CS144" s="26"/>
      <c r="CT144" s="26"/>
      <c r="CU144" s="26"/>
      <c r="CV144" s="26"/>
      <c r="CW144" s="26"/>
      <c r="CX144" s="26"/>
      <c r="CY144" s="26"/>
      <c r="CZ144" s="26"/>
    </row>
    <row r="145" spans="1:104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26"/>
      <c r="AP145" s="26"/>
      <c r="AQ145" s="26"/>
      <c r="AR145" s="26"/>
      <c r="AS145" s="26"/>
      <c r="AT145" s="26"/>
      <c r="AU145" s="26"/>
      <c r="AV145" s="26"/>
      <c r="AW145" s="26"/>
      <c r="AX145" s="26"/>
      <c r="AY145" s="26"/>
      <c r="AZ145" s="26"/>
      <c r="BA145" s="26"/>
      <c r="BB145" s="26"/>
      <c r="BC145" s="26"/>
      <c r="BD145" s="26"/>
      <c r="BE145" s="26"/>
      <c r="BF145" s="26"/>
      <c r="BG145" s="26"/>
      <c r="BH145" s="26"/>
      <c r="BI145" s="26"/>
      <c r="BJ145" s="26"/>
      <c r="BK145" s="26"/>
      <c r="BL145" s="26"/>
      <c r="BM145" s="26"/>
      <c r="BN145" s="26"/>
      <c r="BO145" s="26"/>
      <c r="BP145" s="26"/>
      <c r="BQ145" s="26"/>
      <c r="BR145" s="26"/>
      <c r="BS145" s="26"/>
      <c r="BT145" s="26"/>
      <c r="BU145" s="26"/>
      <c r="BV145" s="26"/>
      <c r="BW145" s="26"/>
      <c r="BX145" s="26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26"/>
      <c r="CP145" s="26"/>
      <c r="CQ145" s="26"/>
      <c r="CR145" s="26"/>
      <c r="CS145" s="26"/>
      <c r="CT145" s="26"/>
      <c r="CU145" s="26"/>
      <c r="CV145" s="26"/>
      <c r="CW145" s="26"/>
      <c r="CX145" s="26"/>
      <c r="CY145" s="26"/>
      <c r="CZ145" s="26"/>
    </row>
    <row r="146" spans="1:104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6"/>
      <c r="AM146" s="26"/>
      <c r="AN146" s="26"/>
      <c r="AO146" s="26"/>
      <c r="AP146" s="26"/>
      <c r="AQ146" s="26"/>
      <c r="AR146" s="26"/>
      <c r="AS146" s="26"/>
      <c r="AT146" s="26"/>
      <c r="AU146" s="26"/>
      <c r="AV146" s="26"/>
      <c r="AW146" s="26"/>
      <c r="AX146" s="26"/>
      <c r="AY146" s="26"/>
      <c r="AZ146" s="26"/>
      <c r="BA146" s="26"/>
      <c r="BB146" s="26"/>
      <c r="BC146" s="26"/>
      <c r="BD146" s="26"/>
      <c r="BE146" s="26"/>
      <c r="BF146" s="26"/>
      <c r="BG146" s="26"/>
      <c r="BH146" s="26"/>
      <c r="BI146" s="26"/>
      <c r="BJ146" s="26"/>
      <c r="BK146" s="26"/>
      <c r="BL146" s="26"/>
      <c r="BM146" s="26"/>
      <c r="BN146" s="26"/>
      <c r="BO146" s="26"/>
      <c r="BP146" s="26"/>
      <c r="BQ146" s="26"/>
      <c r="BR146" s="26"/>
      <c r="BS146" s="26"/>
      <c r="BT146" s="26"/>
      <c r="BU146" s="26"/>
      <c r="BV146" s="26"/>
      <c r="BW146" s="26"/>
      <c r="BX146" s="26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26"/>
      <c r="CP146" s="26"/>
      <c r="CQ146" s="26"/>
      <c r="CR146" s="26"/>
      <c r="CS146" s="26"/>
      <c r="CT146" s="26"/>
      <c r="CU146" s="26"/>
      <c r="CV146" s="26"/>
      <c r="CW146" s="26"/>
      <c r="CX146" s="26"/>
      <c r="CY146" s="26"/>
      <c r="CZ146" s="26"/>
    </row>
    <row r="147" spans="1:104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6"/>
      <c r="AP147" s="26"/>
      <c r="AQ147" s="26"/>
      <c r="AR147" s="26"/>
      <c r="AS147" s="26"/>
      <c r="AT147" s="26"/>
      <c r="AU147" s="26"/>
      <c r="AV147" s="26"/>
      <c r="AW147" s="26"/>
      <c r="AX147" s="26"/>
      <c r="AY147" s="26"/>
      <c r="AZ147" s="26"/>
      <c r="BA147" s="26"/>
      <c r="BB147" s="26"/>
      <c r="BC147" s="26"/>
      <c r="BD147" s="26"/>
      <c r="BE147" s="26"/>
      <c r="BF147" s="26"/>
      <c r="BG147" s="26"/>
      <c r="BH147" s="26"/>
      <c r="BI147" s="26"/>
      <c r="BJ147" s="26"/>
      <c r="BK147" s="26"/>
      <c r="BL147" s="26"/>
      <c r="BM147" s="26"/>
      <c r="BN147" s="26"/>
      <c r="BO147" s="26"/>
      <c r="BP147" s="26"/>
      <c r="BQ147" s="26"/>
      <c r="BR147" s="26"/>
      <c r="BS147" s="26"/>
      <c r="BT147" s="26"/>
      <c r="BU147" s="26"/>
      <c r="BV147" s="26"/>
      <c r="BW147" s="26"/>
      <c r="BX147" s="26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26"/>
      <c r="CP147" s="26"/>
      <c r="CQ147" s="26"/>
      <c r="CR147" s="26"/>
      <c r="CS147" s="26"/>
      <c r="CT147" s="26"/>
      <c r="CU147" s="26"/>
      <c r="CV147" s="26"/>
      <c r="CW147" s="26"/>
      <c r="CX147" s="26"/>
      <c r="CY147" s="26"/>
      <c r="CZ147" s="26"/>
    </row>
    <row r="148" spans="1:104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6"/>
      <c r="AP148" s="26"/>
      <c r="AQ148" s="26"/>
      <c r="AR148" s="26"/>
      <c r="AS148" s="26"/>
      <c r="AT148" s="26"/>
      <c r="AU148" s="26"/>
      <c r="AV148" s="26"/>
      <c r="AW148" s="26"/>
      <c r="AX148" s="26"/>
      <c r="AY148" s="26"/>
      <c r="AZ148" s="26"/>
      <c r="BA148" s="26"/>
      <c r="BB148" s="26"/>
      <c r="BC148" s="26"/>
      <c r="BD148" s="26"/>
      <c r="BE148" s="26"/>
      <c r="BF148" s="26"/>
      <c r="BG148" s="26"/>
      <c r="BH148" s="26"/>
      <c r="BI148" s="26"/>
      <c r="BJ148" s="26"/>
      <c r="BK148" s="26"/>
      <c r="BL148" s="26"/>
      <c r="BM148" s="26"/>
      <c r="BN148" s="26"/>
      <c r="BO148" s="26"/>
      <c r="BP148" s="26"/>
      <c r="BQ148" s="26"/>
      <c r="BR148" s="26"/>
      <c r="BS148" s="26"/>
      <c r="BT148" s="26"/>
      <c r="BU148" s="26"/>
      <c r="BV148" s="26"/>
      <c r="BW148" s="26"/>
      <c r="BX148" s="26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26"/>
      <c r="CP148" s="26"/>
      <c r="CQ148" s="26"/>
      <c r="CR148" s="26"/>
      <c r="CS148" s="26"/>
      <c r="CT148" s="26"/>
      <c r="CU148" s="26"/>
      <c r="CV148" s="26"/>
      <c r="CW148" s="26"/>
      <c r="CX148" s="26"/>
      <c r="CY148" s="26"/>
      <c r="CZ148" s="26"/>
    </row>
    <row r="149" spans="1:104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6"/>
      <c r="AP149" s="26"/>
      <c r="AQ149" s="26"/>
      <c r="AR149" s="26"/>
      <c r="AS149" s="26"/>
      <c r="AT149" s="26"/>
      <c r="AU149" s="26"/>
      <c r="AV149" s="26"/>
      <c r="AW149" s="26"/>
      <c r="AX149" s="26"/>
      <c r="AY149" s="26"/>
      <c r="AZ149" s="26"/>
      <c r="BA149" s="26"/>
      <c r="BB149" s="26"/>
      <c r="BC149" s="26"/>
      <c r="BD149" s="26"/>
      <c r="BE149" s="26"/>
      <c r="BF149" s="26"/>
      <c r="BG149" s="26"/>
      <c r="BH149" s="26"/>
      <c r="BI149" s="26"/>
      <c r="BJ149" s="26"/>
      <c r="BK149" s="26"/>
      <c r="BL149" s="26"/>
      <c r="BM149" s="26"/>
      <c r="BN149" s="26"/>
      <c r="BO149" s="26"/>
      <c r="BP149" s="26"/>
      <c r="BQ149" s="26"/>
      <c r="BR149" s="26"/>
      <c r="BS149" s="26"/>
      <c r="BT149" s="26"/>
      <c r="BU149" s="26"/>
      <c r="BV149" s="26"/>
      <c r="BW149" s="26"/>
      <c r="BX149" s="26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26"/>
      <c r="CP149" s="26"/>
      <c r="CQ149" s="26"/>
      <c r="CR149" s="26"/>
      <c r="CS149" s="26"/>
      <c r="CT149" s="26"/>
      <c r="CU149" s="26"/>
      <c r="CV149" s="26"/>
      <c r="CW149" s="26"/>
      <c r="CX149" s="26"/>
      <c r="CY149" s="26"/>
      <c r="CZ149" s="26"/>
    </row>
    <row r="150" spans="1:104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6"/>
      <c r="AP150" s="26"/>
      <c r="AQ150" s="26"/>
      <c r="AR150" s="26"/>
      <c r="AS150" s="26"/>
      <c r="AT150" s="26"/>
      <c r="AU150" s="26"/>
      <c r="AV150" s="26"/>
      <c r="AW150" s="26"/>
      <c r="AX150" s="26"/>
      <c r="AY150" s="26"/>
      <c r="AZ150" s="26"/>
      <c r="BA150" s="26"/>
      <c r="BB150" s="26"/>
      <c r="BC150" s="26"/>
      <c r="BD150" s="26"/>
      <c r="BE150" s="26"/>
      <c r="BF150" s="26"/>
      <c r="BG150" s="26"/>
      <c r="BH150" s="26"/>
      <c r="BI150" s="26"/>
      <c r="BJ150" s="26"/>
      <c r="BK150" s="26"/>
      <c r="BL150" s="26"/>
      <c r="BM150" s="26"/>
      <c r="BN150" s="26"/>
      <c r="BO150" s="26"/>
      <c r="BP150" s="26"/>
      <c r="BQ150" s="26"/>
      <c r="BR150" s="26"/>
      <c r="BS150" s="26"/>
      <c r="BT150" s="26"/>
      <c r="BU150" s="26"/>
      <c r="BV150" s="26"/>
      <c r="BW150" s="26"/>
      <c r="BX150" s="26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26"/>
      <c r="CP150" s="26"/>
      <c r="CQ150" s="26"/>
      <c r="CR150" s="26"/>
      <c r="CS150" s="26"/>
      <c r="CT150" s="26"/>
      <c r="CU150" s="26"/>
      <c r="CV150" s="26"/>
      <c r="CW150" s="26"/>
      <c r="CX150" s="26"/>
      <c r="CY150" s="26"/>
      <c r="CZ150" s="26"/>
    </row>
    <row r="151" spans="1:104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6"/>
      <c r="AM151" s="26"/>
      <c r="AN151" s="26"/>
      <c r="AO151" s="26"/>
      <c r="AP151" s="26"/>
      <c r="AQ151" s="26"/>
      <c r="AR151" s="26"/>
      <c r="AS151" s="26"/>
      <c r="AT151" s="26"/>
      <c r="AU151" s="26"/>
      <c r="AV151" s="26"/>
      <c r="AW151" s="26"/>
      <c r="AX151" s="26"/>
      <c r="AY151" s="26"/>
      <c r="AZ151" s="26"/>
      <c r="BA151" s="26"/>
      <c r="BB151" s="26"/>
      <c r="BC151" s="26"/>
      <c r="BD151" s="26"/>
      <c r="BE151" s="26"/>
      <c r="BF151" s="26"/>
      <c r="BG151" s="26"/>
      <c r="BH151" s="26"/>
      <c r="BI151" s="26"/>
      <c r="BJ151" s="26"/>
      <c r="BK151" s="26"/>
      <c r="BL151" s="26"/>
      <c r="BM151" s="26"/>
      <c r="BN151" s="26"/>
      <c r="BO151" s="26"/>
      <c r="BP151" s="26"/>
      <c r="BQ151" s="26"/>
      <c r="BR151" s="26"/>
      <c r="BS151" s="26"/>
      <c r="BT151" s="26"/>
      <c r="BU151" s="26"/>
      <c r="BV151" s="26"/>
      <c r="BW151" s="26"/>
      <c r="BX151" s="26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26"/>
      <c r="CP151" s="26"/>
      <c r="CQ151" s="26"/>
      <c r="CR151" s="26"/>
      <c r="CS151" s="26"/>
      <c r="CT151" s="26"/>
      <c r="CU151" s="26"/>
      <c r="CV151" s="26"/>
      <c r="CW151" s="26"/>
      <c r="CX151" s="26"/>
      <c r="CY151" s="26"/>
      <c r="CZ151" s="26"/>
    </row>
    <row r="152" spans="1:104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  <c r="AO152" s="26"/>
      <c r="AP152" s="26"/>
      <c r="AQ152" s="26"/>
      <c r="AR152" s="26"/>
      <c r="AS152" s="26"/>
      <c r="AT152" s="26"/>
      <c r="AU152" s="26"/>
      <c r="AV152" s="26"/>
      <c r="AW152" s="26"/>
      <c r="AX152" s="26"/>
      <c r="AY152" s="26"/>
      <c r="AZ152" s="26"/>
      <c r="BA152" s="26"/>
      <c r="BB152" s="26"/>
      <c r="BC152" s="26"/>
      <c r="BD152" s="26"/>
      <c r="BE152" s="26"/>
      <c r="BF152" s="26"/>
      <c r="BG152" s="26"/>
      <c r="BH152" s="26"/>
      <c r="BI152" s="26"/>
      <c r="BJ152" s="26"/>
      <c r="BK152" s="26"/>
      <c r="BL152" s="26"/>
      <c r="BM152" s="26"/>
      <c r="BN152" s="26"/>
      <c r="BO152" s="26"/>
      <c r="BP152" s="26"/>
      <c r="BQ152" s="26"/>
      <c r="BR152" s="26"/>
      <c r="BS152" s="26"/>
      <c r="BT152" s="26"/>
      <c r="BU152" s="26"/>
      <c r="BV152" s="26"/>
      <c r="BW152" s="26"/>
      <c r="BX152" s="26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26"/>
      <c r="CP152" s="26"/>
      <c r="CQ152" s="26"/>
      <c r="CR152" s="26"/>
      <c r="CS152" s="26"/>
      <c r="CT152" s="26"/>
      <c r="CU152" s="26"/>
      <c r="CV152" s="26"/>
      <c r="CW152" s="26"/>
      <c r="CX152" s="26"/>
      <c r="CY152" s="26"/>
      <c r="CZ152" s="26"/>
    </row>
    <row r="153" spans="1:104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  <c r="AO153" s="26"/>
      <c r="AP153" s="26"/>
      <c r="AQ153" s="26"/>
      <c r="AR153" s="26"/>
      <c r="AS153" s="26"/>
      <c r="AT153" s="26"/>
      <c r="AU153" s="26"/>
      <c r="AV153" s="26"/>
      <c r="AW153" s="26"/>
      <c r="AX153" s="26"/>
      <c r="AY153" s="26"/>
      <c r="AZ153" s="26"/>
      <c r="BA153" s="26"/>
      <c r="BB153" s="26"/>
      <c r="BC153" s="26"/>
      <c r="BD153" s="26"/>
      <c r="BE153" s="26"/>
      <c r="BF153" s="26"/>
      <c r="BG153" s="26"/>
      <c r="BH153" s="26"/>
      <c r="BI153" s="26"/>
      <c r="BJ153" s="26"/>
      <c r="BK153" s="26"/>
      <c r="BL153" s="26"/>
      <c r="BM153" s="26"/>
      <c r="BN153" s="26"/>
      <c r="BO153" s="26"/>
      <c r="BP153" s="26"/>
      <c r="BQ153" s="26"/>
      <c r="BR153" s="26"/>
      <c r="BS153" s="26"/>
      <c r="BT153" s="26"/>
      <c r="BU153" s="26"/>
      <c r="BV153" s="26"/>
      <c r="BW153" s="26"/>
      <c r="BX153" s="26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26"/>
      <c r="CP153" s="26"/>
      <c r="CQ153" s="26"/>
      <c r="CR153" s="26"/>
      <c r="CS153" s="26"/>
      <c r="CT153" s="26"/>
      <c r="CU153" s="26"/>
      <c r="CV153" s="26"/>
      <c r="CW153" s="26"/>
      <c r="CX153" s="26"/>
      <c r="CY153" s="26"/>
      <c r="CZ153" s="26"/>
    </row>
    <row r="154" spans="1:104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26"/>
      <c r="AM154" s="26"/>
      <c r="AN154" s="26"/>
      <c r="AO154" s="26"/>
      <c r="AP154" s="26"/>
      <c r="AQ154" s="26"/>
      <c r="AR154" s="26"/>
      <c r="AS154" s="26"/>
      <c r="AT154" s="26"/>
      <c r="AU154" s="26"/>
      <c r="AV154" s="26"/>
      <c r="AW154" s="26"/>
      <c r="AX154" s="26"/>
      <c r="AY154" s="26"/>
      <c r="AZ154" s="26"/>
      <c r="BA154" s="26"/>
      <c r="BB154" s="26"/>
      <c r="BC154" s="26"/>
      <c r="BD154" s="26"/>
      <c r="BE154" s="26"/>
      <c r="BF154" s="26"/>
      <c r="BG154" s="26"/>
      <c r="BH154" s="26"/>
      <c r="BI154" s="26"/>
      <c r="BJ154" s="26"/>
      <c r="BK154" s="26"/>
      <c r="BL154" s="26"/>
      <c r="BM154" s="26"/>
      <c r="BN154" s="26"/>
      <c r="BO154" s="26"/>
      <c r="BP154" s="26"/>
      <c r="BQ154" s="26"/>
      <c r="BR154" s="26"/>
      <c r="BS154" s="26"/>
      <c r="BT154" s="26"/>
      <c r="BU154" s="26"/>
      <c r="BV154" s="26"/>
      <c r="BW154" s="26"/>
      <c r="BX154" s="26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26"/>
      <c r="CP154" s="26"/>
      <c r="CQ154" s="26"/>
      <c r="CR154" s="26"/>
      <c r="CS154" s="26"/>
      <c r="CT154" s="26"/>
      <c r="CU154" s="26"/>
      <c r="CV154" s="26"/>
      <c r="CW154" s="26"/>
      <c r="CX154" s="26"/>
      <c r="CY154" s="26"/>
      <c r="CZ154" s="26"/>
    </row>
    <row r="155" spans="1:104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26"/>
      <c r="AM155" s="26"/>
      <c r="AN155" s="26"/>
      <c r="AO155" s="26"/>
      <c r="AP155" s="26"/>
      <c r="AQ155" s="26"/>
      <c r="AR155" s="26"/>
      <c r="AS155" s="26"/>
      <c r="AT155" s="26"/>
      <c r="AU155" s="26"/>
      <c r="AV155" s="26"/>
      <c r="AW155" s="26"/>
      <c r="AX155" s="26"/>
      <c r="AY155" s="26"/>
      <c r="AZ155" s="26"/>
      <c r="BA155" s="26"/>
      <c r="BB155" s="26"/>
      <c r="BC155" s="26"/>
      <c r="BD155" s="26"/>
      <c r="BE155" s="26"/>
      <c r="BF155" s="26"/>
      <c r="BG155" s="26"/>
      <c r="BH155" s="26"/>
      <c r="BI155" s="26"/>
      <c r="BJ155" s="26"/>
      <c r="BK155" s="26"/>
      <c r="BL155" s="26"/>
      <c r="BM155" s="26"/>
      <c r="BN155" s="26"/>
      <c r="BO155" s="26"/>
      <c r="BP155" s="26"/>
      <c r="BQ155" s="26"/>
      <c r="BR155" s="26"/>
      <c r="BS155" s="26"/>
      <c r="BT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  <c r="CX155" s="26"/>
      <c r="CY155" s="26"/>
      <c r="CZ155" s="26"/>
    </row>
    <row r="156" spans="1:104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  <c r="AX156" s="26"/>
      <c r="AY156" s="26"/>
      <c r="AZ156" s="26"/>
      <c r="BA156" s="26"/>
      <c r="BB156" s="26"/>
      <c r="BC156" s="26"/>
      <c r="BD156" s="26"/>
      <c r="BE156" s="26"/>
      <c r="BF156" s="26"/>
      <c r="BG156" s="26"/>
      <c r="BH156" s="26"/>
      <c r="BI156" s="26"/>
      <c r="BJ156" s="26"/>
      <c r="BK156" s="26"/>
      <c r="BL156" s="26"/>
      <c r="BM156" s="26"/>
      <c r="BN156" s="26"/>
      <c r="BO156" s="26"/>
      <c r="BP156" s="26"/>
      <c r="BQ156" s="26"/>
      <c r="BR156" s="26"/>
      <c r="BS156" s="26"/>
      <c r="BT156" s="26"/>
      <c r="BU156" s="26"/>
      <c r="BV156" s="26"/>
      <c r="BW156" s="26"/>
      <c r="BX156" s="26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26"/>
      <c r="CP156" s="26"/>
      <c r="CQ156" s="26"/>
      <c r="CR156" s="26"/>
      <c r="CS156" s="26"/>
      <c r="CT156" s="26"/>
      <c r="CU156" s="26"/>
      <c r="CV156" s="26"/>
      <c r="CW156" s="26"/>
      <c r="CX156" s="26"/>
      <c r="CY156" s="26"/>
      <c r="CZ156" s="26"/>
    </row>
    <row r="157" spans="1:104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6"/>
      <c r="AP157" s="26"/>
      <c r="AQ157" s="26"/>
      <c r="AR157" s="26"/>
      <c r="AS157" s="26"/>
      <c r="AT157" s="26"/>
      <c r="AU157" s="26"/>
      <c r="AV157" s="26"/>
      <c r="AW157" s="26"/>
      <c r="AX157" s="26"/>
      <c r="AY157" s="26"/>
      <c r="AZ157" s="26"/>
      <c r="BA157" s="26"/>
      <c r="BB157" s="26"/>
      <c r="BC157" s="26"/>
      <c r="BD157" s="26"/>
      <c r="BE157" s="26"/>
      <c r="BF157" s="26"/>
      <c r="BG157" s="26"/>
      <c r="BH157" s="26"/>
      <c r="BI157" s="26"/>
      <c r="BJ157" s="26"/>
      <c r="BK157" s="26"/>
      <c r="BL157" s="26"/>
      <c r="BM157" s="26"/>
      <c r="BN157" s="26"/>
      <c r="BO157" s="26"/>
      <c r="BP157" s="26"/>
      <c r="BQ157" s="26"/>
      <c r="BR157" s="26"/>
      <c r="BS157" s="26"/>
      <c r="BT157" s="26"/>
      <c r="BU157" s="26"/>
      <c r="BV157" s="26"/>
      <c r="BW157" s="26"/>
      <c r="BX157" s="26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26"/>
      <c r="CP157" s="26"/>
      <c r="CQ157" s="26"/>
      <c r="CR157" s="26"/>
      <c r="CS157" s="26"/>
      <c r="CT157" s="26"/>
      <c r="CU157" s="26"/>
      <c r="CV157" s="26"/>
      <c r="CW157" s="26"/>
      <c r="CX157" s="26"/>
      <c r="CY157" s="26"/>
      <c r="CZ157" s="26"/>
    </row>
    <row r="158" spans="1:104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  <c r="AQ158" s="26"/>
      <c r="AR158" s="26"/>
      <c r="AS158" s="26"/>
      <c r="AT158" s="26"/>
      <c r="AU158" s="26"/>
      <c r="AV158" s="26"/>
      <c r="AW158" s="26"/>
      <c r="AX158" s="26"/>
      <c r="AY158" s="26"/>
      <c r="AZ158" s="26"/>
      <c r="BA158" s="26"/>
      <c r="BB158" s="26"/>
      <c r="BC158" s="26"/>
      <c r="BD158" s="26"/>
      <c r="BE158" s="26"/>
      <c r="BF158" s="26"/>
      <c r="BG158" s="26"/>
      <c r="BH158" s="26"/>
      <c r="BI158" s="26"/>
      <c r="BJ158" s="26"/>
      <c r="BK158" s="26"/>
      <c r="BL158" s="26"/>
      <c r="BM158" s="26"/>
      <c r="BN158" s="26"/>
      <c r="BO158" s="26"/>
      <c r="BP158" s="26"/>
      <c r="BQ158" s="26"/>
      <c r="BR158" s="26"/>
      <c r="BS158" s="26"/>
      <c r="BT158" s="26"/>
      <c r="BU158" s="26"/>
      <c r="BV158" s="26"/>
      <c r="BW158" s="26"/>
      <c r="BX158" s="26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26"/>
      <c r="CP158" s="26"/>
      <c r="CQ158" s="26"/>
      <c r="CR158" s="26"/>
      <c r="CS158" s="26"/>
      <c r="CT158" s="26"/>
      <c r="CU158" s="26"/>
      <c r="CV158" s="26"/>
      <c r="CW158" s="26"/>
      <c r="CX158" s="26"/>
      <c r="CY158" s="26"/>
      <c r="CZ158" s="26"/>
    </row>
    <row r="159" spans="1:104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  <c r="AQ159" s="26"/>
      <c r="AR159" s="26"/>
      <c r="AS159" s="26"/>
      <c r="AT159" s="26"/>
      <c r="AU159" s="26"/>
      <c r="AV159" s="26"/>
      <c r="AW159" s="26"/>
      <c r="AX159" s="26"/>
      <c r="AY159" s="26"/>
      <c r="AZ159" s="26"/>
      <c r="BA159" s="26"/>
      <c r="BB159" s="26"/>
      <c r="BC159" s="26"/>
      <c r="BD159" s="26"/>
      <c r="BE159" s="26"/>
      <c r="BF159" s="26"/>
      <c r="BG159" s="26"/>
      <c r="BH159" s="26"/>
      <c r="BI159" s="26"/>
      <c r="BJ159" s="26"/>
      <c r="BK159" s="26"/>
      <c r="BL159" s="26"/>
      <c r="BM159" s="26"/>
      <c r="BN159" s="26"/>
      <c r="BO159" s="26"/>
      <c r="BP159" s="26"/>
      <c r="BQ159" s="26"/>
      <c r="BR159" s="26"/>
      <c r="BS159" s="26"/>
      <c r="BT159" s="26"/>
      <c r="BU159" s="26"/>
      <c r="BV159" s="26"/>
      <c r="BW159" s="26"/>
      <c r="BX159" s="26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26"/>
      <c r="CP159" s="26"/>
      <c r="CQ159" s="26"/>
      <c r="CR159" s="26"/>
      <c r="CS159" s="26"/>
      <c r="CT159" s="26"/>
      <c r="CU159" s="26"/>
      <c r="CV159" s="26"/>
      <c r="CW159" s="26"/>
      <c r="CX159" s="26"/>
      <c r="CY159" s="26"/>
      <c r="CZ159" s="26"/>
    </row>
    <row r="160" spans="1:104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  <c r="AQ160" s="26"/>
      <c r="AR160" s="26"/>
      <c r="AS160" s="26"/>
      <c r="AT160" s="26"/>
      <c r="AU160" s="26"/>
      <c r="AV160" s="26"/>
      <c r="AW160" s="26"/>
      <c r="AX160" s="26"/>
      <c r="AY160" s="26"/>
      <c r="AZ160" s="26"/>
      <c r="BA160" s="26"/>
      <c r="BB160" s="26"/>
      <c r="BC160" s="26"/>
      <c r="BD160" s="26"/>
      <c r="BE160" s="26"/>
      <c r="BF160" s="26"/>
      <c r="BG160" s="26"/>
      <c r="BH160" s="26"/>
      <c r="BI160" s="26"/>
      <c r="BJ160" s="26"/>
      <c r="BK160" s="26"/>
      <c r="BL160" s="26"/>
      <c r="BM160" s="26"/>
      <c r="BN160" s="26"/>
      <c r="BO160" s="26"/>
      <c r="BP160" s="26"/>
      <c r="BQ160" s="26"/>
      <c r="BR160" s="26"/>
      <c r="BS160" s="26"/>
      <c r="BT160" s="26"/>
      <c r="BU160" s="26"/>
      <c r="BV160" s="26"/>
      <c r="BW160" s="26"/>
      <c r="BX160" s="26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26"/>
      <c r="CP160" s="26"/>
      <c r="CQ160" s="26"/>
      <c r="CR160" s="26"/>
      <c r="CS160" s="26"/>
      <c r="CT160" s="26"/>
      <c r="CU160" s="26"/>
      <c r="CV160" s="26"/>
      <c r="CW160" s="26"/>
      <c r="CX160" s="26"/>
      <c r="CY160" s="26"/>
      <c r="CZ160" s="26"/>
    </row>
    <row r="161" spans="1:104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  <c r="AQ161" s="26"/>
      <c r="AR161" s="26"/>
      <c r="AS161" s="26"/>
      <c r="AT161" s="26"/>
      <c r="AU161" s="26"/>
      <c r="AV161" s="26"/>
      <c r="AW161" s="26"/>
      <c r="AX161" s="26"/>
      <c r="AY161" s="26"/>
      <c r="AZ161" s="26"/>
      <c r="BA161" s="26"/>
      <c r="BB161" s="26"/>
      <c r="BC161" s="26"/>
      <c r="BD161" s="26"/>
      <c r="BE161" s="26"/>
      <c r="BF161" s="26"/>
      <c r="BG161" s="26"/>
      <c r="BH161" s="26"/>
      <c r="BI161" s="26"/>
      <c r="BJ161" s="26"/>
      <c r="BK161" s="26"/>
      <c r="BL161" s="26"/>
      <c r="BM161" s="26"/>
      <c r="BN161" s="26"/>
      <c r="BO161" s="26"/>
      <c r="BP161" s="26"/>
      <c r="BQ161" s="26"/>
      <c r="BR161" s="26"/>
      <c r="BS161" s="26"/>
      <c r="BT161" s="26"/>
      <c r="BU161" s="26"/>
      <c r="BV161" s="26"/>
      <c r="BW161" s="26"/>
      <c r="BX161" s="26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26"/>
      <c r="CP161" s="26"/>
      <c r="CQ161" s="26"/>
      <c r="CR161" s="26"/>
      <c r="CS161" s="26"/>
      <c r="CT161" s="26"/>
      <c r="CU161" s="26"/>
      <c r="CV161" s="26"/>
      <c r="CW161" s="26"/>
      <c r="CX161" s="26"/>
      <c r="CY161" s="26"/>
      <c r="CZ161" s="26"/>
    </row>
    <row r="162" spans="1:104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  <c r="AQ162" s="26"/>
      <c r="AR162" s="26"/>
      <c r="AS162" s="26"/>
      <c r="AT162" s="26"/>
      <c r="AU162" s="26"/>
      <c r="AV162" s="26"/>
      <c r="AW162" s="26"/>
      <c r="AX162" s="26"/>
      <c r="AY162" s="26"/>
      <c r="AZ162" s="26"/>
      <c r="BA162" s="26"/>
      <c r="BB162" s="26"/>
      <c r="BC162" s="26"/>
      <c r="BD162" s="26"/>
      <c r="BE162" s="26"/>
      <c r="BF162" s="26"/>
      <c r="BG162" s="26"/>
      <c r="BH162" s="26"/>
      <c r="BI162" s="26"/>
      <c r="BJ162" s="26"/>
      <c r="BK162" s="26"/>
      <c r="BL162" s="26"/>
      <c r="BM162" s="26"/>
      <c r="BN162" s="26"/>
      <c r="BO162" s="26"/>
      <c r="BP162" s="26"/>
      <c r="BQ162" s="26"/>
      <c r="BR162" s="26"/>
      <c r="BS162" s="26"/>
      <c r="BT162" s="26"/>
      <c r="BU162" s="26"/>
      <c r="BV162" s="26"/>
      <c r="BW162" s="26"/>
      <c r="BX162" s="26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26"/>
      <c r="CP162" s="26"/>
      <c r="CQ162" s="26"/>
      <c r="CR162" s="26"/>
      <c r="CS162" s="26"/>
      <c r="CT162" s="26"/>
      <c r="CU162" s="26"/>
      <c r="CV162" s="26"/>
      <c r="CW162" s="26"/>
      <c r="CX162" s="26"/>
      <c r="CY162" s="26"/>
      <c r="CZ162" s="26"/>
    </row>
    <row r="163" spans="1:104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  <c r="AQ163" s="26"/>
      <c r="AR163" s="26"/>
      <c r="AS163" s="26"/>
      <c r="AT163" s="26"/>
      <c r="AU163" s="26"/>
      <c r="AV163" s="26"/>
      <c r="AW163" s="26"/>
      <c r="AX163" s="26"/>
      <c r="AY163" s="26"/>
      <c r="AZ163" s="26"/>
      <c r="BA163" s="26"/>
      <c r="BB163" s="26"/>
      <c r="BC163" s="26"/>
      <c r="BD163" s="26"/>
      <c r="BE163" s="26"/>
      <c r="BF163" s="26"/>
      <c r="BG163" s="26"/>
      <c r="BH163" s="26"/>
      <c r="BI163" s="26"/>
      <c r="BJ163" s="26"/>
      <c r="BK163" s="26"/>
      <c r="BL163" s="26"/>
      <c r="BM163" s="26"/>
      <c r="BN163" s="26"/>
      <c r="BO163" s="26"/>
      <c r="BP163" s="26"/>
      <c r="BQ163" s="26"/>
      <c r="BR163" s="26"/>
      <c r="BS163" s="26"/>
      <c r="BT163" s="26"/>
      <c r="BU163" s="26"/>
      <c r="BV163" s="26"/>
      <c r="BW163" s="26"/>
      <c r="BX163" s="26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26"/>
      <c r="CP163" s="26"/>
      <c r="CQ163" s="26"/>
      <c r="CR163" s="26"/>
      <c r="CS163" s="26"/>
      <c r="CT163" s="26"/>
      <c r="CU163" s="26"/>
      <c r="CV163" s="26"/>
      <c r="CW163" s="26"/>
      <c r="CX163" s="26"/>
      <c r="CY163" s="26"/>
      <c r="CZ163" s="26"/>
    </row>
    <row r="164" spans="1:104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  <c r="AQ164" s="26"/>
      <c r="AR164" s="26"/>
      <c r="AS164" s="26"/>
      <c r="AT164" s="26"/>
      <c r="AU164" s="26"/>
      <c r="AV164" s="26"/>
      <c r="AW164" s="26"/>
      <c r="AX164" s="26"/>
      <c r="AY164" s="26"/>
      <c r="AZ164" s="26"/>
      <c r="BA164" s="26"/>
      <c r="BB164" s="26"/>
      <c r="BC164" s="26"/>
      <c r="BD164" s="26"/>
      <c r="BE164" s="26"/>
      <c r="BF164" s="26"/>
      <c r="BG164" s="26"/>
      <c r="BH164" s="26"/>
      <c r="BI164" s="26"/>
      <c r="BJ164" s="26"/>
      <c r="BK164" s="26"/>
      <c r="BL164" s="26"/>
      <c r="BM164" s="26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  <c r="CX164" s="26"/>
      <c r="CY164" s="26"/>
      <c r="CZ164" s="26"/>
    </row>
    <row r="165" spans="1:104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6"/>
      <c r="AP165" s="26"/>
      <c r="AQ165" s="26"/>
      <c r="AR165" s="26"/>
      <c r="AS165" s="26"/>
      <c r="AT165" s="26"/>
      <c r="AU165" s="26"/>
      <c r="AV165" s="26"/>
      <c r="AW165" s="26"/>
      <c r="AX165" s="26"/>
      <c r="AY165" s="26"/>
      <c r="AZ165" s="26"/>
      <c r="BA165" s="26"/>
      <c r="BB165" s="26"/>
      <c r="BC165" s="26"/>
      <c r="BD165" s="26"/>
      <c r="BE165" s="26"/>
      <c r="BF165" s="26"/>
      <c r="BG165" s="26"/>
      <c r="BH165" s="26"/>
      <c r="BI165" s="26"/>
      <c r="BJ165" s="26"/>
      <c r="BK165" s="26"/>
      <c r="BL165" s="26"/>
      <c r="BM165" s="26"/>
      <c r="BN165" s="26"/>
      <c r="BO165" s="26"/>
      <c r="BP165" s="26"/>
      <c r="BQ165" s="26"/>
      <c r="BR165" s="26"/>
      <c r="BS165" s="26"/>
      <c r="BT165" s="26"/>
      <c r="BU165" s="26"/>
      <c r="BV165" s="26"/>
      <c r="BW165" s="26"/>
      <c r="BX165" s="26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26"/>
      <c r="CP165" s="26"/>
      <c r="CQ165" s="26"/>
      <c r="CR165" s="26"/>
      <c r="CS165" s="26"/>
      <c r="CT165" s="26"/>
      <c r="CU165" s="26"/>
      <c r="CV165" s="26"/>
      <c r="CW165" s="26"/>
      <c r="CX165" s="26"/>
      <c r="CY165" s="26"/>
      <c r="CZ165" s="26"/>
    </row>
    <row r="166" spans="1:104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6"/>
      <c r="AM166" s="26"/>
      <c r="AN166" s="26"/>
      <c r="AO166" s="26"/>
      <c r="AP166" s="26"/>
      <c r="AQ166" s="26"/>
      <c r="AR166" s="26"/>
      <c r="AS166" s="26"/>
      <c r="AT166" s="26"/>
      <c r="AU166" s="26"/>
      <c r="AV166" s="26"/>
      <c r="AW166" s="26"/>
      <c r="AX166" s="26"/>
      <c r="AY166" s="26"/>
      <c r="AZ166" s="26"/>
      <c r="BA166" s="26"/>
      <c r="BB166" s="26"/>
      <c r="BC166" s="26"/>
      <c r="BD166" s="26"/>
      <c r="BE166" s="26"/>
      <c r="BF166" s="26"/>
      <c r="BG166" s="26"/>
      <c r="BH166" s="26"/>
      <c r="BI166" s="26"/>
      <c r="BJ166" s="26"/>
      <c r="BK166" s="26"/>
      <c r="BL166" s="26"/>
      <c r="BM166" s="26"/>
      <c r="BN166" s="26"/>
      <c r="BO166" s="26"/>
      <c r="BP166" s="26"/>
      <c r="BQ166" s="26"/>
      <c r="BR166" s="26"/>
      <c r="BS166" s="26"/>
      <c r="BT166" s="26"/>
      <c r="BU166" s="26"/>
      <c r="BV166" s="26"/>
      <c r="BW166" s="26"/>
      <c r="BX166" s="26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26"/>
      <c r="CP166" s="26"/>
      <c r="CQ166" s="26"/>
      <c r="CR166" s="26"/>
      <c r="CS166" s="26"/>
      <c r="CT166" s="26"/>
      <c r="CU166" s="26"/>
      <c r="CV166" s="26"/>
      <c r="CW166" s="26"/>
      <c r="CX166" s="26"/>
      <c r="CY166" s="26"/>
      <c r="CZ166" s="26"/>
    </row>
    <row r="167" spans="1:104" x14ac:dyDescent="0.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6"/>
      <c r="AM167" s="26"/>
      <c r="AN167" s="26"/>
      <c r="AO167" s="26"/>
      <c r="AP167" s="26"/>
      <c r="AQ167" s="26"/>
      <c r="AR167" s="26"/>
      <c r="AS167" s="26"/>
      <c r="AT167" s="26"/>
      <c r="AU167" s="26"/>
      <c r="AV167" s="26"/>
      <c r="AW167" s="26"/>
      <c r="AX167" s="26"/>
      <c r="AY167" s="26"/>
      <c r="AZ167" s="26"/>
      <c r="BA167" s="26"/>
      <c r="BB167" s="26"/>
      <c r="BC167" s="26"/>
      <c r="BD167" s="26"/>
      <c r="BE167" s="26"/>
      <c r="BF167" s="26"/>
      <c r="BG167" s="26"/>
      <c r="BH167" s="26"/>
      <c r="BI167" s="26"/>
      <c r="BJ167" s="26"/>
      <c r="BK167" s="26"/>
      <c r="BL167" s="26"/>
      <c r="BM167" s="26"/>
      <c r="BN167" s="26"/>
      <c r="BO167" s="26"/>
      <c r="BP167" s="26"/>
      <c r="BQ167" s="26"/>
      <c r="BR167" s="26"/>
      <c r="BS167" s="26"/>
      <c r="BT167" s="26"/>
      <c r="BU167" s="26"/>
      <c r="BV167" s="26"/>
      <c r="BW167" s="26"/>
      <c r="BX167" s="26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26"/>
      <c r="CP167" s="26"/>
      <c r="CQ167" s="26"/>
      <c r="CR167" s="26"/>
      <c r="CS167" s="26"/>
      <c r="CT167" s="26"/>
      <c r="CU167" s="26"/>
      <c r="CV167" s="26"/>
      <c r="CW167" s="26"/>
      <c r="CX167" s="26"/>
      <c r="CY167" s="26"/>
      <c r="CZ167" s="26"/>
    </row>
    <row r="168" spans="1:104" x14ac:dyDescent="0.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6"/>
      <c r="AP168" s="26"/>
      <c r="AQ168" s="26"/>
      <c r="AR168" s="26"/>
      <c r="AS168" s="26"/>
      <c r="AT168" s="26"/>
      <c r="AU168" s="26"/>
      <c r="AV168" s="26"/>
      <c r="AW168" s="26"/>
      <c r="AX168" s="26"/>
      <c r="AY168" s="26"/>
      <c r="AZ168" s="26"/>
      <c r="BA168" s="26"/>
      <c r="BB168" s="26"/>
      <c r="BC168" s="26"/>
      <c r="BD168" s="26"/>
      <c r="BE168" s="26"/>
      <c r="BF168" s="26"/>
      <c r="BG168" s="26"/>
      <c r="BH168" s="26"/>
      <c r="BI168" s="26"/>
      <c r="BJ168" s="26"/>
      <c r="BK168" s="26"/>
      <c r="BL168" s="26"/>
      <c r="BM168" s="26"/>
      <c r="BN168" s="26"/>
      <c r="BO168" s="26"/>
      <c r="BP168" s="26"/>
      <c r="BQ168" s="26"/>
      <c r="BR168" s="26"/>
      <c r="BS168" s="26"/>
      <c r="BT168" s="26"/>
      <c r="BU168" s="26"/>
      <c r="BV168" s="26"/>
      <c r="BW168" s="26"/>
      <c r="BX168" s="26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26"/>
      <c r="CP168" s="26"/>
      <c r="CQ168" s="26"/>
      <c r="CR168" s="26"/>
      <c r="CS168" s="26"/>
      <c r="CT168" s="26"/>
      <c r="CU168" s="26"/>
      <c r="CV168" s="26"/>
      <c r="CW168" s="26"/>
      <c r="CX168" s="26"/>
      <c r="CY168" s="26"/>
      <c r="CZ168" s="26"/>
    </row>
    <row r="169" spans="1:104" x14ac:dyDescent="0.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6"/>
      <c r="AM169" s="26"/>
      <c r="AN169" s="26"/>
      <c r="AO169" s="26"/>
      <c r="AP169" s="26"/>
      <c r="AQ169" s="26"/>
      <c r="AR169" s="26"/>
      <c r="AS169" s="26"/>
      <c r="AT169" s="26"/>
      <c r="AU169" s="26"/>
      <c r="AV169" s="26"/>
      <c r="AW169" s="26"/>
      <c r="AX169" s="26"/>
      <c r="AY169" s="26"/>
      <c r="AZ169" s="26"/>
      <c r="BA169" s="26"/>
      <c r="BB169" s="26"/>
      <c r="BC169" s="26"/>
      <c r="BD169" s="26"/>
      <c r="BE169" s="26"/>
      <c r="BF169" s="26"/>
      <c r="BG169" s="26"/>
      <c r="BH169" s="26"/>
      <c r="BI169" s="26"/>
      <c r="BJ169" s="26"/>
      <c r="BK169" s="26"/>
      <c r="BL169" s="26"/>
      <c r="BM169" s="26"/>
      <c r="BN169" s="26"/>
      <c r="BO169" s="26"/>
      <c r="BP169" s="26"/>
      <c r="BQ169" s="26"/>
      <c r="BR169" s="26"/>
      <c r="BS169" s="26"/>
      <c r="BT169" s="26"/>
      <c r="BU169" s="26"/>
      <c r="BV169" s="26"/>
      <c r="BW169" s="26"/>
      <c r="BX169" s="26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26"/>
      <c r="CP169" s="26"/>
      <c r="CQ169" s="26"/>
      <c r="CR169" s="26"/>
      <c r="CS169" s="26"/>
      <c r="CT169" s="26"/>
      <c r="CU169" s="26"/>
      <c r="CV169" s="26"/>
      <c r="CW169" s="26"/>
      <c r="CX169" s="26"/>
      <c r="CY169" s="26"/>
      <c r="CZ169" s="26"/>
    </row>
    <row r="170" spans="1:104" x14ac:dyDescent="0.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26"/>
      <c r="AM170" s="26"/>
      <c r="AN170" s="26"/>
      <c r="AO170" s="26"/>
      <c r="AP170" s="26"/>
      <c r="AQ170" s="26"/>
      <c r="AR170" s="26"/>
      <c r="AS170" s="26"/>
      <c r="AT170" s="26"/>
      <c r="AU170" s="26"/>
      <c r="AV170" s="26"/>
      <c r="AW170" s="26"/>
      <c r="AX170" s="26"/>
      <c r="AY170" s="26"/>
      <c r="AZ170" s="26"/>
      <c r="BA170" s="26"/>
      <c r="BB170" s="26"/>
      <c r="BC170" s="26"/>
      <c r="BD170" s="26"/>
      <c r="BE170" s="26"/>
      <c r="BF170" s="26"/>
      <c r="BG170" s="26"/>
      <c r="BH170" s="26"/>
      <c r="BI170" s="26"/>
      <c r="BJ170" s="26"/>
      <c r="BK170" s="26"/>
      <c r="BL170" s="26"/>
      <c r="BM170" s="26"/>
      <c r="BN170" s="26"/>
      <c r="BO170" s="26"/>
      <c r="BP170" s="26"/>
      <c r="BQ170" s="26"/>
      <c r="BR170" s="26"/>
      <c r="BS170" s="26"/>
      <c r="BT170" s="26"/>
      <c r="BU170" s="26"/>
      <c r="BV170" s="26"/>
      <c r="BW170" s="26"/>
      <c r="BX170" s="26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26"/>
      <c r="CP170" s="26"/>
      <c r="CQ170" s="26"/>
      <c r="CR170" s="26"/>
      <c r="CS170" s="26"/>
      <c r="CT170" s="26"/>
      <c r="CU170" s="26"/>
      <c r="CV170" s="26"/>
      <c r="CW170" s="26"/>
      <c r="CX170" s="26"/>
      <c r="CY170" s="26"/>
      <c r="CZ170" s="26"/>
    </row>
    <row r="171" spans="1:104" x14ac:dyDescent="0.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6"/>
      <c r="AP171" s="26"/>
      <c r="AQ171" s="26"/>
      <c r="AR171" s="26"/>
      <c r="AS171" s="26"/>
      <c r="AT171" s="26"/>
      <c r="AU171" s="26"/>
      <c r="AV171" s="26"/>
      <c r="AW171" s="26"/>
      <c r="AX171" s="26"/>
      <c r="AY171" s="26"/>
      <c r="AZ171" s="26"/>
      <c r="BA171" s="26"/>
      <c r="BB171" s="26"/>
      <c r="BC171" s="26"/>
      <c r="BD171" s="26"/>
      <c r="BE171" s="26"/>
      <c r="BF171" s="26"/>
      <c r="BG171" s="26"/>
      <c r="BH171" s="26"/>
      <c r="BI171" s="26"/>
      <c r="BJ171" s="26"/>
      <c r="BK171" s="26"/>
      <c r="BL171" s="26"/>
      <c r="BM171" s="26"/>
      <c r="BN171" s="26"/>
      <c r="BO171" s="26"/>
      <c r="BP171" s="26"/>
      <c r="BQ171" s="26"/>
      <c r="BR171" s="26"/>
      <c r="BS171" s="26"/>
      <c r="BT171" s="26"/>
      <c r="BU171" s="26"/>
      <c r="BV171" s="26"/>
      <c r="BW171" s="26"/>
      <c r="BX171" s="26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26"/>
      <c r="CP171" s="26"/>
      <c r="CQ171" s="26"/>
      <c r="CR171" s="26"/>
      <c r="CS171" s="26"/>
      <c r="CT171" s="26"/>
      <c r="CU171" s="26"/>
      <c r="CV171" s="26"/>
      <c r="CW171" s="26"/>
      <c r="CX171" s="26"/>
      <c r="CY171" s="26"/>
      <c r="CZ171" s="26"/>
    </row>
    <row r="172" spans="1:104" x14ac:dyDescent="0.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26"/>
      <c r="AM172" s="26"/>
      <c r="AN172" s="26"/>
      <c r="AO172" s="26"/>
      <c r="AP172" s="26"/>
      <c r="AQ172" s="26"/>
      <c r="AR172" s="26"/>
      <c r="AS172" s="26"/>
      <c r="AT172" s="26"/>
      <c r="AU172" s="26"/>
      <c r="AV172" s="26"/>
      <c r="AW172" s="26"/>
      <c r="AX172" s="26"/>
      <c r="AY172" s="26"/>
      <c r="AZ172" s="26"/>
      <c r="BA172" s="26"/>
      <c r="BB172" s="26"/>
      <c r="BC172" s="26"/>
      <c r="BD172" s="26"/>
      <c r="BE172" s="26"/>
      <c r="BF172" s="26"/>
      <c r="BG172" s="26"/>
      <c r="BH172" s="26"/>
      <c r="BI172" s="26"/>
      <c r="BJ172" s="26"/>
      <c r="BK172" s="26"/>
      <c r="BL172" s="26"/>
      <c r="BM172" s="26"/>
      <c r="BN172" s="26"/>
      <c r="BO172" s="26"/>
      <c r="BP172" s="26"/>
      <c r="BQ172" s="26"/>
      <c r="BR172" s="26"/>
      <c r="BS172" s="26"/>
      <c r="BT172" s="26"/>
      <c r="BU172" s="26"/>
      <c r="BV172" s="26"/>
      <c r="BW172" s="26"/>
      <c r="BX172" s="26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26"/>
      <c r="CP172" s="26"/>
      <c r="CQ172" s="26"/>
      <c r="CR172" s="26"/>
      <c r="CS172" s="26"/>
      <c r="CT172" s="26"/>
      <c r="CU172" s="26"/>
      <c r="CV172" s="26"/>
      <c r="CW172" s="26"/>
      <c r="CX172" s="26"/>
      <c r="CY172" s="26"/>
      <c r="CZ172" s="26"/>
    </row>
    <row r="173" spans="1:104" x14ac:dyDescent="0.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6"/>
      <c r="AM173" s="26"/>
      <c r="AN173" s="26"/>
      <c r="AO173" s="26"/>
      <c r="AP173" s="26"/>
      <c r="AQ173" s="26"/>
      <c r="AR173" s="26"/>
      <c r="AS173" s="26"/>
      <c r="AT173" s="26"/>
      <c r="AU173" s="26"/>
      <c r="AV173" s="26"/>
      <c r="AW173" s="26"/>
      <c r="AX173" s="26"/>
      <c r="AY173" s="26"/>
      <c r="AZ173" s="26"/>
      <c r="BA173" s="26"/>
      <c r="BB173" s="26"/>
      <c r="BC173" s="26"/>
      <c r="BD173" s="26"/>
      <c r="BE173" s="26"/>
      <c r="BF173" s="26"/>
      <c r="BG173" s="26"/>
      <c r="BH173" s="26"/>
      <c r="BI173" s="26"/>
      <c r="BJ173" s="26"/>
      <c r="BK173" s="26"/>
      <c r="BL173" s="26"/>
      <c r="BM173" s="26"/>
      <c r="BN173" s="26"/>
      <c r="BO173" s="26"/>
      <c r="BP173" s="26"/>
      <c r="BQ173" s="26"/>
      <c r="BR173" s="26"/>
      <c r="BS173" s="26"/>
      <c r="BT173" s="26"/>
      <c r="BU173" s="26"/>
      <c r="BV173" s="26"/>
      <c r="BW173" s="26"/>
      <c r="BX173" s="26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26"/>
      <c r="CP173" s="26"/>
      <c r="CQ173" s="26"/>
      <c r="CR173" s="26"/>
      <c r="CS173" s="26"/>
      <c r="CT173" s="26"/>
      <c r="CU173" s="26"/>
      <c r="CV173" s="26"/>
      <c r="CW173" s="26"/>
      <c r="CX173" s="26"/>
      <c r="CY173" s="26"/>
      <c r="CZ173" s="26"/>
    </row>
    <row r="174" spans="1:104" x14ac:dyDescent="0.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26"/>
      <c r="AM174" s="26"/>
      <c r="AN174" s="26"/>
      <c r="AO174" s="26"/>
      <c r="AP174" s="26"/>
      <c r="AQ174" s="26"/>
      <c r="AR174" s="26"/>
      <c r="AS174" s="26"/>
      <c r="AT174" s="26"/>
      <c r="AU174" s="26"/>
      <c r="AV174" s="26"/>
      <c r="AW174" s="26"/>
      <c r="AX174" s="26"/>
      <c r="AY174" s="26"/>
      <c r="AZ174" s="26"/>
      <c r="BA174" s="26"/>
      <c r="BB174" s="26"/>
      <c r="BC174" s="26"/>
      <c r="BD174" s="26"/>
      <c r="BE174" s="26"/>
      <c r="BF174" s="26"/>
      <c r="BG174" s="26"/>
      <c r="BH174" s="26"/>
      <c r="BI174" s="26"/>
      <c r="BJ174" s="26"/>
      <c r="BK174" s="26"/>
      <c r="BL174" s="26"/>
      <c r="BM174" s="26"/>
      <c r="BN174" s="26"/>
      <c r="BO174" s="26"/>
      <c r="BP174" s="26"/>
      <c r="BQ174" s="26"/>
      <c r="BR174" s="26"/>
      <c r="BS174" s="26"/>
      <c r="BT174" s="26"/>
      <c r="BU174" s="26"/>
      <c r="BV174" s="26"/>
      <c r="BW174" s="26"/>
      <c r="BX174" s="26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26"/>
      <c r="CP174" s="26"/>
      <c r="CQ174" s="26"/>
      <c r="CR174" s="26"/>
      <c r="CS174" s="26"/>
      <c r="CT174" s="26"/>
      <c r="CU174" s="26"/>
      <c r="CV174" s="26"/>
      <c r="CW174" s="26"/>
      <c r="CX174" s="26"/>
      <c r="CY174" s="26"/>
      <c r="CZ174" s="26"/>
    </row>
    <row r="175" spans="1:104" x14ac:dyDescent="0.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6"/>
      <c r="AP175" s="26"/>
      <c r="AQ175" s="26"/>
      <c r="AR175" s="26"/>
      <c r="AS175" s="26"/>
      <c r="AT175" s="26"/>
      <c r="AU175" s="26"/>
      <c r="AV175" s="26"/>
      <c r="AW175" s="26"/>
      <c r="AX175" s="26"/>
      <c r="AY175" s="26"/>
      <c r="AZ175" s="26"/>
      <c r="BA175" s="26"/>
      <c r="BB175" s="26"/>
      <c r="BC175" s="26"/>
      <c r="BD175" s="26"/>
      <c r="BE175" s="26"/>
      <c r="BF175" s="26"/>
      <c r="BG175" s="26"/>
      <c r="BH175" s="26"/>
      <c r="BI175" s="26"/>
      <c r="BJ175" s="26"/>
      <c r="BK175" s="26"/>
      <c r="BL175" s="26"/>
      <c r="BM175" s="26"/>
      <c r="BN175" s="26"/>
      <c r="BO175" s="26"/>
      <c r="BP175" s="26"/>
      <c r="BQ175" s="26"/>
      <c r="BR175" s="26"/>
      <c r="BS175" s="26"/>
      <c r="BT175" s="26"/>
      <c r="BU175" s="26"/>
      <c r="BV175" s="26"/>
      <c r="BW175" s="26"/>
      <c r="BX175" s="26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26"/>
      <c r="CP175" s="26"/>
      <c r="CQ175" s="26"/>
      <c r="CR175" s="26"/>
      <c r="CS175" s="26"/>
      <c r="CT175" s="26"/>
      <c r="CU175" s="26"/>
      <c r="CV175" s="26"/>
      <c r="CW175" s="26"/>
      <c r="CX175" s="26"/>
      <c r="CY175" s="26"/>
      <c r="CZ175" s="26"/>
    </row>
    <row r="176" spans="1:104" x14ac:dyDescent="0.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6"/>
      <c r="AM176" s="26"/>
      <c r="AN176" s="26"/>
      <c r="AO176" s="26"/>
      <c r="AP176" s="26"/>
      <c r="AQ176" s="26"/>
      <c r="AR176" s="26"/>
      <c r="AS176" s="26"/>
      <c r="AT176" s="26"/>
      <c r="AU176" s="26"/>
      <c r="AV176" s="26"/>
      <c r="AW176" s="26"/>
      <c r="AX176" s="26"/>
      <c r="AY176" s="26"/>
      <c r="AZ176" s="26"/>
      <c r="BA176" s="26"/>
      <c r="BB176" s="26"/>
      <c r="BC176" s="26"/>
      <c r="BD176" s="26"/>
      <c r="BE176" s="26"/>
      <c r="BF176" s="26"/>
      <c r="BG176" s="26"/>
      <c r="BH176" s="26"/>
      <c r="BI176" s="26"/>
      <c r="BJ176" s="26"/>
      <c r="BK176" s="26"/>
      <c r="BL176" s="26"/>
      <c r="BM176" s="26"/>
      <c r="BN176" s="26"/>
      <c r="BO176" s="26"/>
      <c r="BP176" s="26"/>
      <c r="BQ176" s="26"/>
      <c r="BR176" s="26"/>
      <c r="BS176" s="26"/>
      <c r="BT176" s="26"/>
      <c r="BU176" s="26"/>
      <c r="BV176" s="26"/>
      <c r="BW176" s="26"/>
      <c r="BX176" s="26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26"/>
      <c r="CP176" s="26"/>
      <c r="CQ176" s="26"/>
      <c r="CR176" s="26"/>
      <c r="CS176" s="26"/>
      <c r="CT176" s="26"/>
      <c r="CU176" s="26"/>
      <c r="CV176" s="26"/>
      <c r="CW176" s="26"/>
      <c r="CX176" s="26"/>
      <c r="CY176" s="26"/>
      <c r="CZ176" s="26"/>
    </row>
    <row r="177" spans="1:104" x14ac:dyDescent="0.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  <c r="AO177" s="26"/>
      <c r="AP177" s="26"/>
      <c r="AQ177" s="26"/>
      <c r="AR177" s="26"/>
      <c r="AS177" s="26"/>
      <c r="AT177" s="26"/>
      <c r="AU177" s="26"/>
      <c r="AV177" s="26"/>
      <c r="AW177" s="26"/>
      <c r="AX177" s="26"/>
      <c r="AY177" s="26"/>
      <c r="AZ177" s="26"/>
      <c r="BA177" s="26"/>
      <c r="BB177" s="26"/>
      <c r="BC177" s="26"/>
      <c r="BD177" s="26"/>
      <c r="BE177" s="26"/>
      <c r="BF177" s="26"/>
      <c r="BG177" s="26"/>
      <c r="BH177" s="26"/>
      <c r="BI177" s="26"/>
      <c r="BJ177" s="26"/>
      <c r="BK177" s="26"/>
      <c r="BL177" s="26"/>
      <c r="BM177" s="26"/>
      <c r="BN177" s="26"/>
      <c r="BO177" s="26"/>
      <c r="BP177" s="26"/>
      <c r="BQ177" s="26"/>
      <c r="BR177" s="26"/>
      <c r="BS177" s="26"/>
      <c r="BT177" s="26"/>
      <c r="BU177" s="26"/>
      <c r="BV177" s="26"/>
      <c r="BW177" s="26"/>
      <c r="BX177" s="26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26"/>
      <c r="CP177" s="26"/>
      <c r="CQ177" s="26"/>
      <c r="CR177" s="26"/>
      <c r="CS177" s="26"/>
      <c r="CT177" s="26"/>
      <c r="CU177" s="26"/>
      <c r="CV177" s="26"/>
      <c r="CW177" s="26"/>
      <c r="CX177" s="26"/>
      <c r="CY177" s="26"/>
      <c r="CZ177" s="26"/>
    </row>
    <row r="178" spans="1:104" x14ac:dyDescent="0.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  <c r="AL178" s="26"/>
      <c r="AM178" s="26"/>
      <c r="AN178" s="26"/>
      <c r="AO178" s="26"/>
      <c r="AP178" s="26"/>
      <c r="AQ178" s="26"/>
      <c r="AR178" s="26"/>
      <c r="AS178" s="26"/>
      <c r="AT178" s="26"/>
      <c r="AU178" s="26"/>
      <c r="AV178" s="26"/>
      <c r="AW178" s="26"/>
      <c r="AX178" s="26"/>
      <c r="AY178" s="26"/>
      <c r="AZ178" s="26"/>
      <c r="BA178" s="26"/>
      <c r="BB178" s="26"/>
      <c r="BC178" s="26"/>
      <c r="BD178" s="26"/>
      <c r="BE178" s="26"/>
      <c r="BF178" s="26"/>
      <c r="BG178" s="26"/>
      <c r="BH178" s="26"/>
      <c r="BI178" s="26"/>
      <c r="BJ178" s="26"/>
      <c r="BK178" s="26"/>
      <c r="BL178" s="26"/>
      <c r="BM178" s="26"/>
      <c r="BN178" s="26"/>
      <c r="BO178" s="26"/>
      <c r="BP178" s="26"/>
      <c r="BQ178" s="26"/>
      <c r="BR178" s="26"/>
      <c r="BS178" s="26"/>
      <c r="BT178" s="26"/>
      <c r="BU178" s="26"/>
      <c r="BV178" s="26"/>
      <c r="BW178" s="26"/>
      <c r="BX178" s="26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26"/>
      <c r="CP178" s="26"/>
      <c r="CQ178" s="26"/>
      <c r="CR178" s="26"/>
      <c r="CS178" s="26"/>
      <c r="CT178" s="26"/>
      <c r="CU178" s="26"/>
      <c r="CV178" s="26"/>
      <c r="CW178" s="26"/>
      <c r="CX178" s="26"/>
      <c r="CY178" s="26"/>
      <c r="CZ178" s="26"/>
    </row>
    <row r="179" spans="1:104" x14ac:dyDescent="0.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6"/>
      <c r="AM179" s="26"/>
      <c r="AN179" s="26"/>
      <c r="AO179" s="26"/>
      <c r="AP179" s="26"/>
      <c r="AQ179" s="26"/>
      <c r="AR179" s="26"/>
      <c r="AS179" s="26"/>
      <c r="AT179" s="26"/>
      <c r="AU179" s="26"/>
      <c r="AV179" s="26"/>
      <c r="AW179" s="26"/>
      <c r="AX179" s="26"/>
      <c r="AY179" s="26"/>
      <c r="AZ179" s="26"/>
      <c r="BA179" s="26"/>
      <c r="BB179" s="26"/>
      <c r="BC179" s="26"/>
      <c r="BD179" s="26"/>
      <c r="BE179" s="26"/>
      <c r="BF179" s="26"/>
      <c r="BG179" s="26"/>
      <c r="BH179" s="26"/>
      <c r="BI179" s="26"/>
      <c r="BJ179" s="26"/>
      <c r="BK179" s="26"/>
      <c r="BL179" s="26"/>
      <c r="BM179" s="26"/>
      <c r="BN179" s="26"/>
      <c r="BO179" s="26"/>
      <c r="BP179" s="26"/>
      <c r="BQ179" s="26"/>
      <c r="BR179" s="26"/>
      <c r="BS179" s="26"/>
      <c r="BT179" s="26"/>
      <c r="BU179" s="26"/>
      <c r="BV179" s="26"/>
      <c r="BW179" s="26"/>
      <c r="BX179" s="26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26"/>
      <c r="CP179" s="26"/>
      <c r="CQ179" s="26"/>
      <c r="CR179" s="26"/>
      <c r="CS179" s="26"/>
      <c r="CT179" s="26"/>
      <c r="CU179" s="26"/>
      <c r="CV179" s="26"/>
      <c r="CW179" s="26"/>
      <c r="CX179" s="26"/>
      <c r="CY179" s="26"/>
      <c r="CZ179" s="26"/>
    </row>
    <row r="180" spans="1:104" x14ac:dyDescent="0.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  <c r="AL180" s="26"/>
      <c r="AM180" s="26"/>
      <c r="AN180" s="26"/>
      <c r="AO180" s="26"/>
      <c r="AP180" s="26"/>
      <c r="AQ180" s="26"/>
      <c r="AR180" s="26"/>
      <c r="AS180" s="26"/>
      <c r="AT180" s="26"/>
      <c r="AU180" s="26"/>
      <c r="AV180" s="26"/>
      <c r="AW180" s="26"/>
      <c r="AX180" s="26"/>
      <c r="AY180" s="26"/>
      <c r="AZ180" s="26"/>
      <c r="BA180" s="26"/>
      <c r="BB180" s="26"/>
      <c r="BC180" s="26"/>
      <c r="BD180" s="26"/>
      <c r="BE180" s="26"/>
      <c r="BF180" s="26"/>
      <c r="BG180" s="26"/>
      <c r="BH180" s="26"/>
      <c r="BI180" s="26"/>
      <c r="BJ180" s="26"/>
      <c r="BK180" s="26"/>
      <c r="BL180" s="26"/>
      <c r="BM180" s="26"/>
      <c r="BN180" s="26"/>
      <c r="BO180" s="26"/>
      <c r="BP180" s="26"/>
      <c r="BQ180" s="26"/>
      <c r="BR180" s="26"/>
      <c r="BS180" s="26"/>
      <c r="BT180" s="26"/>
      <c r="BU180" s="26"/>
      <c r="BV180" s="26"/>
      <c r="BW180" s="26"/>
      <c r="BX180" s="26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26"/>
      <c r="CP180" s="26"/>
      <c r="CQ180" s="26"/>
      <c r="CR180" s="26"/>
      <c r="CS180" s="26"/>
      <c r="CT180" s="26"/>
      <c r="CU180" s="26"/>
      <c r="CV180" s="26"/>
      <c r="CW180" s="26"/>
      <c r="CX180" s="26"/>
      <c r="CY180" s="26"/>
      <c r="CZ180" s="26"/>
    </row>
    <row r="181" spans="1:104" x14ac:dyDescent="0.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6"/>
      <c r="AM181" s="26"/>
      <c r="AN181" s="26"/>
      <c r="AO181" s="26"/>
      <c r="AP181" s="26"/>
      <c r="AQ181" s="26"/>
      <c r="AR181" s="26"/>
      <c r="AS181" s="26"/>
      <c r="AT181" s="26"/>
      <c r="AU181" s="26"/>
      <c r="AV181" s="26"/>
      <c r="AW181" s="26"/>
      <c r="AX181" s="26"/>
      <c r="AY181" s="26"/>
      <c r="AZ181" s="26"/>
      <c r="BA181" s="26"/>
      <c r="BB181" s="26"/>
      <c r="BC181" s="26"/>
      <c r="BD181" s="26"/>
      <c r="BE181" s="26"/>
      <c r="BF181" s="26"/>
      <c r="BG181" s="26"/>
      <c r="BH181" s="26"/>
      <c r="BI181" s="26"/>
      <c r="BJ181" s="26"/>
      <c r="BK181" s="26"/>
      <c r="BL181" s="26"/>
      <c r="BM181" s="26"/>
      <c r="BN181" s="26"/>
      <c r="BO181" s="26"/>
      <c r="BP181" s="26"/>
      <c r="BQ181" s="26"/>
      <c r="BR181" s="26"/>
      <c r="BS181" s="26"/>
      <c r="BT181" s="26"/>
      <c r="BU181" s="26"/>
      <c r="BV181" s="26"/>
      <c r="BW181" s="26"/>
      <c r="BX181" s="26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26"/>
      <c r="CP181" s="26"/>
      <c r="CQ181" s="26"/>
      <c r="CR181" s="26"/>
      <c r="CS181" s="26"/>
      <c r="CT181" s="26"/>
      <c r="CU181" s="26"/>
      <c r="CV181" s="26"/>
      <c r="CW181" s="26"/>
      <c r="CX181" s="26"/>
      <c r="CY181" s="26"/>
      <c r="CZ181" s="26"/>
    </row>
    <row r="182" spans="1:104" x14ac:dyDescent="0.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  <c r="AL182" s="26"/>
      <c r="AM182" s="26"/>
      <c r="AN182" s="26"/>
      <c r="AO182" s="26"/>
      <c r="AP182" s="26"/>
      <c r="AQ182" s="26"/>
      <c r="AR182" s="26"/>
      <c r="AS182" s="26"/>
      <c r="AT182" s="26"/>
      <c r="AU182" s="26"/>
      <c r="AV182" s="26"/>
      <c r="AW182" s="26"/>
      <c r="AX182" s="26"/>
      <c r="AY182" s="26"/>
      <c r="AZ182" s="26"/>
      <c r="BA182" s="26"/>
      <c r="BB182" s="26"/>
      <c r="BC182" s="26"/>
      <c r="BD182" s="26"/>
      <c r="BE182" s="26"/>
      <c r="BF182" s="26"/>
      <c r="BG182" s="26"/>
      <c r="BH182" s="26"/>
      <c r="BI182" s="26"/>
      <c r="BJ182" s="26"/>
      <c r="BK182" s="26"/>
      <c r="BL182" s="26"/>
      <c r="BM182" s="26"/>
      <c r="BN182" s="26"/>
      <c r="BO182" s="26"/>
      <c r="BP182" s="26"/>
      <c r="BQ182" s="26"/>
      <c r="BR182" s="26"/>
      <c r="BS182" s="26"/>
      <c r="BT182" s="26"/>
      <c r="BU182" s="26"/>
      <c r="BV182" s="26"/>
      <c r="BW182" s="26"/>
      <c r="BX182" s="26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26"/>
      <c r="CP182" s="26"/>
      <c r="CQ182" s="26"/>
      <c r="CR182" s="26"/>
      <c r="CS182" s="26"/>
      <c r="CT182" s="26"/>
      <c r="CU182" s="26"/>
      <c r="CV182" s="26"/>
      <c r="CW182" s="26"/>
      <c r="CX182" s="26"/>
      <c r="CY182" s="26"/>
      <c r="CZ182" s="26"/>
    </row>
    <row r="183" spans="1:104" x14ac:dyDescent="0.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6"/>
      <c r="AM183" s="26"/>
      <c r="AN183" s="26"/>
      <c r="AO183" s="26"/>
      <c r="AP183" s="26"/>
      <c r="AQ183" s="26"/>
      <c r="AR183" s="26"/>
      <c r="AS183" s="26"/>
      <c r="AT183" s="26"/>
      <c r="AU183" s="26"/>
      <c r="AV183" s="26"/>
      <c r="AW183" s="26"/>
      <c r="AX183" s="26"/>
      <c r="AY183" s="26"/>
      <c r="AZ183" s="26"/>
      <c r="BA183" s="26"/>
      <c r="BB183" s="26"/>
      <c r="BC183" s="26"/>
      <c r="BD183" s="26"/>
      <c r="BE183" s="26"/>
      <c r="BF183" s="26"/>
      <c r="BG183" s="26"/>
      <c r="BH183" s="26"/>
      <c r="BI183" s="26"/>
      <c r="BJ183" s="26"/>
      <c r="BK183" s="26"/>
      <c r="BL183" s="26"/>
      <c r="BM183" s="26"/>
      <c r="BN183" s="26"/>
      <c r="BO183" s="26"/>
      <c r="BP183" s="26"/>
      <c r="BQ183" s="26"/>
      <c r="BR183" s="26"/>
      <c r="BS183" s="26"/>
      <c r="BT183" s="26"/>
      <c r="BU183" s="26"/>
      <c r="BV183" s="26"/>
      <c r="BW183" s="26"/>
      <c r="BX183" s="26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26"/>
      <c r="CP183" s="26"/>
      <c r="CQ183" s="26"/>
      <c r="CR183" s="26"/>
      <c r="CS183" s="26"/>
      <c r="CT183" s="26"/>
      <c r="CU183" s="26"/>
      <c r="CV183" s="26"/>
      <c r="CW183" s="26"/>
      <c r="CX183" s="26"/>
      <c r="CY183" s="26"/>
      <c r="CZ183" s="26"/>
    </row>
    <row r="184" spans="1:104" x14ac:dyDescent="0.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6"/>
      <c r="AP184" s="26"/>
      <c r="AQ184" s="26"/>
      <c r="AR184" s="26"/>
      <c r="AS184" s="26"/>
      <c r="AT184" s="26"/>
      <c r="AU184" s="26"/>
      <c r="AV184" s="26"/>
      <c r="AW184" s="26"/>
      <c r="AX184" s="26"/>
      <c r="AY184" s="26"/>
      <c r="AZ184" s="26"/>
      <c r="BA184" s="26"/>
      <c r="BB184" s="26"/>
      <c r="BC184" s="26"/>
      <c r="BD184" s="26"/>
      <c r="BE184" s="26"/>
      <c r="BF184" s="26"/>
      <c r="BG184" s="26"/>
      <c r="BH184" s="26"/>
      <c r="BI184" s="26"/>
      <c r="BJ184" s="26"/>
      <c r="BK184" s="26"/>
      <c r="BL184" s="26"/>
      <c r="BM184" s="26"/>
      <c r="BN184" s="26"/>
      <c r="BO184" s="26"/>
      <c r="BP184" s="26"/>
      <c r="BQ184" s="26"/>
      <c r="BR184" s="26"/>
      <c r="BS184" s="26"/>
      <c r="BT184" s="26"/>
      <c r="BU184" s="26"/>
      <c r="BV184" s="26"/>
      <c r="BW184" s="26"/>
      <c r="BX184" s="26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26"/>
      <c r="CP184" s="26"/>
      <c r="CQ184" s="26"/>
      <c r="CR184" s="26"/>
      <c r="CS184" s="26"/>
      <c r="CT184" s="26"/>
      <c r="CU184" s="26"/>
      <c r="CV184" s="26"/>
      <c r="CW184" s="26"/>
      <c r="CX184" s="26"/>
      <c r="CY184" s="26"/>
      <c r="CZ184" s="26"/>
    </row>
    <row r="185" spans="1:104" x14ac:dyDescent="0.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26"/>
      <c r="AP185" s="26"/>
      <c r="AQ185" s="26"/>
      <c r="AR185" s="26"/>
      <c r="AS185" s="26"/>
      <c r="AT185" s="26"/>
      <c r="AU185" s="26"/>
      <c r="AV185" s="26"/>
      <c r="AW185" s="26"/>
      <c r="AX185" s="26"/>
      <c r="AY185" s="26"/>
      <c r="AZ185" s="26"/>
      <c r="BA185" s="26"/>
      <c r="BB185" s="26"/>
      <c r="BC185" s="26"/>
      <c r="BD185" s="26"/>
      <c r="BE185" s="26"/>
      <c r="BF185" s="26"/>
      <c r="BG185" s="26"/>
      <c r="BH185" s="26"/>
      <c r="BI185" s="26"/>
      <c r="BJ185" s="26"/>
      <c r="BK185" s="26"/>
      <c r="BL185" s="26"/>
      <c r="BM185" s="26"/>
      <c r="BN185" s="26"/>
      <c r="BO185" s="26"/>
      <c r="BP185" s="26"/>
      <c r="BQ185" s="26"/>
      <c r="BR185" s="26"/>
      <c r="BS185" s="26"/>
      <c r="BT185" s="26"/>
      <c r="BU185" s="26"/>
      <c r="BV185" s="26"/>
      <c r="BW185" s="26"/>
      <c r="BX185" s="26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26"/>
      <c r="CP185" s="26"/>
      <c r="CQ185" s="26"/>
      <c r="CR185" s="26"/>
      <c r="CS185" s="26"/>
      <c r="CT185" s="26"/>
      <c r="CU185" s="26"/>
      <c r="CV185" s="26"/>
      <c r="CW185" s="26"/>
      <c r="CX185" s="26"/>
      <c r="CY185" s="26"/>
      <c r="CZ185" s="26"/>
    </row>
    <row r="186" spans="1:104" x14ac:dyDescent="0.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6"/>
      <c r="AM186" s="26"/>
      <c r="AN186" s="26"/>
      <c r="AO186" s="26"/>
      <c r="AP186" s="26"/>
      <c r="AQ186" s="26"/>
      <c r="AR186" s="26"/>
      <c r="AS186" s="26"/>
      <c r="AT186" s="26"/>
      <c r="AU186" s="26"/>
      <c r="AV186" s="26"/>
      <c r="AW186" s="26"/>
      <c r="AX186" s="26"/>
      <c r="AY186" s="26"/>
      <c r="AZ186" s="26"/>
      <c r="BA186" s="26"/>
      <c r="BB186" s="26"/>
      <c r="BC186" s="26"/>
      <c r="BD186" s="26"/>
      <c r="BE186" s="26"/>
      <c r="BF186" s="26"/>
      <c r="BG186" s="26"/>
      <c r="BH186" s="26"/>
      <c r="BI186" s="26"/>
      <c r="BJ186" s="26"/>
      <c r="BK186" s="26"/>
      <c r="BL186" s="26"/>
      <c r="BM186" s="26"/>
      <c r="BN186" s="26"/>
      <c r="BO186" s="26"/>
      <c r="BP186" s="26"/>
      <c r="BQ186" s="26"/>
      <c r="BR186" s="26"/>
      <c r="BS186" s="26"/>
      <c r="BT186" s="26"/>
      <c r="BU186" s="26"/>
      <c r="BV186" s="26"/>
      <c r="BW186" s="26"/>
      <c r="BX186" s="26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26"/>
      <c r="CP186" s="26"/>
      <c r="CQ186" s="26"/>
      <c r="CR186" s="26"/>
      <c r="CS186" s="26"/>
      <c r="CT186" s="26"/>
      <c r="CU186" s="26"/>
      <c r="CV186" s="26"/>
      <c r="CW186" s="26"/>
      <c r="CX186" s="26"/>
      <c r="CY186" s="26"/>
      <c r="CZ186" s="26"/>
    </row>
    <row r="187" spans="1:104" x14ac:dyDescent="0.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6"/>
      <c r="AM187" s="26"/>
      <c r="AN187" s="26"/>
      <c r="AO187" s="26"/>
      <c r="AP187" s="26"/>
      <c r="AQ187" s="26"/>
      <c r="AR187" s="26"/>
      <c r="AS187" s="26"/>
      <c r="AT187" s="26"/>
      <c r="AU187" s="26"/>
      <c r="AV187" s="26"/>
      <c r="AW187" s="26"/>
      <c r="AX187" s="26"/>
      <c r="AY187" s="26"/>
      <c r="AZ187" s="26"/>
      <c r="BA187" s="26"/>
      <c r="BB187" s="26"/>
      <c r="BC187" s="26"/>
      <c r="BD187" s="26"/>
      <c r="BE187" s="26"/>
      <c r="BF187" s="26"/>
      <c r="BG187" s="26"/>
      <c r="BH187" s="26"/>
      <c r="BI187" s="26"/>
      <c r="BJ187" s="26"/>
      <c r="BK187" s="26"/>
      <c r="BL187" s="26"/>
      <c r="BM187" s="26"/>
      <c r="BN187" s="26"/>
      <c r="BO187" s="26"/>
      <c r="BP187" s="26"/>
      <c r="BQ187" s="26"/>
      <c r="BR187" s="26"/>
      <c r="BS187" s="26"/>
      <c r="BT187" s="26"/>
      <c r="BU187" s="26"/>
      <c r="BV187" s="26"/>
      <c r="BW187" s="26"/>
      <c r="BX187" s="26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26"/>
      <c r="CP187" s="26"/>
      <c r="CQ187" s="26"/>
      <c r="CR187" s="26"/>
      <c r="CS187" s="26"/>
      <c r="CT187" s="26"/>
      <c r="CU187" s="26"/>
      <c r="CV187" s="26"/>
      <c r="CW187" s="26"/>
      <c r="CX187" s="26"/>
      <c r="CY187" s="26"/>
      <c r="CZ187" s="26"/>
    </row>
    <row r="188" spans="1:104" x14ac:dyDescent="0.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  <c r="AW188" s="26"/>
      <c r="AX188" s="26"/>
      <c r="AY188" s="26"/>
      <c r="AZ188" s="26"/>
      <c r="BA188" s="26"/>
      <c r="BB188" s="26"/>
      <c r="BC188" s="26"/>
      <c r="BD188" s="26"/>
      <c r="BE188" s="26"/>
      <c r="BF188" s="26"/>
      <c r="BG188" s="26"/>
      <c r="BH188" s="26"/>
      <c r="BI188" s="26"/>
      <c r="BJ188" s="26"/>
      <c r="BK188" s="26"/>
      <c r="BL188" s="26"/>
      <c r="BM188" s="26"/>
      <c r="BN188" s="26"/>
      <c r="BO188" s="26"/>
      <c r="BP188" s="26"/>
      <c r="BQ188" s="26"/>
      <c r="BR188" s="26"/>
      <c r="BS188" s="26"/>
      <c r="BT188" s="26"/>
      <c r="BU188" s="26"/>
      <c r="BV188" s="26"/>
      <c r="BW188" s="26"/>
      <c r="BX188" s="26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26"/>
      <c r="CP188" s="26"/>
      <c r="CQ188" s="26"/>
      <c r="CR188" s="26"/>
      <c r="CS188" s="26"/>
      <c r="CT188" s="26"/>
      <c r="CU188" s="26"/>
      <c r="CV188" s="26"/>
      <c r="CW188" s="26"/>
      <c r="CX188" s="26"/>
      <c r="CY188" s="26"/>
      <c r="CZ188" s="26"/>
    </row>
    <row r="189" spans="1:104" x14ac:dyDescent="0.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6"/>
      <c r="AM189" s="26"/>
      <c r="AN189" s="26"/>
      <c r="AO189" s="26"/>
      <c r="AP189" s="26"/>
      <c r="AQ189" s="26"/>
      <c r="AR189" s="26"/>
      <c r="AS189" s="26"/>
      <c r="AT189" s="26"/>
      <c r="AU189" s="26"/>
      <c r="AV189" s="26"/>
      <c r="AW189" s="26"/>
      <c r="AX189" s="26"/>
      <c r="AY189" s="26"/>
      <c r="AZ189" s="26"/>
      <c r="BA189" s="26"/>
      <c r="BB189" s="26"/>
      <c r="BC189" s="26"/>
      <c r="BD189" s="26"/>
      <c r="BE189" s="26"/>
      <c r="BF189" s="26"/>
      <c r="BG189" s="26"/>
      <c r="BH189" s="26"/>
      <c r="BI189" s="26"/>
      <c r="BJ189" s="26"/>
      <c r="BK189" s="26"/>
      <c r="BL189" s="26"/>
      <c r="BM189" s="26"/>
      <c r="BN189" s="26"/>
      <c r="BO189" s="26"/>
      <c r="BP189" s="26"/>
      <c r="BQ189" s="26"/>
      <c r="BR189" s="26"/>
      <c r="BS189" s="26"/>
      <c r="BT189" s="26"/>
      <c r="BU189" s="26"/>
      <c r="BV189" s="26"/>
      <c r="BW189" s="26"/>
      <c r="BX189" s="26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26"/>
      <c r="CP189" s="26"/>
      <c r="CQ189" s="26"/>
      <c r="CR189" s="26"/>
      <c r="CS189" s="26"/>
      <c r="CT189" s="26"/>
      <c r="CU189" s="26"/>
      <c r="CV189" s="26"/>
      <c r="CW189" s="26"/>
      <c r="CX189" s="26"/>
      <c r="CY189" s="26"/>
      <c r="CZ189" s="26"/>
    </row>
    <row r="190" spans="1:104" x14ac:dyDescent="0.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26"/>
      <c r="AP190" s="26"/>
      <c r="AQ190" s="26"/>
      <c r="AR190" s="26"/>
      <c r="AS190" s="26"/>
      <c r="AT190" s="26"/>
      <c r="AU190" s="26"/>
      <c r="AV190" s="26"/>
      <c r="AW190" s="26"/>
      <c r="AX190" s="26"/>
      <c r="AY190" s="26"/>
      <c r="AZ190" s="26"/>
      <c r="BA190" s="26"/>
      <c r="BB190" s="26"/>
      <c r="BC190" s="26"/>
      <c r="BD190" s="26"/>
      <c r="BE190" s="26"/>
      <c r="BF190" s="26"/>
      <c r="BG190" s="26"/>
      <c r="BH190" s="26"/>
      <c r="BI190" s="26"/>
      <c r="BJ190" s="26"/>
      <c r="BK190" s="26"/>
      <c r="BL190" s="26"/>
      <c r="BM190" s="26"/>
      <c r="BN190" s="26"/>
      <c r="BO190" s="26"/>
      <c r="BP190" s="26"/>
      <c r="BQ190" s="26"/>
      <c r="BR190" s="26"/>
      <c r="BS190" s="26"/>
      <c r="BT190" s="26"/>
      <c r="BU190" s="26"/>
      <c r="BV190" s="26"/>
      <c r="BW190" s="26"/>
      <c r="BX190" s="26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26"/>
      <c r="CP190" s="26"/>
      <c r="CQ190" s="26"/>
      <c r="CR190" s="26"/>
      <c r="CS190" s="26"/>
      <c r="CT190" s="26"/>
      <c r="CU190" s="26"/>
      <c r="CV190" s="26"/>
      <c r="CW190" s="26"/>
      <c r="CX190" s="26"/>
      <c r="CY190" s="26"/>
      <c r="CZ190" s="26"/>
    </row>
    <row r="191" spans="1:104" x14ac:dyDescent="0.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26"/>
      <c r="AP191" s="26"/>
      <c r="AQ191" s="26"/>
      <c r="AR191" s="26"/>
      <c r="AS191" s="26"/>
      <c r="AT191" s="26"/>
      <c r="AU191" s="26"/>
      <c r="AV191" s="26"/>
      <c r="AW191" s="26"/>
      <c r="AX191" s="26"/>
      <c r="AY191" s="26"/>
      <c r="AZ191" s="26"/>
      <c r="BA191" s="26"/>
      <c r="BB191" s="26"/>
      <c r="BC191" s="26"/>
      <c r="BD191" s="26"/>
      <c r="BE191" s="26"/>
      <c r="BF191" s="26"/>
      <c r="BG191" s="26"/>
      <c r="BH191" s="26"/>
      <c r="BI191" s="26"/>
      <c r="BJ191" s="26"/>
      <c r="BK191" s="26"/>
      <c r="BL191" s="26"/>
      <c r="BM191" s="26"/>
      <c r="BN191" s="26"/>
      <c r="BO191" s="26"/>
      <c r="BP191" s="26"/>
      <c r="BQ191" s="26"/>
      <c r="BR191" s="26"/>
      <c r="BS191" s="26"/>
      <c r="BT191" s="26"/>
      <c r="BU191" s="26"/>
      <c r="BV191" s="26"/>
      <c r="BW191" s="26"/>
      <c r="BX191" s="26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26"/>
      <c r="CP191" s="26"/>
      <c r="CQ191" s="26"/>
      <c r="CR191" s="26"/>
      <c r="CS191" s="26"/>
      <c r="CT191" s="26"/>
      <c r="CU191" s="26"/>
      <c r="CV191" s="26"/>
      <c r="CW191" s="26"/>
      <c r="CX191" s="26"/>
      <c r="CY191" s="26"/>
      <c r="CZ191" s="26"/>
    </row>
    <row r="192" spans="1:104" x14ac:dyDescent="0.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6"/>
      <c r="AP192" s="26"/>
      <c r="AQ192" s="26"/>
      <c r="AR192" s="26"/>
      <c r="AS192" s="26"/>
      <c r="AT192" s="26"/>
      <c r="AU192" s="26"/>
      <c r="AV192" s="26"/>
      <c r="AW192" s="26"/>
      <c r="AX192" s="26"/>
      <c r="AY192" s="26"/>
      <c r="AZ192" s="26"/>
      <c r="BA192" s="26"/>
      <c r="BB192" s="26"/>
      <c r="BC192" s="26"/>
      <c r="BD192" s="26"/>
      <c r="BE192" s="26"/>
      <c r="BF192" s="26"/>
      <c r="BG192" s="26"/>
      <c r="BH192" s="26"/>
      <c r="BI192" s="26"/>
      <c r="BJ192" s="26"/>
      <c r="BK192" s="26"/>
      <c r="BL192" s="26"/>
      <c r="BM192" s="26"/>
      <c r="BN192" s="26"/>
      <c r="BO192" s="26"/>
      <c r="BP192" s="26"/>
      <c r="BQ192" s="26"/>
      <c r="BR192" s="26"/>
      <c r="BS192" s="26"/>
      <c r="BT192" s="26"/>
      <c r="BU192" s="26"/>
      <c r="BV192" s="26"/>
      <c r="BW192" s="26"/>
      <c r="BX192" s="26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26"/>
      <c r="CP192" s="26"/>
      <c r="CQ192" s="26"/>
      <c r="CR192" s="26"/>
      <c r="CS192" s="26"/>
      <c r="CT192" s="26"/>
      <c r="CU192" s="26"/>
      <c r="CV192" s="26"/>
      <c r="CW192" s="26"/>
      <c r="CX192" s="26"/>
      <c r="CY192" s="26"/>
      <c r="CZ192" s="26"/>
    </row>
    <row r="193" spans="1:104" x14ac:dyDescent="0.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AT193" s="26"/>
      <c r="AU193" s="26"/>
      <c r="AV193" s="26"/>
      <c r="AW193" s="26"/>
      <c r="AX193" s="26"/>
      <c r="AY193" s="26"/>
      <c r="AZ193" s="26"/>
      <c r="BA193" s="26"/>
      <c r="BB193" s="26"/>
      <c r="BC193" s="26"/>
      <c r="BD193" s="26"/>
      <c r="BE193" s="26"/>
      <c r="BF193" s="26"/>
      <c r="BG193" s="26"/>
      <c r="BH193" s="26"/>
      <c r="BI193" s="26"/>
      <c r="BJ193" s="26"/>
      <c r="BK193" s="26"/>
      <c r="BL193" s="26"/>
      <c r="BM193" s="26"/>
      <c r="BN193" s="26"/>
      <c r="BO193" s="26"/>
      <c r="BP193" s="26"/>
      <c r="BQ193" s="26"/>
      <c r="BR193" s="26"/>
      <c r="BS193" s="26"/>
      <c r="BT193" s="26"/>
      <c r="BU193" s="26"/>
      <c r="BV193" s="26"/>
      <c r="BW193" s="26"/>
      <c r="BX193" s="26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26"/>
      <c r="CP193" s="26"/>
      <c r="CQ193" s="26"/>
      <c r="CR193" s="26"/>
      <c r="CS193" s="26"/>
      <c r="CT193" s="26"/>
      <c r="CU193" s="26"/>
      <c r="CV193" s="26"/>
      <c r="CW193" s="26"/>
      <c r="CX193" s="26"/>
      <c r="CY193" s="26"/>
      <c r="CZ193" s="26"/>
    </row>
    <row r="194" spans="1:104" x14ac:dyDescent="0.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6"/>
      <c r="AH194" s="26"/>
      <c r="AI194" s="26"/>
      <c r="AJ194" s="26"/>
      <c r="AK194" s="26"/>
      <c r="AL194" s="26"/>
      <c r="AM194" s="26"/>
      <c r="AN194" s="26"/>
      <c r="AO194" s="26"/>
      <c r="AP194" s="26"/>
      <c r="AQ194" s="26"/>
      <c r="AR194" s="26"/>
      <c r="AS194" s="26"/>
      <c r="AT194" s="26"/>
      <c r="AU194" s="26"/>
      <c r="AV194" s="26"/>
      <c r="AW194" s="26"/>
      <c r="AX194" s="26"/>
      <c r="AY194" s="26"/>
      <c r="AZ194" s="26"/>
      <c r="BA194" s="26"/>
      <c r="BB194" s="26"/>
      <c r="BC194" s="26"/>
      <c r="BD194" s="26"/>
      <c r="BE194" s="26"/>
      <c r="BF194" s="26"/>
      <c r="BG194" s="26"/>
      <c r="BH194" s="26"/>
      <c r="BI194" s="26"/>
      <c r="BJ194" s="26"/>
      <c r="BK194" s="26"/>
      <c r="BL194" s="26"/>
      <c r="BM194" s="26"/>
      <c r="BN194" s="26"/>
      <c r="BO194" s="26"/>
      <c r="BP194" s="26"/>
      <c r="BQ194" s="26"/>
      <c r="BR194" s="26"/>
      <c r="BS194" s="26"/>
      <c r="BT194" s="26"/>
      <c r="BU194" s="26"/>
      <c r="BV194" s="26"/>
      <c r="BW194" s="26"/>
      <c r="BX194" s="26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26"/>
      <c r="CP194" s="26"/>
      <c r="CQ194" s="26"/>
      <c r="CR194" s="26"/>
      <c r="CS194" s="26"/>
      <c r="CT194" s="26"/>
      <c r="CU194" s="26"/>
      <c r="CV194" s="26"/>
      <c r="CW194" s="26"/>
      <c r="CX194" s="26"/>
      <c r="CY194" s="26"/>
      <c r="CZ194" s="26"/>
    </row>
    <row r="195" spans="1:104" x14ac:dyDescent="0.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  <c r="AL195" s="26"/>
      <c r="AM195" s="26"/>
      <c r="AN195" s="26"/>
      <c r="AO195" s="26"/>
      <c r="AP195" s="26"/>
      <c r="AQ195" s="26"/>
      <c r="AR195" s="26"/>
      <c r="AS195" s="26"/>
      <c r="AT195" s="26"/>
      <c r="AU195" s="26"/>
      <c r="AV195" s="26"/>
      <c r="AW195" s="26"/>
      <c r="AX195" s="26"/>
      <c r="AY195" s="26"/>
      <c r="AZ195" s="26"/>
      <c r="BA195" s="26"/>
      <c r="BB195" s="26"/>
      <c r="BC195" s="26"/>
      <c r="BD195" s="26"/>
      <c r="BE195" s="26"/>
      <c r="BF195" s="26"/>
      <c r="BG195" s="26"/>
      <c r="BH195" s="26"/>
      <c r="BI195" s="26"/>
      <c r="BJ195" s="26"/>
      <c r="BK195" s="26"/>
      <c r="BL195" s="26"/>
      <c r="BM195" s="26"/>
      <c r="BN195" s="26"/>
      <c r="BO195" s="26"/>
      <c r="BP195" s="26"/>
      <c r="BQ195" s="26"/>
      <c r="BR195" s="26"/>
      <c r="BS195" s="26"/>
      <c r="BT195" s="26"/>
      <c r="BU195" s="26"/>
      <c r="BV195" s="26"/>
      <c r="BW195" s="26"/>
      <c r="BX195" s="26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26"/>
      <c r="CP195" s="26"/>
      <c r="CQ195" s="26"/>
      <c r="CR195" s="26"/>
      <c r="CS195" s="26"/>
      <c r="CT195" s="26"/>
      <c r="CU195" s="26"/>
      <c r="CV195" s="26"/>
      <c r="CW195" s="26"/>
      <c r="CX195" s="26"/>
      <c r="CY195" s="26"/>
      <c r="CZ195" s="26"/>
    </row>
    <row r="196" spans="1:104" x14ac:dyDescent="0.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6"/>
      <c r="AP196" s="26"/>
      <c r="AQ196" s="26"/>
      <c r="AR196" s="26"/>
      <c r="AS196" s="26"/>
      <c r="AT196" s="26"/>
      <c r="AU196" s="26"/>
      <c r="AV196" s="26"/>
      <c r="AW196" s="26"/>
      <c r="AX196" s="26"/>
      <c r="AY196" s="26"/>
      <c r="AZ196" s="26"/>
      <c r="BA196" s="26"/>
      <c r="BB196" s="26"/>
      <c r="BC196" s="26"/>
      <c r="BD196" s="26"/>
      <c r="BE196" s="26"/>
      <c r="BF196" s="26"/>
      <c r="BG196" s="26"/>
      <c r="BH196" s="26"/>
      <c r="BI196" s="26"/>
      <c r="BJ196" s="26"/>
      <c r="BK196" s="26"/>
      <c r="BL196" s="26"/>
      <c r="BM196" s="26"/>
      <c r="BN196" s="26"/>
      <c r="BO196" s="26"/>
      <c r="BP196" s="26"/>
      <c r="BQ196" s="26"/>
      <c r="BR196" s="26"/>
      <c r="BS196" s="26"/>
      <c r="BT196" s="26"/>
      <c r="BU196" s="26"/>
      <c r="BV196" s="26"/>
      <c r="BW196" s="26"/>
      <c r="BX196" s="26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26"/>
      <c r="CP196" s="26"/>
      <c r="CQ196" s="26"/>
      <c r="CR196" s="26"/>
      <c r="CS196" s="26"/>
      <c r="CT196" s="26"/>
      <c r="CU196" s="26"/>
      <c r="CV196" s="26"/>
      <c r="CW196" s="26"/>
      <c r="CX196" s="26"/>
      <c r="CY196" s="26"/>
      <c r="CZ196" s="26"/>
    </row>
    <row r="197" spans="1:104" x14ac:dyDescent="0.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  <c r="AQ197" s="26"/>
      <c r="AR197" s="26"/>
      <c r="AS197" s="26"/>
      <c r="AT197" s="26"/>
      <c r="AU197" s="26"/>
      <c r="AV197" s="26"/>
      <c r="AW197" s="26"/>
      <c r="AX197" s="26"/>
      <c r="AY197" s="26"/>
      <c r="AZ197" s="26"/>
      <c r="BA197" s="26"/>
      <c r="BB197" s="26"/>
      <c r="BC197" s="26"/>
      <c r="BD197" s="26"/>
      <c r="BE197" s="26"/>
      <c r="BF197" s="26"/>
      <c r="BG197" s="26"/>
      <c r="BH197" s="26"/>
      <c r="BI197" s="26"/>
      <c r="BJ197" s="26"/>
      <c r="BK197" s="26"/>
      <c r="BL197" s="26"/>
      <c r="BM197" s="26"/>
      <c r="BN197" s="26"/>
      <c r="BO197" s="26"/>
      <c r="BP197" s="26"/>
      <c r="BQ197" s="26"/>
      <c r="BR197" s="26"/>
      <c r="BS197" s="26"/>
      <c r="BT197" s="26"/>
      <c r="BU197" s="26"/>
      <c r="BV197" s="26"/>
      <c r="BW197" s="26"/>
      <c r="BX197" s="26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26"/>
      <c r="CP197" s="26"/>
      <c r="CQ197" s="26"/>
      <c r="CR197" s="26"/>
      <c r="CS197" s="26"/>
      <c r="CT197" s="26"/>
      <c r="CU197" s="26"/>
      <c r="CV197" s="26"/>
      <c r="CW197" s="26"/>
      <c r="CX197" s="26"/>
      <c r="CY197" s="26"/>
      <c r="CZ197" s="26"/>
    </row>
    <row r="198" spans="1:104" x14ac:dyDescent="0.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26"/>
      <c r="AP198" s="26"/>
      <c r="AQ198" s="26"/>
      <c r="AR198" s="26"/>
      <c r="AS198" s="26"/>
      <c r="AT198" s="26"/>
      <c r="AU198" s="26"/>
      <c r="AV198" s="26"/>
      <c r="AW198" s="26"/>
      <c r="AX198" s="26"/>
      <c r="AY198" s="26"/>
      <c r="AZ198" s="26"/>
      <c r="BA198" s="26"/>
      <c r="BB198" s="26"/>
      <c r="BC198" s="26"/>
      <c r="BD198" s="26"/>
      <c r="BE198" s="26"/>
      <c r="BF198" s="26"/>
      <c r="BG198" s="26"/>
      <c r="BH198" s="26"/>
      <c r="BI198" s="26"/>
      <c r="BJ198" s="26"/>
      <c r="BK198" s="26"/>
      <c r="BL198" s="26"/>
      <c r="BM198" s="26"/>
      <c r="BN198" s="26"/>
      <c r="BO198" s="26"/>
      <c r="BP198" s="26"/>
      <c r="BQ198" s="26"/>
      <c r="BR198" s="26"/>
      <c r="BS198" s="26"/>
      <c r="BT198" s="26"/>
      <c r="BU198" s="26"/>
      <c r="BV198" s="26"/>
      <c r="BW198" s="26"/>
      <c r="BX198" s="26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26"/>
      <c r="CP198" s="26"/>
      <c r="CQ198" s="26"/>
      <c r="CR198" s="26"/>
      <c r="CS198" s="26"/>
      <c r="CT198" s="26"/>
      <c r="CU198" s="26"/>
      <c r="CV198" s="26"/>
      <c r="CW198" s="26"/>
      <c r="CX198" s="26"/>
      <c r="CY198" s="26"/>
      <c r="CZ198" s="26"/>
    </row>
    <row r="199" spans="1:104" x14ac:dyDescent="0.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6"/>
      <c r="AP199" s="26"/>
      <c r="AQ199" s="26"/>
      <c r="AR199" s="26"/>
      <c r="AS199" s="26"/>
      <c r="AT199" s="26"/>
      <c r="AU199" s="26"/>
      <c r="AV199" s="26"/>
      <c r="AW199" s="26"/>
      <c r="AX199" s="26"/>
      <c r="AY199" s="26"/>
      <c r="AZ199" s="26"/>
      <c r="BA199" s="26"/>
      <c r="BB199" s="26"/>
      <c r="BC199" s="26"/>
      <c r="BD199" s="26"/>
      <c r="BE199" s="26"/>
      <c r="BF199" s="26"/>
      <c r="BG199" s="26"/>
      <c r="BH199" s="26"/>
      <c r="BI199" s="26"/>
      <c r="BJ199" s="26"/>
      <c r="BK199" s="26"/>
      <c r="BL199" s="26"/>
      <c r="BM199" s="26"/>
      <c r="BN199" s="26"/>
      <c r="BO199" s="26"/>
      <c r="BP199" s="26"/>
      <c r="BQ199" s="26"/>
      <c r="BR199" s="26"/>
      <c r="BS199" s="26"/>
      <c r="BT199" s="26"/>
      <c r="BU199" s="26"/>
      <c r="BV199" s="26"/>
      <c r="BW199" s="26"/>
      <c r="BX199" s="26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26"/>
      <c r="CP199" s="26"/>
      <c r="CQ199" s="26"/>
      <c r="CR199" s="26"/>
      <c r="CS199" s="26"/>
      <c r="CT199" s="26"/>
      <c r="CU199" s="26"/>
      <c r="CV199" s="26"/>
      <c r="CW199" s="26"/>
      <c r="CX199" s="26"/>
      <c r="CY199" s="26"/>
      <c r="CZ199" s="26"/>
    </row>
    <row r="200" spans="1:104" x14ac:dyDescent="0.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6"/>
      <c r="AP200" s="26"/>
      <c r="AQ200" s="26"/>
      <c r="AR200" s="26"/>
      <c r="AS200" s="26"/>
      <c r="AT200" s="26"/>
      <c r="AU200" s="26"/>
      <c r="AV200" s="26"/>
      <c r="AW200" s="26"/>
      <c r="AX200" s="26"/>
      <c r="AY200" s="26"/>
      <c r="AZ200" s="26"/>
      <c r="BA200" s="26"/>
      <c r="BB200" s="26"/>
      <c r="BC200" s="26"/>
      <c r="BD200" s="26"/>
      <c r="BE200" s="26"/>
      <c r="BF200" s="26"/>
      <c r="BG200" s="26"/>
      <c r="BH200" s="26"/>
      <c r="BI200" s="26"/>
      <c r="BJ200" s="26"/>
      <c r="BK200" s="26"/>
      <c r="BL200" s="26"/>
      <c r="BM200" s="26"/>
      <c r="BN200" s="26"/>
      <c r="BO200" s="26"/>
      <c r="BP200" s="26"/>
      <c r="BQ200" s="26"/>
      <c r="BR200" s="26"/>
      <c r="BS200" s="26"/>
      <c r="BT200" s="26"/>
      <c r="BU200" s="26"/>
      <c r="BV200" s="26"/>
      <c r="BW200" s="26"/>
      <c r="BX200" s="26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26"/>
      <c r="CP200" s="26"/>
      <c r="CQ200" s="26"/>
      <c r="CR200" s="26"/>
      <c r="CS200" s="26"/>
      <c r="CT200" s="26"/>
      <c r="CU200" s="26"/>
      <c r="CV200" s="26"/>
      <c r="CW200" s="26"/>
      <c r="CX200" s="26"/>
      <c r="CY200" s="26"/>
      <c r="CZ200" s="26"/>
    </row>
    <row r="201" spans="1:104" x14ac:dyDescent="0.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26"/>
      <c r="AW201" s="26"/>
      <c r="AX201" s="26"/>
      <c r="AY201" s="26"/>
      <c r="AZ201" s="26"/>
      <c r="BA201" s="26"/>
      <c r="BB201" s="26"/>
      <c r="BC201" s="26"/>
      <c r="BD201" s="26"/>
      <c r="BE201" s="26"/>
      <c r="BF201" s="26"/>
      <c r="BG201" s="26"/>
      <c r="BH201" s="26"/>
      <c r="BI201" s="26"/>
      <c r="BJ201" s="26"/>
      <c r="BK201" s="26"/>
      <c r="BL201" s="26"/>
      <c r="BM201" s="26"/>
      <c r="BN201" s="26"/>
      <c r="BO201" s="26"/>
      <c r="BP201" s="26"/>
      <c r="BQ201" s="26"/>
      <c r="BR201" s="26"/>
      <c r="BS201" s="26"/>
      <c r="BT201" s="26"/>
      <c r="BU201" s="26"/>
      <c r="BV201" s="26"/>
      <c r="BW201" s="26"/>
      <c r="BX201" s="26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26"/>
      <c r="CP201" s="26"/>
      <c r="CQ201" s="26"/>
      <c r="CR201" s="26"/>
      <c r="CS201" s="26"/>
      <c r="CT201" s="26"/>
      <c r="CU201" s="26"/>
      <c r="CV201" s="26"/>
      <c r="CW201" s="26"/>
      <c r="CX201" s="26"/>
      <c r="CY201" s="26"/>
      <c r="CZ201" s="26"/>
    </row>
    <row r="202" spans="1:104" x14ac:dyDescent="0.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  <c r="AU202" s="26"/>
      <c r="AV202" s="26"/>
      <c r="AW202" s="26"/>
      <c r="AX202" s="26"/>
      <c r="AY202" s="26"/>
      <c r="AZ202" s="26"/>
      <c r="BA202" s="26"/>
      <c r="BB202" s="26"/>
      <c r="BC202" s="26"/>
      <c r="BD202" s="26"/>
      <c r="BE202" s="26"/>
      <c r="BF202" s="26"/>
      <c r="BG202" s="26"/>
      <c r="BH202" s="26"/>
      <c r="BI202" s="26"/>
      <c r="BJ202" s="26"/>
      <c r="BK202" s="26"/>
      <c r="BL202" s="26"/>
      <c r="BM202" s="26"/>
      <c r="BN202" s="26"/>
      <c r="BO202" s="26"/>
      <c r="BP202" s="26"/>
      <c r="BQ202" s="26"/>
      <c r="BR202" s="26"/>
      <c r="BS202" s="26"/>
      <c r="BT202" s="26"/>
      <c r="BU202" s="26"/>
      <c r="BV202" s="26"/>
      <c r="BW202" s="26"/>
      <c r="BX202" s="26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26"/>
      <c r="CP202" s="26"/>
      <c r="CQ202" s="26"/>
      <c r="CR202" s="26"/>
      <c r="CS202" s="26"/>
      <c r="CT202" s="26"/>
      <c r="CU202" s="26"/>
      <c r="CV202" s="26"/>
      <c r="CW202" s="26"/>
      <c r="CX202" s="26"/>
      <c r="CY202" s="26"/>
      <c r="CZ202" s="26"/>
    </row>
    <row r="203" spans="1:104" x14ac:dyDescent="0.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26"/>
      <c r="AH203" s="26"/>
      <c r="AI203" s="26"/>
      <c r="AJ203" s="26"/>
      <c r="AK203" s="26"/>
      <c r="AL203" s="26"/>
      <c r="AM203" s="26"/>
      <c r="AN203" s="26"/>
      <c r="AO203" s="26"/>
      <c r="AP203" s="26"/>
      <c r="AQ203" s="26"/>
      <c r="AR203" s="26"/>
      <c r="AS203" s="26"/>
      <c r="AT203" s="26"/>
      <c r="AU203" s="26"/>
      <c r="AV203" s="26"/>
      <c r="AW203" s="26"/>
      <c r="AX203" s="26"/>
      <c r="AY203" s="26"/>
      <c r="AZ203" s="26"/>
      <c r="BA203" s="26"/>
      <c r="BB203" s="26"/>
      <c r="BC203" s="26"/>
      <c r="BD203" s="26"/>
      <c r="BE203" s="26"/>
      <c r="BF203" s="26"/>
      <c r="BG203" s="26"/>
      <c r="BH203" s="26"/>
      <c r="BI203" s="26"/>
      <c r="BJ203" s="26"/>
      <c r="BK203" s="26"/>
      <c r="BL203" s="26"/>
      <c r="BM203" s="26"/>
      <c r="BN203" s="26"/>
      <c r="BO203" s="26"/>
      <c r="BP203" s="26"/>
      <c r="BQ203" s="26"/>
      <c r="BR203" s="26"/>
      <c r="BS203" s="26"/>
      <c r="BT203" s="26"/>
      <c r="BU203" s="26"/>
      <c r="BV203" s="26"/>
      <c r="BW203" s="26"/>
      <c r="BX203" s="26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26"/>
      <c r="CP203" s="26"/>
      <c r="CQ203" s="26"/>
      <c r="CR203" s="26"/>
      <c r="CS203" s="26"/>
      <c r="CT203" s="26"/>
      <c r="CU203" s="26"/>
      <c r="CV203" s="26"/>
      <c r="CW203" s="26"/>
      <c r="CX203" s="26"/>
      <c r="CY203" s="26"/>
      <c r="CZ203" s="26"/>
    </row>
    <row r="204" spans="1:104" x14ac:dyDescent="0.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F204" s="26"/>
      <c r="AG204" s="26"/>
      <c r="AH204" s="26"/>
      <c r="AI204" s="26"/>
      <c r="AJ204" s="26"/>
      <c r="AK204" s="26"/>
      <c r="AL204" s="26"/>
      <c r="AM204" s="26"/>
      <c r="AN204" s="26"/>
      <c r="AO204" s="26"/>
      <c r="AP204" s="26"/>
      <c r="AQ204" s="26"/>
      <c r="AR204" s="26"/>
      <c r="AS204" s="26"/>
      <c r="AT204" s="26"/>
      <c r="AU204" s="26"/>
      <c r="AV204" s="26"/>
      <c r="AW204" s="26"/>
      <c r="AX204" s="26"/>
      <c r="AY204" s="26"/>
      <c r="AZ204" s="26"/>
      <c r="BA204" s="26"/>
      <c r="BB204" s="26"/>
      <c r="BC204" s="26"/>
      <c r="BD204" s="26"/>
      <c r="BE204" s="26"/>
      <c r="BF204" s="26"/>
      <c r="BG204" s="26"/>
      <c r="BH204" s="26"/>
      <c r="BI204" s="26"/>
      <c r="BJ204" s="26"/>
      <c r="BK204" s="26"/>
      <c r="BL204" s="26"/>
      <c r="BM204" s="26"/>
      <c r="BN204" s="26"/>
      <c r="BO204" s="26"/>
      <c r="BP204" s="26"/>
      <c r="BQ204" s="26"/>
      <c r="BR204" s="26"/>
      <c r="BS204" s="26"/>
      <c r="BT204" s="26"/>
      <c r="BU204" s="26"/>
      <c r="BV204" s="26"/>
      <c r="BW204" s="26"/>
      <c r="BX204" s="26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26"/>
      <c r="CP204" s="26"/>
      <c r="CQ204" s="26"/>
      <c r="CR204" s="26"/>
      <c r="CS204" s="26"/>
      <c r="CT204" s="26"/>
      <c r="CU204" s="26"/>
      <c r="CV204" s="26"/>
      <c r="CW204" s="26"/>
      <c r="CX204" s="26"/>
      <c r="CY204" s="26"/>
      <c r="CZ204" s="26"/>
    </row>
    <row r="205" spans="1:104" x14ac:dyDescent="0.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Q205" s="26"/>
      <c r="AR205" s="26"/>
      <c r="AS205" s="26"/>
      <c r="AT205" s="26"/>
      <c r="AU205" s="26"/>
      <c r="AV205" s="26"/>
      <c r="AW205" s="26"/>
      <c r="AX205" s="26"/>
      <c r="AY205" s="26"/>
      <c r="AZ205" s="26"/>
      <c r="BA205" s="26"/>
      <c r="BB205" s="26"/>
      <c r="BC205" s="26"/>
      <c r="BD205" s="26"/>
      <c r="BE205" s="26"/>
      <c r="BF205" s="26"/>
      <c r="BG205" s="26"/>
      <c r="BH205" s="26"/>
      <c r="BI205" s="26"/>
      <c r="BJ205" s="26"/>
      <c r="BK205" s="26"/>
      <c r="BL205" s="26"/>
      <c r="BM205" s="26"/>
      <c r="BN205" s="26"/>
      <c r="BO205" s="26"/>
      <c r="BP205" s="26"/>
      <c r="BQ205" s="26"/>
      <c r="BR205" s="26"/>
      <c r="BS205" s="26"/>
      <c r="BT205" s="26"/>
      <c r="BU205" s="26"/>
      <c r="BV205" s="26"/>
      <c r="BW205" s="26"/>
      <c r="BX205" s="26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26"/>
      <c r="CP205" s="26"/>
      <c r="CQ205" s="26"/>
      <c r="CR205" s="26"/>
      <c r="CS205" s="26"/>
      <c r="CT205" s="26"/>
      <c r="CU205" s="26"/>
      <c r="CV205" s="26"/>
      <c r="CW205" s="26"/>
      <c r="CX205" s="26"/>
      <c r="CY205" s="26"/>
      <c r="CZ205" s="26"/>
    </row>
    <row r="206" spans="1:104" x14ac:dyDescent="0.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6"/>
      <c r="AP206" s="26"/>
      <c r="AQ206" s="26"/>
      <c r="AR206" s="26"/>
      <c r="AS206" s="26"/>
      <c r="AT206" s="26"/>
      <c r="AU206" s="26"/>
      <c r="AV206" s="26"/>
      <c r="AW206" s="26"/>
      <c r="AX206" s="26"/>
      <c r="AY206" s="26"/>
      <c r="AZ206" s="26"/>
      <c r="BA206" s="26"/>
      <c r="BB206" s="26"/>
      <c r="BC206" s="26"/>
      <c r="BD206" s="26"/>
      <c r="BE206" s="26"/>
      <c r="BF206" s="26"/>
      <c r="BG206" s="26"/>
      <c r="BH206" s="26"/>
      <c r="BI206" s="26"/>
      <c r="BJ206" s="26"/>
      <c r="BK206" s="26"/>
      <c r="BL206" s="26"/>
      <c r="BM206" s="26"/>
      <c r="BN206" s="26"/>
      <c r="BO206" s="26"/>
      <c r="BP206" s="26"/>
      <c r="BQ206" s="26"/>
      <c r="BR206" s="26"/>
      <c r="BS206" s="26"/>
      <c r="BT206" s="26"/>
      <c r="BU206" s="26"/>
      <c r="BV206" s="26"/>
      <c r="BW206" s="26"/>
      <c r="BX206" s="26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26"/>
      <c r="CP206" s="26"/>
      <c r="CQ206" s="26"/>
      <c r="CR206" s="26"/>
      <c r="CS206" s="26"/>
      <c r="CT206" s="26"/>
      <c r="CU206" s="26"/>
      <c r="CV206" s="26"/>
      <c r="CW206" s="26"/>
      <c r="CX206" s="26"/>
      <c r="CY206" s="26"/>
      <c r="CZ206" s="26"/>
    </row>
    <row r="207" spans="1:104" x14ac:dyDescent="0.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26"/>
      <c r="AH207" s="26"/>
      <c r="AI207" s="26"/>
      <c r="AJ207" s="26"/>
      <c r="AK207" s="26"/>
      <c r="AL207" s="26"/>
      <c r="AM207" s="26"/>
      <c r="AN207" s="26"/>
      <c r="AO207" s="26"/>
      <c r="AP207" s="26"/>
      <c r="AQ207" s="26"/>
      <c r="AR207" s="26"/>
      <c r="AS207" s="26"/>
      <c r="AT207" s="26"/>
      <c r="AU207" s="26"/>
      <c r="AV207" s="26"/>
      <c r="AW207" s="26"/>
      <c r="AX207" s="26"/>
      <c r="AY207" s="26"/>
      <c r="AZ207" s="26"/>
      <c r="BA207" s="26"/>
      <c r="BB207" s="26"/>
      <c r="BC207" s="26"/>
      <c r="BD207" s="26"/>
      <c r="BE207" s="26"/>
      <c r="BF207" s="26"/>
      <c r="BG207" s="26"/>
      <c r="BH207" s="26"/>
      <c r="BI207" s="26"/>
      <c r="BJ207" s="26"/>
      <c r="BK207" s="26"/>
      <c r="BL207" s="26"/>
      <c r="BM207" s="26"/>
      <c r="BN207" s="26"/>
      <c r="BO207" s="26"/>
      <c r="BP207" s="26"/>
      <c r="BQ207" s="26"/>
      <c r="BR207" s="26"/>
      <c r="BS207" s="26"/>
      <c r="BT207" s="26"/>
      <c r="BU207" s="26"/>
      <c r="BV207" s="26"/>
      <c r="BW207" s="26"/>
      <c r="BX207" s="26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26"/>
      <c r="CP207" s="26"/>
      <c r="CQ207" s="26"/>
      <c r="CR207" s="26"/>
      <c r="CS207" s="26"/>
      <c r="CT207" s="26"/>
      <c r="CU207" s="26"/>
      <c r="CV207" s="26"/>
      <c r="CW207" s="26"/>
      <c r="CX207" s="26"/>
      <c r="CY207" s="26"/>
      <c r="CZ207" s="26"/>
    </row>
    <row r="208" spans="1:104" x14ac:dyDescent="0.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  <c r="AL208" s="26"/>
      <c r="AM208" s="26"/>
      <c r="AN208" s="26"/>
      <c r="AO208" s="26"/>
      <c r="AP208" s="26"/>
      <c r="AQ208" s="26"/>
      <c r="AR208" s="26"/>
      <c r="AS208" s="26"/>
      <c r="AT208" s="26"/>
      <c r="AU208" s="26"/>
      <c r="AV208" s="26"/>
      <c r="AW208" s="26"/>
      <c r="AX208" s="26"/>
      <c r="AY208" s="26"/>
      <c r="AZ208" s="26"/>
      <c r="BA208" s="26"/>
      <c r="BB208" s="26"/>
      <c r="BC208" s="26"/>
      <c r="BD208" s="26"/>
      <c r="BE208" s="26"/>
      <c r="BF208" s="26"/>
      <c r="BG208" s="26"/>
      <c r="BH208" s="26"/>
      <c r="BI208" s="26"/>
      <c r="BJ208" s="26"/>
      <c r="BK208" s="26"/>
      <c r="BL208" s="26"/>
      <c r="BM208" s="26"/>
      <c r="BN208" s="26"/>
      <c r="BO208" s="26"/>
      <c r="BP208" s="26"/>
      <c r="BQ208" s="26"/>
      <c r="BR208" s="26"/>
      <c r="BS208" s="26"/>
      <c r="BT208" s="26"/>
      <c r="BU208" s="26"/>
      <c r="BV208" s="26"/>
      <c r="BW208" s="26"/>
      <c r="BX208" s="26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26"/>
      <c r="CP208" s="26"/>
      <c r="CQ208" s="26"/>
      <c r="CR208" s="26"/>
      <c r="CS208" s="26"/>
      <c r="CT208" s="26"/>
      <c r="CU208" s="26"/>
      <c r="CV208" s="26"/>
      <c r="CW208" s="26"/>
      <c r="CX208" s="26"/>
      <c r="CY208" s="26"/>
      <c r="CZ208" s="26"/>
    </row>
    <row r="209" spans="1:104" x14ac:dyDescent="0.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  <c r="AL209" s="26"/>
      <c r="AM209" s="26"/>
      <c r="AN209" s="26"/>
      <c r="AO209" s="26"/>
      <c r="AP209" s="26"/>
      <c r="AQ209" s="26"/>
      <c r="AR209" s="26"/>
      <c r="AS209" s="26"/>
      <c r="AT209" s="26"/>
      <c r="AU209" s="26"/>
      <c r="AV209" s="26"/>
      <c r="AW209" s="26"/>
      <c r="AX209" s="26"/>
      <c r="AY209" s="26"/>
      <c r="AZ209" s="26"/>
      <c r="BA209" s="26"/>
      <c r="BB209" s="26"/>
      <c r="BC209" s="26"/>
      <c r="BD209" s="26"/>
      <c r="BE209" s="26"/>
      <c r="BF209" s="26"/>
      <c r="BG209" s="26"/>
      <c r="BH209" s="26"/>
      <c r="BI209" s="26"/>
      <c r="BJ209" s="26"/>
      <c r="BK209" s="26"/>
      <c r="BL209" s="26"/>
      <c r="BM209" s="26"/>
      <c r="BN209" s="26"/>
      <c r="BO209" s="26"/>
      <c r="BP209" s="26"/>
      <c r="BQ209" s="26"/>
      <c r="BR209" s="26"/>
      <c r="BS209" s="26"/>
      <c r="BT209" s="26"/>
      <c r="BU209" s="26"/>
      <c r="BV209" s="26"/>
      <c r="BW209" s="26"/>
      <c r="BX209" s="26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26"/>
      <c r="CP209" s="26"/>
      <c r="CQ209" s="26"/>
      <c r="CR209" s="26"/>
      <c r="CS209" s="26"/>
      <c r="CT209" s="26"/>
      <c r="CU209" s="26"/>
      <c r="CV209" s="26"/>
      <c r="CW209" s="26"/>
      <c r="CX209" s="26"/>
      <c r="CY209" s="26"/>
      <c r="CZ209" s="26"/>
    </row>
    <row r="210" spans="1:104" x14ac:dyDescent="0.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6"/>
      <c r="AP210" s="26"/>
      <c r="AQ210" s="26"/>
      <c r="AR210" s="26"/>
      <c r="AS210" s="26"/>
      <c r="AT210" s="26"/>
      <c r="AU210" s="26"/>
      <c r="AV210" s="26"/>
      <c r="AW210" s="26"/>
      <c r="AX210" s="26"/>
      <c r="AY210" s="26"/>
      <c r="AZ210" s="26"/>
      <c r="BA210" s="26"/>
      <c r="BB210" s="26"/>
      <c r="BC210" s="26"/>
      <c r="BD210" s="26"/>
      <c r="BE210" s="26"/>
      <c r="BF210" s="26"/>
      <c r="BG210" s="26"/>
      <c r="BH210" s="26"/>
      <c r="BI210" s="26"/>
      <c r="BJ210" s="26"/>
      <c r="BK210" s="26"/>
      <c r="BL210" s="26"/>
      <c r="BM210" s="26"/>
      <c r="BN210" s="26"/>
      <c r="BO210" s="26"/>
      <c r="BP210" s="26"/>
      <c r="BQ210" s="26"/>
      <c r="BR210" s="26"/>
      <c r="BS210" s="26"/>
      <c r="BT210" s="26"/>
      <c r="BU210" s="26"/>
      <c r="BV210" s="26"/>
      <c r="BW210" s="26"/>
      <c r="BX210" s="26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26"/>
      <c r="CP210" s="26"/>
      <c r="CQ210" s="26"/>
      <c r="CR210" s="26"/>
      <c r="CS210" s="26"/>
      <c r="CT210" s="26"/>
      <c r="CU210" s="26"/>
      <c r="CV210" s="26"/>
      <c r="CW210" s="26"/>
      <c r="CX210" s="26"/>
      <c r="CY210" s="26"/>
      <c r="CZ210" s="26"/>
    </row>
    <row r="211" spans="1:104" x14ac:dyDescent="0.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26"/>
      <c r="AP211" s="26"/>
      <c r="AQ211" s="26"/>
      <c r="AR211" s="26"/>
      <c r="AS211" s="26"/>
      <c r="AT211" s="26"/>
      <c r="AU211" s="26"/>
      <c r="AV211" s="26"/>
      <c r="AW211" s="26"/>
      <c r="AX211" s="26"/>
      <c r="AY211" s="26"/>
      <c r="AZ211" s="26"/>
      <c r="BA211" s="26"/>
      <c r="BB211" s="26"/>
      <c r="BC211" s="26"/>
      <c r="BD211" s="26"/>
      <c r="BE211" s="26"/>
      <c r="BF211" s="26"/>
      <c r="BG211" s="26"/>
      <c r="BH211" s="26"/>
      <c r="BI211" s="26"/>
      <c r="BJ211" s="26"/>
      <c r="BK211" s="26"/>
      <c r="BL211" s="26"/>
      <c r="BM211" s="26"/>
      <c r="BN211" s="26"/>
      <c r="BO211" s="26"/>
      <c r="BP211" s="26"/>
      <c r="BQ211" s="26"/>
      <c r="BR211" s="26"/>
      <c r="BS211" s="26"/>
      <c r="BT211" s="26"/>
      <c r="BU211" s="26"/>
      <c r="BV211" s="26"/>
      <c r="BW211" s="26"/>
      <c r="BX211" s="26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26"/>
      <c r="CP211" s="26"/>
      <c r="CQ211" s="26"/>
      <c r="CR211" s="26"/>
      <c r="CS211" s="26"/>
      <c r="CT211" s="26"/>
      <c r="CU211" s="26"/>
      <c r="CV211" s="26"/>
      <c r="CW211" s="26"/>
      <c r="CX211" s="26"/>
      <c r="CY211" s="26"/>
      <c r="CZ211" s="26"/>
    </row>
    <row r="212" spans="1:104" x14ac:dyDescent="0.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6"/>
      <c r="AP212" s="26"/>
      <c r="AQ212" s="26"/>
      <c r="AR212" s="26"/>
      <c r="AS212" s="26"/>
      <c r="AT212" s="26"/>
      <c r="AU212" s="26"/>
      <c r="AV212" s="26"/>
      <c r="AW212" s="26"/>
      <c r="AX212" s="26"/>
      <c r="AY212" s="26"/>
      <c r="AZ212" s="26"/>
      <c r="BA212" s="26"/>
      <c r="BB212" s="26"/>
      <c r="BC212" s="26"/>
      <c r="BD212" s="26"/>
      <c r="BE212" s="26"/>
      <c r="BF212" s="26"/>
      <c r="BG212" s="26"/>
      <c r="BH212" s="26"/>
      <c r="BI212" s="26"/>
      <c r="BJ212" s="26"/>
      <c r="BK212" s="26"/>
      <c r="BL212" s="26"/>
      <c r="BM212" s="26"/>
      <c r="BN212" s="26"/>
      <c r="BO212" s="26"/>
      <c r="BP212" s="26"/>
      <c r="BQ212" s="26"/>
      <c r="BR212" s="26"/>
      <c r="BS212" s="26"/>
      <c r="BT212" s="26"/>
      <c r="BU212" s="26"/>
      <c r="BV212" s="26"/>
      <c r="BW212" s="26"/>
      <c r="BX212" s="26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26"/>
      <c r="CP212" s="26"/>
      <c r="CQ212" s="26"/>
      <c r="CR212" s="26"/>
      <c r="CS212" s="26"/>
      <c r="CT212" s="26"/>
      <c r="CU212" s="26"/>
      <c r="CV212" s="26"/>
      <c r="CW212" s="26"/>
      <c r="CX212" s="26"/>
      <c r="CY212" s="26"/>
      <c r="CZ212" s="26"/>
    </row>
    <row r="213" spans="1:104" x14ac:dyDescent="0.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26"/>
      <c r="AP213" s="26"/>
      <c r="AQ213" s="26"/>
      <c r="AR213" s="26"/>
      <c r="AS213" s="26"/>
      <c r="AT213" s="26"/>
      <c r="AU213" s="26"/>
      <c r="AV213" s="26"/>
      <c r="AW213" s="26"/>
      <c r="AX213" s="26"/>
      <c r="AY213" s="26"/>
      <c r="AZ213" s="26"/>
      <c r="BA213" s="26"/>
      <c r="BB213" s="26"/>
      <c r="BC213" s="26"/>
      <c r="BD213" s="26"/>
      <c r="BE213" s="26"/>
      <c r="BF213" s="26"/>
      <c r="BG213" s="26"/>
      <c r="BH213" s="26"/>
      <c r="BI213" s="26"/>
      <c r="BJ213" s="26"/>
      <c r="BK213" s="26"/>
      <c r="BL213" s="26"/>
      <c r="BM213" s="26"/>
      <c r="BN213" s="26"/>
      <c r="BO213" s="26"/>
      <c r="BP213" s="26"/>
      <c r="BQ213" s="26"/>
      <c r="BR213" s="26"/>
      <c r="BS213" s="26"/>
      <c r="BT213" s="26"/>
      <c r="BU213" s="26"/>
      <c r="BV213" s="26"/>
      <c r="BW213" s="26"/>
      <c r="BX213" s="26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26"/>
      <c r="CP213" s="26"/>
      <c r="CQ213" s="26"/>
      <c r="CR213" s="26"/>
      <c r="CS213" s="26"/>
      <c r="CT213" s="26"/>
      <c r="CU213" s="26"/>
      <c r="CV213" s="26"/>
      <c r="CW213" s="26"/>
      <c r="CX213" s="26"/>
      <c r="CY213" s="26"/>
      <c r="CZ213" s="26"/>
    </row>
    <row r="214" spans="1:104" x14ac:dyDescent="0.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  <c r="AL214" s="26"/>
      <c r="AM214" s="26"/>
      <c r="AN214" s="26"/>
      <c r="AO214" s="26"/>
      <c r="AP214" s="26"/>
      <c r="AQ214" s="26"/>
      <c r="AR214" s="26"/>
      <c r="AS214" s="26"/>
      <c r="AT214" s="26"/>
      <c r="AU214" s="26"/>
      <c r="AV214" s="26"/>
      <c r="AW214" s="26"/>
      <c r="AX214" s="26"/>
      <c r="AY214" s="26"/>
      <c r="AZ214" s="26"/>
      <c r="BA214" s="26"/>
      <c r="BB214" s="26"/>
      <c r="BC214" s="26"/>
      <c r="BD214" s="26"/>
      <c r="BE214" s="26"/>
      <c r="BF214" s="26"/>
      <c r="BG214" s="26"/>
      <c r="BH214" s="26"/>
      <c r="BI214" s="26"/>
      <c r="BJ214" s="26"/>
      <c r="BK214" s="26"/>
      <c r="BL214" s="26"/>
      <c r="BM214" s="26"/>
      <c r="BN214" s="26"/>
      <c r="BO214" s="26"/>
      <c r="BP214" s="26"/>
      <c r="BQ214" s="26"/>
      <c r="BR214" s="26"/>
      <c r="BS214" s="26"/>
      <c r="BT214" s="26"/>
      <c r="BU214" s="26"/>
      <c r="BV214" s="26"/>
      <c r="BW214" s="26"/>
      <c r="BX214" s="26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26"/>
      <c r="CP214" s="26"/>
      <c r="CQ214" s="26"/>
      <c r="CR214" s="26"/>
      <c r="CS214" s="26"/>
      <c r="CT214" s="26"/>
      <c r="CU214" s="26"/>
      <c r="CV214" s="26"/>
      <c r="CW214" s="26"/>
      <c r="CX214" s="26"/>
      <c r="CY214" s="26"/>
      <c r="CZ214" s="26"/>
    </row>
    <row r="215" spans="1:104" x14ac:dyDescent="0.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26"/>
      <c r="AP215" s="26"/>
      <c r="AQ215" s="26"/>
      <c r="AR215" s="26"/>
      <c r="AS215" s="26"/>
      <c r="AT215" s="26"/>
      <c r="AU215" s="26"/>
      <c r="AV215" s="26"/>
      <c r="AW215" s="26"/>
      <c r="AX215" s="26"/>
      <c r="AY215" s="26"/>
      <c r="AZ215" s="26"/>
      <c r="BA215" s="26"/>
      <c r="BB215" s="26"/>
      <c r="BC215" s="26"/>
      <c r="BD215" s="26"/>
      <c r="BE215" s="26"/>
      <c r="BF215" s="26"/>
      <c r="BG215" s="26"/>
      <c r="BH215" s="26"/>
      <c r="BI215" s="26"/>
      <c r="BJ215" s="26"/>
      <c r="BK215" s="26"/>
      <c r="BL215" s="26"/>
      <c r="BM215" s="26"/>
      <c r="BN215" s="26"/>
      <c r="BO215" s="26"/>
      <c r="BP215" s="26"/>
      <c r="BQ215" s="26"/>
      <c r="BR215" s="26"/>
      <c r="BS215" s="26"/>
      <c r="BT215" s="26"/>
      <c r="BU215" s="26"/>
      <c r="BV215" s="26"/>
      <c r="BW215" s="26"/>
      <c r="BX215" s="26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26"/>
      <c r="CP215" s="26"/>
      <c r="CQ215" s="26"/>
      <c r="CR215" s="26"/>
      <c r="CS215" s="26"/>
      <c r="CT215" s="26"/>
      <c r="CU215" s="26"/>
      <c r="CV215" s="26"/>
      <c r="CW215" s="26"/>
      <c r="CX215" s="26"/>
      <c r="CY215" s="26"/>
      <c r="CZ215" s="26"/>
    </row>
    <row r="216" spans="1:104" x14ac:dyDescent="0.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  <c r="AL216" s="26"/>
      <c r="AM216" s="26"/>
      <c r="AN216" s="26"/>
      <c r="AO216" s="26"/>
      <c r="AP216" s="26"/>
      <c r="AQ216" s="26"/>
      <c r="AR216" s="26"/>
      <c r="AS216" s="26"/>
      <c r="AT216" s="26"/>
      <c r="AU216" s="26"/>
      <c r="AV216" s="26"/>
      <c r="AW216" s="26"/>
      <c r="AX216" s="26"/>
      <c r="AY216" s="26"/>
      <c r="AZ216" s="26"/>
      <c r="BA216" s="26"/>
      <c r="BB216" s="26"/>
      <c r="BC216" s="26"/>
      <c r="BD216" s="26"/>
      <c r="BE216" s="26"/>
      <c r="BF216" s="26"/>
      <c r="BG216" s="26"/>
      <c r="BH216" s="26"/>
      <c r="BI216" s="26"/>
      <c r="BJ216" s="26"/>
      <c r="BK216" s="26"/>
      <c r="BL216" s="26"/>
      <c r="BM216" s="26"/>
      <c r="BN216" s="26"/>
      <c r="BO216" s="26"/>
      <c r="BP216" s="26"/>
      <c r="BQ216" s="26"/>
      <c r="BR216" s="26"/>
      <c r="BS216" s="26"/>
      <c r="BT216" s="26"/>
      <c r="BU216" s="26"/>
      <c r="BV216" s="26"/>
      <c r="BW216" s="26"/>
      <c r="BX216" s="26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26"/>
      <c r="CP216" s="26"/>
      <c r="CQ216" s="26"/>
      <c r="CR216" s="26"/>
      <c r="CS216" s="26"/>
      <c r="CT216" s="26"/>
      <c r="CU216" s="26"/>
      <c r="CV216" s="26"/>
      <c r="CW216" s="26"/>
      <c r="CX216" s="26"/>
      <c r="CY216" s="26"/>
      <c r="CZ216" s="26"/>
    </row>
    <row r="217" spans="1:104" x14ac:dyDescent="0.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  <c r="AL217" s="26"/>
      <c r="AM217" s="26"/>
      <c r="AN217" s="26"/>
      <c r="AO217" s="26"/>
      <c r="AP217" s="26"/>
      <c r="AQ217" s="26"/>
      <c r="AR217" s="26"/>
      <c r="AS217" s="26"/>
      <c r="AT217" s="26"/>
      <c r="AU217" s="26"/>
      <c r="AV217" s="26"/>
      <c r="AW217" s="26"/>
      <c r="AX217" s="26"/>
      <c r="AY217" s="26"/>
      <c r="AZ217" s="26"/>
      <c r="BA217" s="26"/>
      <c r="BB217" s="26"/>
      <c r="BC217" s="26"/>
      <c r="BD217" s="26"/>
      <c r="BE217" s="26"/>
      <c r="BF217" s="26"/>
      <c r="BG217" s="26"/>
      <c r="BH217" s="26"/>
      <c r="BI217" s="26"/>
      <c r="BJ217" s="26"/>
      <c r="BK217" s="26"/>
      <c r="BL217" s="26"/>
      <c r="BM217" s="26"/>
      <c r="BN217" s="26"/>
      <c r="BO217" s="26"/>
      <c r="BP217" s="26"/>
      <c r="BQ217" s="26"/>
      <c r="BR217" s="26"/>
      <c r="BS217" s="26"/>
      <c r="BT217" s="26"/>
      <c r="BU217" s="26"/>
      <c r="BV217" s="26"/>
      <c r="BW217" s="26"/>
      <c r="BX217" s="26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26"/>
      <c r="CP217" s="26"/>
      <c r="CQ217" s="26"/>
      <c r="CR217" s="26"/>
      <c r="CS217" s="26"/>
      <c r="CT217" s="26"/>
      <c r="CU217" s="26"/>
      <c r="CV217" s="26"/>
      <c r="CW217" s="26"/>
      <c r="CX217" s="26"/>
      <c r="CY217" s="26"/>
      <c r="CZ217" s="26"/>
    </row>
    <row r="218" spans="1:104" x14ac:dyDescent="0.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AO218" s="26"/>
      <c r="AP218" s="26"/>
      <c r="AQ218" s="26"/>
      <c r="AR218" s="26"/>
      <c r="AS218" s="26"/>
      <c r="AT218" s="26"/>
      <c r="AU218" s="26"/>
      <c r="AV218" s="26"/>
      <c r="AW218" s="26"/>
      <c r="AX218" s="26"/>
      <c r="AY218" s="26"/>
      <c r="AZ218" s="26"/>
      <c r="BA218" s="26"/>
      <c r="BB218" s="26"/>
      <c r="BC218" s="26"/>
      <c r="BD218" s="26"/>
      <c r="BE218" s="26"/>
      <c r="BF218" s="26"/>
      <c r="BG218" s="26"/>
      <c r="BH218" s="26"/>
      <c r="BI218" s="26"/>
      <c r="BJ218" s="26"/>
      <c r="BK218" s="26"/>
      <c r="BL218" s="26"/>
      <c r="BM218" s="26"/>
      <c r="BN218" s="26"/>
      <c r="BO218" s="26"/>
      <c r="BP218" s="26"/>
      <c r="BQ218" s="26"/>
      <c r="BR218" s="26"/>
      <c r="BS218" s="26"/>
      <c r="BT218" s="26"/>
      <c r="BU218" s="26"/>
      <c r="BV218" s="26"/>
      <c r="BW218" s="26"/>
      <c r="BX218" s="26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26"/>
      <c r="CP218" s="26"/>
      <c r="CQ218" s="26"/>
      <c r="CR218" s="26"/>
      <c r="CS218" s="26"/>
      <c r="CT218" s="26"/>
      <c r="CU218" s="26"/>
      <c r="CV218" s="26"/>
      <c r="CW218" s="26"/>
      <c r="CX218" s="26"/>
      <c r="CY218" s="26"/>
      <c r="CZ218" s="26"/>
    </row>
    <row r="219" spans="1:104" x14ac:dyDescent="0.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  <c r="AL219" s="26"/>
      <c r="AM219" s="26"/>
      <c r="AN219" s="26"/>
      <c r="AO219" s="26"/>
      <c r="AP219" s="26"/>
      <c r="AQ219" s="26"/>
      <c r="AR219" s="26"/>
      <c r="AS219" s="26"/>
      <c r="AT219" s="26"/>
      <c r="AU219" s="26"/>
      <c r="AV219" s="26"/>
      <c r="AW219" s="26"/>
      <c r="AX219" s="26"/>
      <c r="AY219" s="26"/>
      <c r="AZ219" s="26"/>
      <c r="BA219" s="26"/>
      <c r="BB219" s="26"/>
      <c r="BC219" s="26"/>
      <c r="BD219" s="26"/>
      <c r="BE219" s="26"/>
      <c r="BF219" s="26"/>
      <c r="BG219" s="26"/>
      <c r="BH219" s="26"/>
      <c r="BI219" s="26"/>
      <c r="BJ219" s="26"/>
      <c r="BK219" s="26"/>
      <c r="BL219" s="26"/>
      <c r="BM219" s="26"/>
      <c r="BN219" s="26"/>
      <c r="BO219" s="26"/>
      <c r="BP219" s="26"/>
      <c r="BQ219" s="26"/>
      <c r="BR219" s="26"/>
      <c r="BS219" s="26"/>
      <c r="BT219" s="26"/>
      <c r="BU219" s="26"/>
      <c r="BV219" s="26"/>
      <c r="BW219" s="26"/>
      <c r="BX219" s="26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26"/>
      <c r="CP219" s="26"/>
      <c r="CQ219" s="26"/>
      <c r="CR219" s="26"/>
      <c r="CS219" s="26"/>
      <c r="CT219" s="26"/>
      <c r="CU219" s="26"/>
      <c r="CV219" s="26"/>
      <c r="CW219" s="26"/>
      <c r="CX219" s="26"/>
      <c r="CY219" s="26"/>
      <c r="CZ219" s="26"/>
    </row>
    <row r="220" spans="1:104" x14ac:dyDescent="0.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  <c r="AW220" s="26"/>
      <c r="AX220" s="26"/>
      <c r="AY220" s="26"/>
      <c r="AZ220" s="26"/>
      <c r="BA220" s="26"/>
      <c r="BB220" s="26"/>
      <c r="BC220" s="26"/>
      <c r="BD220" s="26"/>
      <c r="BE220" s="26"/>
      <c r="BF220" s="26"/>
      <c r="BG220" s="26"/>
      <c r="BH220" s="26"/>
      <c r="BI220" s="26"/>
      <c r="BJ220" s="26"/>
      <c r="BK220" s="26"/>
      <c r="BL220" s="26"/>
      <c r="BM220" s="26"/>
      <c r="BN220" s="26"/>
      <c r="BO220" s="26"/>
      <c r="BP220" s="26"/>
      <c r="BQ220" s="26"/>
      <c r="BR220" s="26"/>
      <c r="BS220" s="26"/>
      <c r="BT220" s="26"/>
      <c r="BU220" s="26"/>
      <c r="BV220" s="26"/>
      <c r="BW220" s="26"/>
      <c r="BX220" s="26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26"/>
      <c r="CP220" s="26"/>
      <c r="CQ220" s="26"/>
      <c r="CR220" s="26"/>
      <c r="CS220" s="26"/>
      <c r="CT220" s="26"/>
      <c r="CU220" s="26"/>
      <c r="CV220" s="26"/>
      <c r="CW220" s="26"/>
      <c r="CX220" s="26"/>
      <c r="CY220" s="26"/>
      <c r="CZ220" s="26"/>
    </row>
    <row r="221" spans="1:104" x14ac:dyDescent="0.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26"/>
      <c r="AH221" s="26"/>
      <c r="AI221" s="26"/>
      <c r="AJ221" s="26"/>
      <c r="AK221" s="26"/>
      <c r="AL221" s="26"/>
      <c r="AM221" s="26"/>
      <c r="AN221" s="26"/>
      <c r="AO221" s="26"/>
      <c r="AP221" s="26"/>
      <c r="AQ221" s="26"/>
      <c r="AR221" s="26"/>
      <c r="AS221" s="26"/>
      <c r="AT221" s="26"/>
      <c r="AU221" s="26"/>
      <c r="AV221" s="26"/>
      <c r="AW221" s="26"/>
      <c r="AX221" s="26"/>
      <c r="AY221" s="26"/>
      <c r="AZ221" s="26"/>
      <c r="BA221" s="26"/>
      <c r="BB221" s="26"/>
      <c r="BC221" s="26"/>
      <c r="BD221" s="26"/>
      <c r="BE221" s="26"/>
      <c r="BF221" s="26"/>
      <c r="BG221" s="26"/>
      <c r="BH221" s="26"/>
      <c r="BI221" s="26"/>
      <c r="BJ221" s="26"/>
      <c r="BK221" s="26"/>
      <c r="BL221" s="26"/>
      <c r="BM221" s="26"/>
      <c r="BN221" s="26"/>
      <c r="BO221" s="26"/>
      <c r="BP221" s="26"/>
      <c r="BQ221" s="26"/>
      <c r="BR221" s="26"/>
      <c r="BS221" s="26"/>
      <c r="BT221" s="26"/>
      <c r="BU221" s="26"/>
      <c r="BV221" s="26"/>
      <c r="BW221" s="26"/>
      <c r="BX221" s="26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26"/>
      <c r="CP221" s="26"/>
      <c r="CQ221" s="26"/>
      <c r="CR221" s="26"/>
      <c r="CS221" s="26"/>
      <c r="CT221" s="26"/>
      <c r="CU221" s="26"/>
      <c r="CV221" s="26"/>
      <c r="CW221" s="26"/>
      <c r="CX221" s="26"/>
      <c r="CY221" s="26"/>
      <c r="CZ221" s="26"/>
    </row>
    <row r="222" spans="1:104" x14ac:dyDescent="0.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  <c r="AF222" s="26"/>
      <c r="AG222" s="26"/>
      <c r="AH222" s="26"/>
      <c r="AI222" s="26"/>
      <c r="AJ222" s="26"/>
      <c r="AK222" s="26"/>
      <c r="AL222" s="26"/>
      <c r="AM222" s="26"/>
      <c r="AN222" s="26"/>
      <c r="AO222" s="26"/>
      <c r="AP222" s="26"/>
      <c r="AQ222" s="26"/>
      <c r="AR222" s="26"/>
      <c r="AS222" s="26"/>
      <c r="AT222" s="26"/>
      <c r="AU222" s="26"/>
      <c r="AV222" s="26"/>
      <c r="AW222" s="26"/>
      <c r="AX222" s="26"/>
      <c r="AY222" s="26"/>
      <c r="AZ222" s="26"/>
      <c r="BA222" s="26"/>
      <c r="BB222" s="26"/>
      <c r="BC222" s="26"/>
      <c r="BD222" s="26"/>
      <c r="BE222" s="26"/>
      <c r="BF222" s="26"/>
      <c r="BG222" s="26"/>
      <c r="BH222" s="26"/>
      <c r="BI222" s="26"/>
      <c r="BJ222" s="26"/>
      <c r="BK222" s="26"/>
      <c r="BL222" s="26"/>
      <c r="BM222" s="26"/>
      <c r="BN222" s="26"/>
      <c r="BO222" s="26"/>
      <c r="BP222" s="26"/>
      <c r="BQ222" s="26"/>
      <c r="BR222" s="26"/>
      <c r="BS222" s="26"/>
      <c r="BT222" s="26"/>
      <c r="BU222" s="26"/>
      <c r="BV222" s="26"/>
      <c r="BW222" s="26"/>
      <c r="BX222" s="26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26"/>
      <c r="CP222" s="26"/>
      <c r="CQ222" s="26"/>
      <c r="CR222" s="26"/>
      <c r="CS222" s="26"/>
      <c r="CT222" s="26"/>
      <c r="CU222" s="26"/>
      <c r="CV222" s="26"/>
      <c r="CW222" s="26"/>
      <c r="CX222" s="26"/>
      <c r="CY222" s="26"/>
      <c r="CZ222" s="26"/>
    </row>
    <row r="223" spans="1:104" x14ac:dyDescent="0.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  <c r="AF223" s="26"/>
      <c r="AG223" s="26"/>
      <c r="AH223" s="26"/>
      <c r="AI223" s="26"/>
      <c r="AJ223" s="26"/>
      <c r="AK223" s="26"/>
      <c r="AL223" s="26"/>
      <c r="AM223" s="26"/>
      <c r="AN223" s="26"/>
      <c r="AO223" s="26"/>
      <c r="AP223" s="26"/>
      <c r="AQ223" s="26"/>
      <c r="AR223" s="26"/>
      <c r="AS223" s="26"/>
      <c r="AT223" s="26"/>
      <c r="AU223" s="26"/>
      <c r="AV223" s="26"/>
      <c r="AW223" s="26"/>
      <c r="AX223" s="26"/>
      <c r="AY223" s="26"/>
      <c r="AZ223" s="26"/>
      <c r="BA223" s="26"/>
      <c r="BB223" s="26"/>
      <c r="BC223" s="26"/>
      <c r="BD223" s="26"/>
      <c r="BE223" s="26"/>
      <c r="BF223" s="26"/>
      <c r="BG223" s="26"/>
      <c r="BH223" s="26"/>
      <c r="BI223" s="26"/>
      <c r="BJ223" s="26"/>
      <c r="BK223" s="26"/>
      <c r="BL223" s="26"/>
      <c r="BM223" s="26"/>
      <c r="BN223" s="26"/>
      <c r="BO223" s="26"/>
      <c r="BP223" s="26"/>
      <c r="BQ223" s="26"/>
      <c r="BR223" s="26"/>
      <c r="BS223" s="26"/>
      <c r="BT223" s="26"/>
      <c r="BU223" s="26"/>
      <c r="BV223" s="26"/>
      <c r="BW223" s="26"/>
      <c r="BX223" s="26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26"/>
      <c r="CP223" s="26"/>
      <c r="CQ223" s="26"/>
      <c r="CR223" s="26"/>
      <c r="CS223" s="26"/>
      <c r="CT223" s="26"/>
      <c r="CU223" s="26"/>
      <c r="CV223" s="26"/>
      <c r="CW223" s="26"/>
      <c r="CX223" s="26"/>
      <c r="CY223" s="26"/>
      <c r="CZ223" s="26"/>
    </row>
    <row r="224" spans="1:104" x14ac:dyDescent="0.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  <c r="AF224" s="26"/>
      <c r="AG224" s="26"/>
      <c r="AH224" s="26"/>
      <c r="AI224" s="26"/>
      <c r="AJ224" s="26"/>
      <c r="AK224" s="26"/>
      <c r="AL224" s="26"/>
      <c r="AM224" s="26"/>
      <c r="AN224" s="26"/>
      <c r="AO224" s="26"/>
      <c r="AP224" s="26"/>
      <c r="AQ224" s="26"/>
      <c r="AR224" s="26"/>
      <c r="AS224" s="26"/>
      <c r="AT224" s="26"/>
      <c r="AU224" s="26"/>
      <c r="AV224" s="26"/>
      <c r="AW224" s="26"/>
      <c r="AX224" s="26"/>
      <c r="AY224" s="26"/>
      <c r="AZ224" s="26"/>
      <c r="BA224" s="26"/>
      <c r="BB224" s="26"/>
      <c r="BC224" s="26"/>
      <c r="BD224" s="26"/>
      <c r="BE224" s="26"/>
      <c r="BF224" s="26"/>
      <c r="BG224" s="26"/>
      <c r="BH224" s="26"/>
      <c r="BI224" s="26"/>
      <c r="BJ224" s="26"/>
      <c r="BK224" s="26"/>
      <c r="BL224" s="26"/>
      <c r="BM224" s="26"/>
      <c r="BN224" s="26"/>
      <c r="BO224" s="26"/>
      <c r="BP224" s="26"/>
      <c r="BQ224" s="26"/>
      <c r="BR224" s="26"/>
      <c r="BS224" s="26"/>
      <c r="BT224" s="26"/>
      <c r="BU224" s="26"/>
      <c r="BV224" s="26"/>
      <c r="BW224" s="26"/>
      <c r="BX224" s="26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26"/>
      <c r="CP224" s="26"/>
      <c r="CQ224" s="26"/>
      <c r="CR224" s="26"/>
      <c r="CS224" s="26"/>
      <c r="CT224" s="26"/>
      <c r="CU224" s="26"/>
      <c r="CV224" s="26"/>
      <c r="CW224" s="26"/>
      <c r="CX224" s="26"/>
      <c r="CY224" s="26"/>
      <c r="CZ224" s="26"/>
    </row>
    <row r="225" spans="1:104" x14ac:dyDescent="0.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  <c r="AF225" s="26"/>
      <c r="AG225" s="26"/>
      <c r="AH225" s="26"/>
      <c r="AI225" s="26"/>
      <c r="AJ225" s="26"/>
      <c r="AK225" s="26"/>
      <c r="AL225" s="26"/>
      <c r="AM225" s="26"/>
      <c r="AN225" s="26"/>
      <c r="AO225" s="26"/>
      <c r="AP225" s="26"/>
      <c r="AQ225" s="26"/>
      <c r="AR225" s="26"/>
      <c r="AS225" s="26"/>
      <c r="AT225" s="26"/>
      <c r="AU225" s="26"/>
      <c r="AV225" s="26"/>
      <c r="AW225" s="26"/>
      <c r="AX225" s="26"/>
      <c r="AY225" s="26"/>
      <c r="AZ225" s="26"/>
      <c r="BA225" s="26"/>
      <c r="BB225" s="26"/>
      <c r="BC225" s="26"/>
      <c r="BD225" s="26"/>
      <c r="BE225" s="26"/>
      <c r="BF225" s="26"/>
      <c r="BG225" s="26"/>
      <c r="BH225" s="26"/>
      <c r="BI225" s="26"/>
      <c r="BJ225" s="26"/>
      <c r="BK225" s="26"/>
      <c r="BL225" s="26"/>
      <c r="BM225" s="26"/>
      <c r="BN225" s="26"/>
      <c r="BO225" s="26"/>
      <c r="BP225" s="26"/>
      <c r="BQ225" s="26"/>
      <c r="BR225" s="26"/>
      <c r="BS225" s="26"/>
      <c r="BT225" s="26"/>
      <c r="BU225" s="26"/>
      <c r="BV225" s="26"/>
      <c r="BW225" s="26"/>
      <c r="BX225" s="26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26"/>
      <c r="CP225" s="26"/>
      <c r="CQ225" s="26"/>
      <c r="CR225" s="26"/>
      <c r="CS225" s="26"/>
      <c r="CT225" s="26"/>
      <c r="CU225" s="26"/>
      <c r="CV225" s="26"/>
      <c r="CW225" s="26"/>
      <c r="CX225" s="26"/>
      <c r="CY225" s="26"/>
      <c r="CZ225" s="26"/>
    </row>
    <row r="226" spans="1:104" x14ac:dyDescent="0.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AQ226" s="26"/>
      <c r="AR226" s="26"/>
      <c r="AS226" s="26"/>
      <c r="AT226" s="26"/>
      <c r="AU226" s="26"/>
      <c r="AV226" s="26"/>
      <c r="AW226" s="26"/>
      <c r="AX226" s="26"/>
      <c r="AY226" s="26"/>
      <c r="AZ226" s="26"/>
      <c r="BA226" s="26"/>
      <c r="BB226" s="26"/>
      <c r="BC226" s="26"/>
      <c r="BD226" s="26"/>
      <c r="BE226" s="26"/>
      <c r="BF226" s="26"/>
      <c r="BG226" s="26"/>
      <c r="BH226" s="26"/>
      <c r="BI226" s="26"/>
      <c r="BJ226" s="26"/>
      <c r="BK226" s="26"/>
      <c r="BL226" s="26"/>
      <c r="BM226" s="26"/>
      <c r="BN226" s="26"/>
      <c r="BO226" s="26"/>
      <c r="BP226" s="26"/>
      <c r="BQ226" s="26"/>
      <c r="BR226" s="26"/>
      <c r="BS226" s="26"/>
      <c r="BT226" s="26"/>
      <c r="BU226" s="26"/>
      <c r="BV226" s="26"/>
      <c r="BW226" s="26"/>
      <c r="BX226" s="26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26"/>
      <c r="CP226" s="26"/>
      <c r="CQ226" s="26"/>
      <c r="CR226" s="26"/>
      <c r="CS226" s="26"/>
      <c r="CT226" s="26"/>
      <c r="CU226" s="26"/>
      <c r="CV226" s="26"/>
      <c r="CW226" s="26"/>
      <c r="CX226" s="26"/>
      <c r="CY226" s="26"/>
      <c r="CZ226" s="26"/>
    </row>
    <row r="227" spans="1:104" x14ac:dyDescent="0.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6"/>
      <c r="AP227" s="26"/>
      <c r="AQ227" s="26"/>
      <c r="AR227" s="26"/>
      <c r="AS227" s="26"/>
      <c r="AT227" s="26"/>
      <c r="AU227" s="26"/>
      <c r="AV227" s="26"/>
      <c r="AW227" s="26"/>
      <c r="AX227" s="26"/>
      <c r="AY227" s="26"/>
      <c r="AZ227" s="26"/>
      <c r="BA227" s="26"/>
      <c r="BB227" s="26"/>
      <c r="BC227" s="26"/>
      <c r="BD227" s="26"/>
      <c r="BE227" s="26"/>
      <c r="BF227" s="26"/>
      <c r="BG227" s="26"/>
      <c r="BH227" s="26"/>
      <c r="BI227" s="26"/>
      <c r="BJ227" s="26"/>
      <c r="BK227" s="26"/>
      <c r="BL227" s="26"/>
      <c r="BM227" s="26"/>
      <c r="BN227" s="26"/>
      <c r="BO227" s="26"/>
      <c r="BP227" s="26"/>
      <c r="BQ227" s="26"/>
      <c r="BR227" s="26"/>
      <c r="BS227" s="26"/>
      <c r="BT227" s="26"/>
      <c r="BU227" s="26"/>
      <c r="BV227" s="26"/>
      <c r="BW227" s="26"/>
      <c r="BX227" s="26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26"/>
      <c r="CP227" s="26"/>
      <c r="CQ227" s="26"/>
      <c r="CR227" s="26"/>
      <c r="CS227" s="26"/>
      <c r="CT227" s="26"/>
      <c r="CU227" s="26"/>
      <c r="CV227" s="26"/>
      <c r="CW227" s="26"/>
      <c r="CX227" s="26"/>
      <c r="CY227" s="26"/>
      <c r="CZ227" s="26"/>
    </row>
    <row r="228" spans="1:104" x14ac:dyDescent="0.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  <c r="AP228" s="26"/>
      <c r="AQ228" s="26"/>
      <c r="AR228" s="26"/>
      <c r="AS228" s="26"/>
      <c r="AT228" s="26"/>
      <c r="AU228" s="26"/>
      <c r="AV228" s="26"/>
      <c r="AW228" s="26"/>
      <c r="AX228" s="26"/>
      <c r="AY228" s="26"/>
      <c r="AZ228" s="26"/>
      <c r="BA228" s="26"/>
      <c r="BB228" s="26"/>
      <c r="BC228" s="26"/>
      <c r="BD228" s="26"/>
      <c r="BE228" s="26"/>
      <c r="BF228" s="26"/>
      <c r="BG228" s="26"/>
      <c r="BH228" s="26"/>
      <c r="BI228" s="26"/>
      <c r="BJ228" s="26"/>
      <c r="BK228" s="26"/>
      <c r="BL228" s="26"/>
      <c r="BM228" s="26"/>
      <c r="BN228" s="26"/>
      <c r="BO228" s="26"/>
      <c r="BP228" s="26"/>
      <c r="BQ228" s="26"/>
      <c r="BR228" s="26"/>
      <c r="BS228" s="26"/>
      <c r="BT228" s="26"/>
      <c r="BU228" s="26"/>
      <c r="BV228" s="26"/>
      <c r="BW228" s="26"/>
      <c r="BX228" s="26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26"/>
      <c r="CP228" s="26"/>
      <c r="CQ228" s="26"/>
      <c r="CR228" s="26"/>
      <c r="CS228" s="26"/>
      <c r="CT228" s="26"/>
      <c r="CU228" s="26"/>
      <c r="CV228" s="26"/>
      <c r="CW228" s="26"/>
      <c r="CX228" s="26"/>
      <c r="CY228" s="26"/>
      <c r="CZ228" s="26"/>
    </row>
    <row r="229" spans="1:104" x14ac:dyDescent="0.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  <c r="AP229" s="26"/>
      <c r="AQ229" s="26"/>
      <c r="AR229" s="26"/>
      <c r="AS229" s="26"/>
      <c r="AT229" s="26"/>
      <c r="AU229" s="26"/>
      <c r="AV229" s="26"/>
      <c r="AW229" s="26"/>
      <c r="AX229" s="26"/>
      <c r="AY229" s="26"/>
      <c r="AZ229" s="26"/>
      <c r="BA229" s="26"/>
      <c r="BB229" s="26"/>
      <c r="BC229" s="26"/>
      <c r="BD229" s="26"/>
      <c r="BE229" s="26"/>
      <c r="BF229" s="26"/>
      <c r="BG229" s="26"/>
      <c r="BH229" s="26"/>
      <c r="BI229" s="26"/>
      <c r="BJ229" s="26"/>
      <c r="BK229" s="26"/>
      <c r="BL229" s="26"/>
      <c r="BM229" s="26"/>
      <c r="BN229" s="26"/>
      <c r="BO229" s="26"/>
      <c r="BP229" s="26"/>
      <c r="BQ229" s="26"/>
      <c r="BR229" s="26"/>
      <c r="BS229" s="26"/>
      <c r="BT229" s="26"/>
      <c r="BU229" s="26"/>
      <c r="BV229" s="26"/>
      <c r="BW229" s="26"/>
      <c r="BX229" s="26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26"/>
      <c r="CP229" s="26"/>
      <c r="CQ229" s="26"/>
      <c r="CR229" s="26"/>
      <c r="CS229" s="26"/>
      <c r="CT229" s="26"/>
      <c r="CU229" s="26"/>
      <c r="CV229" s="26"/>
      <c r="CW229" s="26"/>
      <c r="CX229" s="26"/>
      <c r="CY229" s="26"/>
      <c r="CZ229" s="26"/>
    </row>
    <row r="230" spans="1:104" x14ac:dyDescent="0.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  <c r="AP230" s="26"/>
      <c r="AQ230" s="26"/>
      <c r="AR230" s="26"/>
      <c r="AS230" s="26"/>
      <c r="AT230" s="26"/>
      <c r="AU230" s="26"/>
      <c r="AV230" s="26"/>
      <c r="AW230" s="26"/>
      <c r="AX230" s="26"/>
      <c r="AY230" s="26"/>
      <c r="AZ230" s="26"/>
      <c r="BA230" s="26"/>
      <c r="BB230" s="26"/>
      <c r="BC230" s="26"/>
      <c r="BD230" s="26"/>
      <c r="BE230" s="26"/>
      <c r="BF230" s="26"/>
      <c r="BG230" s="26"/>
      <c r="BH230" s="26"/>
      <c r="BI230" s="26"/>
      <c r="BJ230" s="26"/>
      <c r="BK230" s="26"/>
      <c r="BL230" s="26"/>
      <c r="BM230" s="26"/>
      <c r="BN230" s="26"/>
      <c r="BO230" s="26"/>
      <c r="BP230" s="26"/>
      <c r="BQ230" s="26"/>
      <c r="BR230" s="26"/>
      <c r="BS230" s="26"/>
      <c r="BT230" s="26"/>
      <c r="BU230" s="26"/>
      <c r="BV230" s="26"/>
      <c r="BW230" s="26"/>
      <c r="BX230" s="26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26"/>
      <c r="CP230" s="26"/>
      <c r="CQ230" s="26"/>
      <c r="CR230" s="26"/>
      <c r="CS230" s="26"/>
      <c r="CT230" s="26"/>
      <c r="CU230" s="26"/>
      <c r="CV230" s="26"/>
      <c r="CW230" s="26"/>
      <c r="CX230" s="26"/>
      <c r="CY230" s="26"/>
      <c r="CZ230" s="26"/>
    </row>
    <row r="231" spans="1:104" x14ac:dyDescent="0.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26"/>
      <c r="AP231" s="26"/>
      <c r="AQ231" s="26"/>
      <c r="AR231" s="26"/>
      <c r="AS231" s="26"/>
      <c r="AT231" s="26"/>
      <c r="AU231" s="26"/>
      <c r="AV231" s="26"/>
      <c r="AW231" s="26"/>
      <c r="AX231" s="26"/>
      <c r="AY231" s="26"/>
      <c r="AZ231" s="26"/>
      <c r="BA231" s="26"/>
      <c r="BB231" s="26"/>
      <c r="BC231" s="26"/>
      <c r="BD231" s="26"/>
      <c r="BE231" s="26"/>
      <c r="BF231" s="26"/>
      <c r="BG231" s="26"/>
      <c r="BH231" s="26"/>
      <c r="BI231" s="26"/>
      <c r="BJ231" s="26"/>
      <c r="BK231" s="26"/>
      <c r="BL231" s="26"/>
      <c r="BM231" s="26"/>
      <c r="BN231" s="26"/>
      <c r="BO231" s="26"/>
      <c r="BP231" s="26"/>
      <c r="BQ231" s="26"/>
      <c r="BR231" s="26"/>
      <c r="BS231" s="26"/>
      <c r="BT231" s="26"/>
      <c r="BU231" s="26"/>
      <c r="BV231" s="26"/>
      <c r="BW231" s="26"/>
      <c r="BX231" s="26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26"/>
      <c r="CP231" s="26"/>
      <c r="CQ231" s="26"/>
      <c r="CR231" s="26"/>
      <c r="CS231" s="26"/>
      <c r="CT231" s="26"/>
      <c r="CU231" s="26"/>
      <c r="CV231" s="26"/>
      <c r="CW231" s="26"/>
      <c r="CX231" s="26"/>
      <c r="CY231" s="26"/>
      <c r="CZ231" s="26"/>
    </row>
    <row r="232" spans="1:104" x14ac:dyDescent="0.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  <c r="AF232" s="26"/>
      <c r="AG232" s="26"/>
      <c r="AH232" s="26"/>
      <c r="AI232" s="26"/>
      <c r="AJ232" s="26"/>
      <c r="AK232" s="26"/>
      <c r="AL232" s="26"/>
      <c r="AM232" s="26"/>
      <c r="AN232" s="26"/>
      <c r="AO232" s="26"/>
      <c r="AP232" s="26"/>
      <c r="AQ232" s="26"/>
      <c r="AR232" s="26"/>
      <c r="AS232" s="26"/>
      <c r="AT232" s="26"/>
      <c r="AU232" s="26"/>
      <c r="AV232" s="26"/>
      <c r="AW232" s="26"/>
      <c r="AX232" s="26"/>
      <c r="AY232" s="26"/>
      <c r="AZ232" s="26"/>
      <c r="BA232" s="26"/>
      <c r="BB232" s="26"/>
      <c r="BC232" s="26"/>
      <c r="BD232" s="26"/>
      <c r="BE232" s="26"/>
      <c r="BF232" s="26"/>
      <c r="BG232" s="26"/>
      <c r="BH232" s="26"/>
      <c r="BI232" s="26"/>
      <c r="BJ232" s="26"/>
      <c r="BK232" s="26"/>
      <c r="BL232" s="26"/>
      <c r="BM232" s="26"/>
      <c r="BN232" s="26"/>
      <c r="BO232" s="26"/>
      <c r="BP232" s="26"/>
      <c r="BQ232" s="26"/>
      <c r="BR232" s="26"/>
      <c r="BS232" s="26"/>
      <c r="BT232" s="26"/>
      <c r="BU232" s="26"/>
      <c r="BV232" s="26"/>
      <c r="BW232" s="26"/>
      <c r="BX232" s="26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26"/>
      <c r="CP232" s="26"/>
      <c r="CQ232" s="26"/>
      <c r="CR232" s="26"/>
      <c r="CS232" s="26"/>
      <c r="CT232" s="26"/>
      <c r="CU232" s="26"/>
      <c r="CV232" s="26"/>
      <c r="CW232" s="26"/>
      <c r="CX232" s="26"/>
      <c r="CY232" s="26"/>
      <c r="CZ232" s="26"/>
    </row>
    <row r="233" spans="1:104" x14ac:dyDescent="0.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26"/>
      <c r="AP233" s="26"/>
      <c r="AQ233" s="26"/>
      <c r="AR233" s="26"/>
      <c r="AS233" s="26"/>
      <c r="AT233" s="26"/>
      <c r="AU233" s="26"/>
      <c r="AV233" s="26"/>
      <c r="AW233" s="26"/>
      <c r="AX233" s="26"/>
      <c r="AY233" s="26"/>
      <c r="AZ233" s="26"/>
      <c r="BA233" s="26"/>
      <c r="BB233" s="26"/>
      <c r="BC233" s="26"/>
      <c r="BD233" s="26"/>
      <c r="BE233" s="26"/>
      <c r="BF233" s="26"/>
      <c r="BG233" s="26"/>
      <c r="BH233" s="26"/>
      <c r="BI233" s="26"/>
      <c r="BJ233" s="26"/>
      <c r="BK233" s="26"/>
      <c r="BL233" s="26"/>
      <c r="BM233" s="26"/>
      <c r="BN233" s="26"/>
      <c r="BO233" s="26"/>
      <c r="BP233" s="26"/>
      <c r="BQ233" s="26"/>
      <c r="BR233" s="26"/>
      <c r="BS233" s="26"/>
      <c r="BT233" s="26"/>
      <c r="BU233" s="26"/>
      <c r="BV233" s="26"/>
      <c r="BW233" s="26"/>
      <c r="BX233" s="26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26"/>
      <c r="CP233" s="26"/>
      <c r="CQ233" s="26"/>
      <c r="CR233" s="26"/>
      <c r="CS233" s="26"/>
      <c r="CT233" s="26"/>
      <c r="CU233" s="26"/>
      <c r="CV233" s="26"/>
      <c r="CW233" s="26"/>
      <c r="CX233" s="26"/>
      <c r="CY233" s="26"/>
      <c r="CZ233" s="26"/>
    </row>
    <row r="234" spans="1:104" x14ac:dyDescent="0.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6"/>
      <c r="AB234" s="26"/>
      <c r="AC234" s="26"/>
      <c r="AD234" s="26"/>
      <c r="AE234" s="26"/>
      <c r="AF234" s="26"/>
      <c r="AG234" s="26"/>
      <c r="AH234" s="26"/>
      <c r="AI234" s="26"/>
      <c r="AJ234" s="26"/>
      <c r="AK234" s="26"/>
      <c r="AL234" s="26"/>
      <c r="AM234" s="26"/>
      <c r="AN234" s="26"/>
      <c r="AO234" s="26"/>
      <c r="AP234" s="26"/>
      <c r="AQ234" s="26"/>
      <c r="AR234" s="26"/>
      <c r="AS234" s="26"/>
      <c r="AT234" s="26"/>
      <c r="AU234" s="26"/>
      <c r="AV234" s="26"/>
      <c r="AW234" s="26"/>
      <c r="AX234" s="26"/>
      <c r="AY234" s="26"/>
      <c r="AZ234" s="26"/>
      <c r="BA234" s="26"/>
      <c r="BB234" s="26"/>
      <c r="BC234" s="26"/>
      <c r="BD234" s="26"/>
      <c r="BE234" s="26"/>
      <c r="BF234" s="26"/>
      <c r="BG234" s="26"/>
      <c r="BH234" s="26"/>
      <c r="BI234" s="26"/>
      <c r="BJ234" s="26"/>
      <c r="BK234" s="26"/>
      <c r="BL234" s="26"/>
      <c r="BM234" s="26"/>
      <c r="BN234" s="26"/>
      <c r="BO234" s="26"/>
      <c r="BP234" s="26"/>
      <c r="BQ234" s="26"/>
      <c r="BR234" s="26"/>
      <c r="BS234" s="26"/>
      <c r="BT234" s="26"/>
      <c r="BU234" s="26"/>
      <c r="BV234" s="26"/>
      <c r="BW234" s="26"/>
      <c r="BX234" s="26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26"/>
      <c r="CP234" s="26"/>
      <c r="CQ234" s="26"/>
      <c r="CR234" s="26"/>
      <c r="CS234" s="26"/>
      <c r="CT234" s="26"/>
      <c r="CU234" s="26"/>
      <c r="CV234" s="26"/>
      <c r="CW234" s="26"/>
      <c r="CX234" s="26"/>
      <c r="CY234" s="26"/>
      <c r="CZ234" s="26"/>
    </row>
    <row r="235" spans="1:104" x14ac:dyDescent="0.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F235" s="26"/>
      <c r="AG235" s="26"/>
      <c r="AH235" s="26"/>
      <c r="AI235" s="26"/>
      <c r="AJ235" s="26"/>
      <c r="AK235" s="26"/>
      <c r="AL235" s="26"/>
      <c r="AM235" s="26"/>
      <c r="AN235" s="26"/>
      <c r="AO235" s="26"/>
      <c r="AP235" s="26"/>
      <c r="AQ235" s="26"/>
      <c r="AR235" s="26"/>
      <c r="AS235" s="26"/>
      <c r="AT235" s="26"/>
      <c r="AU235" s="26"/>
      <c r="AV235" s="26"/>
      <c r="AW235" s="26"/>
      <c r="AX235" s="26"/>
      <c r="AY235" s="26"/>
      <c r="AZ235" s="26"/>
      <c r="BA235" s="26"/>
      <c r="BB235" s="26"/>
      <c r="BC235" s="26"/>
      <c r="BD235" s="26"/>
      <c r="BE235" s="26"/>
      <c r="BF235" s="26"/>
      <c r="BG235" s="26"/>
      <c r="BH235" s="26"/>
      <c r="BI235" s="26"/>
      <c r="BJ235" s="26"/>
      <c r="BK235" s="26"/>
      <c r="BL235" s="26"/>
      <c r="BM235" s="26"/>
      <c r="BN235" s="26"/>
      <c r="BO235" s="26"/>
      <c r="BP235" s="26"/>
      <c r="BQ235" s="26"/>
      <c r="BR235" s="26"/>
      <c r="BS235" s="26"/>
      <c r="BT235" s="26"/>
      <c r="BU235" s="26"/>
      <c r="BV235" s="26"/>
      <c r="BW235" s="26"/>
      <c r="BX235" s="26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26"/>
      <c r="CP235" s="26"/>
      <c r="CQ235" s="26"/>
      <c r="CR235" s="26"/>
      <c r="CS235" s="26"/>
      <c r="CT235" s="26"/>
      <c r="CU235" s="26"/>
      <c r="CV235" s="26"/>
      <c r="CW235" s="26"/>
      <c r="CX235" s="26"/>
      <c r="CY235" s="26"/>
      <c r="CZ235" s="26"/>
    </row>
    <row r="236" spans="1:104" x14ac:dyDescent="0.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  <c r="AL236" s="26"/>
      <c r="AM236" s="26"/>
      <c r="AN236" s="26"/>
      <c r="AO236" s="26"/>
      <c r="AP236" s="26"/>
      <c r="AQ236" s="26"/>
      <c r="AR236" s="26"/>
      <c r="AS236" s="26"/>
      <c r="AT236" s="26"/>
      <c r="AU236" s="26"/>
      <c r="AV236" s="26"/>
      <c r="AW236" s="26"/>
      <c r="AX236" s="26"/>
      <c r="AY236" s="26"/>
      <c r="AZ236" s="26"/>
      <c r="BA236" s="26"/>
      <c r="BB236" s="26"/>
      <c r="BC236" s="26"/>
      <c r="BD236" s="26"/>
      <c r="BE236" s="26"/>
      <c r="BF236" s="26"/>
      <c r="BG236" s="26"/>
      <c r="BH236" s="26"/>
      <c r="BI236" s="26"/>
      <c r="BJ236" s="26"/>
      <c r="BK236" s="26"/>
      <c r="BL236" s="26"/>
      <c r="BM236" s="26"/>
      <c r="BN236" s="26"/>
      <c r="BO236" s="26"/>
      <c r="BP236" s="26"/>
      <c r="BQ236" s="26"/>
      <c r="BR236" s="26"/>
      <c r="BS236" s="26"/>
      <c r="BT236" s="26"/>
      <c r="BU236" s="26"/>
      <c r="BV236" s="26"/>
      <c r="BW236" s="26"/>
      <c r="BX236" s="26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26"/>
      <c r="CP236" s="26"/>
      <c r="CQ236" s="26"/>
      <c r="CR236" s="26"/>
      <c r="CS236" s="26"/>
      <c r="CT236" s="26"/>
      <c r="CU236" s="26"/>
      <c r="CV236" s="26"/>
      <c r="CW236" s="26"/>
      <c r="CX236" s="26"/>
      <c r="CY236" s="26"/>
      <c r="CZ236" s="26"/>
    </row>
    <row r="237" spans="1:104" x14ac:dyDescent="0.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  <c r="AH237" s="26"/>
      <c r="AI237" s="26"/>
      <c r="AJ237" s="26"/>
      <c r="AK237" s="26"/>
      <c r="AL237" s="26"/>
      <c r="AM237" s="26"/>
      <c r="AN237" s="26"/>
      <c r="AO237" s="26"/>
      <c r="AP237" s="26"/>
      <c r="AQ237" s="26"/>
      <c r="AR237" s="26"/>
      <c r="AS237" s="26"/>
      <c r="AT237" s="26"/>
      <c r="AU237" s="26"/>
      <c r="AV237" s="26"/>
      <c r="AW237" s="26"/>
      <c r="AX237" s="26"/>
      <c r="AY237" s="26"/>
      <c r="AZ237" s="26"/>
      <c r="BA237" s="26"/>
      <c r="BB237" s="26"/>
      <c r="BC237" s="26"/>
      <c r="BD237" s="26"/>
      <c r="BE237" s="26"/>
      <c r="BF237" s="26"/>
      <c r="BG237" s="26"/>
      <c r="BH237" s="26"/>
      <c r="BI237" s="26"/>
      <c r="BJ237" s="26"/>
      <c r="BK237" s="26"/>
      <c r="BL237" s="26"/>
      <c r="BM237" s="26"/>
      <c r="BN237" s="26"/>
      <c r="BO237" s="26"/>
      <c r="BP237" s="26"/>
      <c r="BQ237" s="26"/>
      <c r="BR237" s="26"/>
      <c r="BS237" s="26"/>
      <c r="BT237" s="26"/>
      <c r="BU237" s="26"/>
      <c r="BV237" s="26"/>
      <c r="BW237" s="26"/>
      <c r="BX237" s="26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26"/>
      <c r="CP237" s="26"/>
      <c r="CQ237" s="26"/>
      <c r="CR237" s="26"/>
      <c r="CS237" s="26"/>
      <c r="CT237" s="26"/>
      <c r="CU237" s="26"/>
      <c r="CV237" s="26"/>
      <c r="CW237" s="26"/>
      <c r="CX237" s="26"/>
      <c r="CY237" s="26"/>
      <c r="CZ237" s="26"/>
    </row>
    <row r="238" spans="1:104" x14ac:dyDescent="0.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6"/>
      <c r="AB238" s="26"/>
      <c r="AC238" s="26"/>
      <c r="AD238" s="26"/>
      <c r="AE238" s="26"/>
      <c r="AF238" s="26"/>
      <c r="AG238" s="26"/>
      <c r="AH238" s="26"/>
      <c r="AI238" s="26"/>
      <c r="AJ238" s="26"/>
      <c r="AK238" s="26"/>
      <c r="AL238" s="26"/>
      <c r="AM238" s="26"/>
      <c r="AN238" s="26"/>
      <c r="AO238" s="26"/>
      <c r="AP238" s="26"/>
      <c r="AQ238" s="26"/>
      <c r="AR238" s="26"/>
      <c r="AS238" s="26"/>
      <c r="AT238" s="26"/>
      <c r="AU238" s="26"/>
      <c r="AV238" s="26"/>
      <c r="AW238" s="26"/>
      <c r="AX238" s="26"/>
      <c r="AY238" s="26"/>
      <c r="AZ238" s="26"/>
      <c r="BA238" s="26"/>
      <c r="BB238" s="26"/>
      <c r="BC238" s="26"/>
      <c r="BD238" s="26"/>
      <c r="BE238" s="26"/>
      <c r="BF238" s="26"/>
      <c r="BG238" s="26"/>
      <c r="BH238" s="26"/>
      <c r="BI238" s="26"/>
      <c r="BJ238" s="26"/>
      <c r="BK238" s="26"/>
      <c r="BL238" s="26"/>
      <c r="BM238" s="26"/>
      <c r="BN238" s="26"/>
      <c r="BO238" s="26"/>
      <c r="BP238" s="26"/>
      <c r="BQ238" s="26"/>
      <c r="BR238" s="26"/>
      <c r="BS238" s="26"/>
      <c r="BT238" s="26"/>
      <c r="BU238" s="26"/>
      <c r="BV238" s="26"/>
      <c r="BW238" s="26"/>
      <c r="BX238" s="26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26"/>
      <c r="CP238" s="26"/>
      <c r="CQ238" s="26"/>
      <c r="CR238" s="26"/>
      <c r="CS238" s="26"/>
      <c r="CT238" s="26"/>
      <c r="CU238" s="26"/>
      <c r="CV238" s="26"/>
      <c r="CW238" s="26"/>
      <c r="CX238" s="26"/>
      <c r="CY238" s="26"/>
      <c r="CZ238" s="26"/>
    </row>
    <row r="239" spans="1:104" x14ac:dyDescent="0.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26"/>
      <c r="AH239" s="26"/>
      <c r="AI239" s="26"/>
      <c r="AJ239" s="26"/>
      <c r="AK239" s="26"/>
      <c r="AL239" s="26"/>
      <c r="AM239" s="26"/>
      <c r="AN239" s="26"/>
      <c r="AO239" s="26"/>
      <c r="AP239" s="26"/>
      <c r="AQ239" s="26"/>
      <c r="AR239" s="26"/>
      <c r="AS239" s="26"/>
      <c r="AT239" s="26"/>
      <c r="AU239" s="26"/>
      <c r="AV239" s="26"/>
      <c r="AW239" s="26"/>
      <c r="AX239" s="26"/>
      <c r="AY239" s="26"/>
      <c r="AZ239" s="26"/>
      <c r="BA239" s="26"/>
      <c r="BB239" s="26"/>
      <c r="BC239" s="26"/>
      <c r="BD239" s="26"/>
      <c r="BE239" s="26"/>
      <c r="BF239" s="26"/>
      <c r="BG239" s="26"/>
      <c r="BH239" s="26"/>
      <c r="BI239" s="26"/>
      <c r="BJ239" s="26"/>
      <c r="BK239" s="26"/>
      <c r="BL239" s="26"/>
      <c r="BM239" s="26"/>
      <c r="BN239" s="26"/>
      <c r="BO239" s="26"/>
      <c r="BP239" s="26"/>
      <c r="BQ239" s="26"/>
      <c r="BR239" s="26"/>
      <c r="BS239" s="26"/>
      <c r="BT239" s="26"/>
      <c r="BU239" s="26"/>
      <c r="BV239" s="26"/>
      <c r="BW239" s="26"/>
      <c r="BX239" s="26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26"/>
      <c r="CP239" s="26"/>
      <c r="CQ239" s="26"/>
      <c r="CR239" s="26"/>
      <c r="CS239" s="26"/>
      <c r="CT239" s="26"/>
      <c r="CU239" s="26"/>
      <c r="CV239" s="26"/>
      <c r="CW239" s="26"/>
      <c r="CX239" s="26"/>
      <c r="CY239" s="26"/>
      <c r="CZ239" s="26"/>
    </row>
    <row r="240" spans="1:104" x14ac:dyDescent="0.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6"/>
      <c r="AJ240" s="26"/>
      <c r="AK240" s="26"/>
      <c r="AL240" s="26"/>
      <c r="AM240" s="26"/>
      <c r="AN240" s="26"/>
      <c r="AO240" s="26"/>
      <c r="AP240" s="26"/>
      <c r="AQ240" s="26"/>
      <c r="AR240" s="26"/>
      <c r="AS240" s="26"/>
      <c r="AT240" s="26"/>
      <c r="AU240" s="26"/>
      <c r="AV240" s="26"/>
      <c r="AW240" s="26"/>
      <c r="AX240" s="26"/>
      <c r="AY240" s="26"/>
      <c r="AZ240" s="26"/>
      <c r="BA240" s="26"/>
      <c r="BB240" s="26"/>
      <c r="BC240" s="26"/>
      <c r="BD240" s="26"/>
      <c r="BE240" s="26"/>
      <c r="BF240" s="26"/>
      <c r="BG240" s="26"/>
      <c r="BH240" s="26"/>
      <c r="BI240" s="26"/>
      <c r="BJ240" s="26"/>
      <c r="BK240" s="26"/>
      <c r="BL240" s="26"/>
      <c r="BM240" s="26"/>
      <c r="BN240" s="26"/>
      <c r="BO240" s="26"/>
      <c r="BP240" s="26"/>
      <c r="BQ240" s="26"/>
      <c r="BR240" s="26"/>
      <c r="BS240" s="26"/>
      <c r="BT240" s="26"/>
      <c r="BU240" s="26"/>
      <c r="BV240" s="26"/>
      <c r="BW240" s="26"/>
      <c r="BX240" s="26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26"/>
      <c r="CP240" s="26"/>
      <c r="CQ240" s="26"/>
      <c r="CR240" s="26"/>
      <c r="CS240" s="26"/>
      <c r="CT240" s="26"/>
      <c r="CU240" s="26"/>
      <c r="CV240" s="26"/>
      <c r="CW240" s="26"/>
      <c r="CX240" s="26"/>
      <c r="CY240" s="26"/>
      <c r="CZ240" s="26"/>
    </row>
    <row r="241" spans="1:104" x14ac:dyDescent="0.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  <c r="AL241" s="26"/>
      <c r="AM241" s="26"/>
      <c r="AN241" s="26"/>
      <c r="AO241" s="26"/>
      <c r="AP241" s="26"/>
      <c r="AQ241" s="26"/>
      <c r="AR241" s="26"/>
      <c r="AS241" s="26"/>
      <c r="AT241" s="26"/>
      <c r="AU241" s="26"/>
      <c r="AV241" s="26"/>
      <c r="AW241" s="26"/>
      <c r="AX241" s="26"/>
      <c r="AY241" s="26"/>
      <c r="AZ241" s="26"/>
      <c r="BA241" s="26"/>
      <c r="BB241" s="26"/>
      <c r="BC241" s="26"/>
      <c r="BD241" s="26"/>
      <c r="BE241" s="26"/>
      <c r="BF241" s="26"/>
      <c r="BG241" s="26"/>
      <c r="BH241" s="26"/>
      <c r="BI241" s="26"/>
      <c r="BJ241" s="26"/>
      <c r="BK241" s="26"/>
      <c r="BL241" s="26"/>
      <c r="BM241" s="26"/>
      <c r="BN241" s="26"/>
      <c r="BO241" s="26"/>
      <c r="BP241" s="26"/>
      <c r="BQ241" s="26"/>
      <c r="BR241" s="26"/>
      <c r="BS241" s="26"/>
      <c r="BT241" s="26"/>
      <c r="BU241" s="26"/>
      <c r="BV241" s="26"/>
      <c r="BW241" s="26"/>
      <c r="BX241" s="26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26"/>
      <c r="CP241" s="26"/>
      <c r="CQ241" s="26"/>
      <c r="CR241" s="26"/>
      <c r="CS241" s="26"/>
      <c r="CT241" s="26"/>
      <c r="CU241" s="26"/>
      <c r="CV241" s="26"/>
      <c r="CW241" s="26"/>
      <c r="CX241" s="26"/>
      <c r="CY241" s="26"/>
      <c r="CZ241" s="26"/>
    </row>
    <row r="242" spans="1:104" x14ac:dyDescent="0.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  <c r="AL242" s="26"/>
      <c r="AM242" s="26"/>
      <c r="AN242" s="26"/>
      <c r="AO242" s="26"/>
      <c r="AP242" s="26"/>
      <c r="AQ242" s="26"/>
      <c r="AR242" s="26"/>
      <c r="AS242" s="26"/>
      <c r="AT242" s="26"/>
      <c r="AU242" s="26"/>
      <c r="AV242" s="26"/>
      <c r="AW242" s="26"/>
      <c r="AX242" s="26"/>
      <c r="AY242" s="26"/>
      <c r="AZ242" s="26"/>
      <c r="BA242" s="26"/>
      <c r="BB242" s="26"/>
      <c r="BC242" s="26"/>
      <c r="BD242" s="26"/>
      <c r="BE242" s="26"/>
      <c r="BF242" s="26"/>
      <c r="BG242" s="26"/>
      <c r="BH242" s="26"/>
      <c r="BI242" s="26"/>
      <c r="BJ242" s="26"/>
      <c r="BK242" s="26"/>
      <c r="BL242" s="26"/>
      <c r="BM242" s="26"/>
      <c r="BN242" s="26"/>
      <c r="BO242" s="26"/>
      <c r="BP242" s="26"/>
      <c r="BQ242" s="26"/>
      <c r="BR242" s="26"/>
      <c r="BS242" s="26"/>
      <c r="BT242" s="26"/>
      <c r="BU242" s="26"/>
      <c r="BV242" s="26"/>
      <c r="BW242" s="26"/>
      <c r="BX242" s="26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26"/>
      <c r="CP242" s="26"/>
      <c r="CQ242" s="26"/>
      <c r="CR242" s="26"/>
      <c r="CS242" s="26"/>
      <c r="CT242" s="26"/>
      <c r="CU242" s="26"/>
      <c r="CV242" s="26"/>
      <c r="CW242" s="26"/>
      <c r="CX242" s="26"/>
      <c r="CY242" s="26"/>
      <c r="CZ242" s="26"/>
    </row>
    <row r="243" spans="1:104" x14ac:dyDescent="0.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  <c r="AL243" s="26"/>
      <c r="AM243" s="26"/>
      <c r="AN243" s="26"/>
      <c r="AO243" s="26"/>
      <c r="AP243" s="26"/>
      <c r="AQ243" s="26"/>
      <c r="AR243" s="26"/>
      <c r="AS243" s="26"/>
      <c r="AT243" s="26"/>
      <c r="AU243" s="26"/>
      <c r="AV243" s="26"/>
      <c r="AW243" s="26"/>
      <c r="AX243" s="26"/>
      <c r="AY243" s="26"/>
      <c r="AZ243" s="26"/>
      <c r="BA243" s="26"/>
      <c r="BB243" s="26"/>
      <c r="BC243" s="26"/>
      <c r="BD243" s="26"/>
      <c r="BE243" s="26"/>
      <c r="BF243" s="26"/>
      <c r="BG243" s="26"/>
      <c r="BH243" s="26"/>
      <c r="BI243" s="26"/>
      <c r="BJ243" s="26"/>
      <c r="BK243" s="26"/>
      <c r="BL243" s="26"/>
      <c r="BM243" s="26"/>
      <c r="BN243" s="26"/>
      <c r="BO243" s="26"/>
      <c r="BP243" s="26"/>
      <c r="BQ243" s="26"/>
      <c r="BR243" s="26"/>
      <c r="BS243" s="26"/>
      <c r="BT243" s="26"/>
      <c r="BU243" s="26"/>
      <c r="BV243" s="26"/>
      <c r="BW243" s="26"/>
      <c r="BX243" s="26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26"/>
      <c r="CP243" s="26"/>
      <c r="CQ243" s="26"/>
      <c r="CR243" s="26"/>
      <c r="CS243" s="26"/>
      <c r="CT243" s="26"/>
      <c r="CU243" s="26"/>
      <c r="CV243" s="26"/>
      <c r="CW243" s="26"/>
      <c r="CX243" s="26"/>
      <c r="CY243" s="26"/>
      <c r="CZ243" s="26"/>
    </row>
    <row r="244" spans="1:104" x14ac:dyDescent="0.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  <c r="AL244" s="26"/>
      <c r="AM244" s="26"/>
      <c r="AN244" s="26"/>
      <c r="AO244" s="26"/>
      <c r="AP244" s="26"/>
      <c r="AQ244" s="26"/>
      <c r="AR244" s="26"/>
      <c r="AS244" s="26"/>
      <c r="AT244" s="26"/>
      <c r="AU244" s="26"/>
      <c r="AV244" s="26"/>
      <c r="AW244" s="26"/>
      <c r="AX244" s="26"/>
      <c r="AY244" s="26"/>
      <c r="AZ244" s="26"/>
      <c r="BA244" s="26"/>
      <c r="BB244" s="26"/>
      <c r="BC244" s="26"/>
      <c r="BD244" s="26"/>
      <c r="BE244" s="26"/>
      <c r="BF244" s="26"/>
      <c r="BG244" s="26"/>
      <c r="BH244" s="26"/>
      <c r="BI244" s="26"/>
      <c r="BJ244" s="26"/>
      <c r="BK244" s="26"/>
      <c r="BL244" s="26"/>
      <c r="BM244" s="26"/>
      <c r="BN244" s="26"/>
      <c r="BO244" s="26"/>
      <c r="BP244" s="26"/>
      <c r="BQ244" s="26"/>
      <c r="BR244" s="26"/>
      <c r="BS244" s="26"/>
      <c r="BT244" s="26"/>
      <c r="BU244" s="26"/>
      <c r="BV244" s="26"/>
      <c r="BW244" s="26"/>
      <c r="BX244" s="26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26"/>
      <c r="CP244" s="26"/>
      <c r="CQ244" s="26"/>
      <c r="CR244" s="26"/>
      <c r="CS244" s="26"/>
      <c r="CT244" s="26"/>
      <c r="CU244" s="26"/>
      <c r="CV244" s="26"/>
      <c r="CW244" s="26"/>
      <c r="CX244" s="26"/>
      <c r="CY244" s="26"/>
      <c r="CZ244" s="26"/>
    </row>
    <row r="245" spans="1:104" x14ac:dyDescent="0.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  <c r="AL245" s="26"/>
      <c r="AM245" s="26"/>
      <c r="AN245" s="26"/>
      <c r="AO245" s="26"/>
      <c r="AP245" s="26"/>
      <c r="AQ245" s="26"/>
      <c r="AR245" s="26"/>
      <c r="AS245" s="26"/>
      <c r="AT245" s="26"/>
      <c r="AU245" s="26"/>
      <c r="AV245" s="26"/>
      <c r="AW245" s="26"/>
      <c r="AX245" s="26"/>
      <c r="AY245" s="26"/>
      <c r="AZ245" s="26"/>
      <c r="BA245" s="26"/>
      <c r="BB245" s="26"/>
      <c r="BC245" s="26"/>
      <c r="BD245" s="26"/>
      <c r="BE245" s="26"/>
      <c r="BF245" s="26"/>
      <c r="BG245" s="26"/>
      <c r="BH245" s="26"/>
      <c r="BI245" s="26"/>
      <c r="BJ245" s="26"/>
      <c r="BK245" s="26"/>
      <c r="BL245" s="26"/>
      <c r="BM245" s="26"/>
      <c r="BN245" s="26"/>
      <c r="BO245" s="26"/>
      <c r="BP245" s="26"/>
      <c r="BQ245" s="26"/>
      <c r="BR245" s="26"/>
      <c r="BS245" s="26"/>
      <c r="BT245" s="26"/>
      <c r="BU245" s="26"/>
      <c r="BV245" s="26"/>
      <c r="BW245" s="26"/>
      <c r="BX245" s="26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26"/>
      <c r="CP245" s="26"/>
      <c r="CQ245" s="26"/>
      <c r="CR245" s="26"/>
      <c r="CS245" s="26"/>
      <c r="CT245" s="26"/>
      <c r="CU245" s="26"/>
      <c r="CV245" s="26"/>
      <c r="CW245" s="26"/>
      <c r="CX245" s="26"/>
      <c r="CY245" s="26"/>
      <c r="CZ245" s="26"/>
    </row>
    <row r="246" spans="1:104" x14ac:dyDescent="0.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  <c r="AL246" s="26"/>
      <c r="AM246" s="26"/>
      <c r="AN246" s="26"/>
      <c r="AO246" s="26"/>
      <c r="AP246" s="26"/>
      <c r="AQ246" s="26"/>
      <c r="AR246" s="26"/>
      <c r="AS246" s="26"/>
      <c r="AT246" s="26"/>
      <c r="AU246" s="26"/>
      <c r="AV246" s="26"/>
      <c r="AW246" s="26"/>
      <c r="AX246" s="26"/>
      <c r="AY246" s="26"/>
      <c r="AZ246" s="26"/>
      <c r="BA246" s="26"/>
      <c r="BB246" s="26"/>
      <c r="BC246" s="26"/>
      <c r="BD246" s="26"/>
      <c r="BE246" s="26"/>
      <c r="BF246" s="26"/>
      <c r="BG246" s="26"/>
      <c r="BH246" s="26"/>
      <c r="BI246" s="26"/>
      <c r="BJ246" s="26"/>
      <c r="BK246" s="26"/>
      <c r="BL246" s="26"/>
      <c r="BM246" s="26"/>
      <c r="BN246" s="26"/>
      <c r="BO246" s="26"/>
      <c r="BP246" s="26"/>
      <c r="BQ246" s="26"/>
      <c r="BR246" s="26"/>
      <c r="BS246" s="26"/>
      <c r="BT246" s="26"/>
      <c r="BU246" s="26"/>
      <c r="BV246" s="26"/>
      <c r="BW246" s="26"/>
      <c r="BX246" s="26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26"/>
      <c r="CP246" s="26"/>
      <c r="CQ246" s="26"/>
      <c r="CR246" s="26"/>
      <c r="CS246" s="26"/>
      <c r="CT246" s="26"/>
      <c r="CU246" s="26"/>
      <c r="CV246" s="26"/>
      <c r="CW246" s="26"/>
      <c r="CX246" s="26"/>
      <c r="CY246" s="26"/>
      <c r="CZ246" s="26"/>
    </row>
    <row r="247" spans="1:104" x14ac:dyDescent="0.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  <c r="AL247" s="26"/>
      <c r="AM247" s="26"/>
      <c r="AN247" s="26"/>
      <c r="AO247" s="26"/>
      <c r="AP247" s="26"/>
      <c r="AQ247" s="26"/>
      <c r="AR247" s="26"/>
      <c r="AS247" s="26"/>
      <c r="AT247" s="26"/>
      <c r="AU247" s="26"/>
      <c r="AV247" s="26"/>
      <c r="AW247" s="26"/>
      <c r="AX247" s="26"/>
      <c r="AY247" s="26"/>
      <c r="AZ247" s="26"/>
      <c r="BA247" s="26"/>
      <c r="BB247" s="26"/>
      <c r="BC247" s="26"/>
      <c r="BD247" s="26"/>
      <c r="BE247" s="26"/>
      <c r="BF247" s="26"/>
      <c r="BG247" s="26"/>
      <c r="BH247" s="26"/>
      <c r="BI247" s="26"/>
      <c r="BJ247" s="26"/>
      <c r="BK247" s="26"/>
      <c r="BL247" s="26"/>
      <c r="BM247" s="26"/>
      <c r="BN247" s="26"/>
      <c r="BO247" s="26"/>
      <c r="BP247" s="26"/>
      <c r="BQ247" s="26"/>
      <c r="BR247" s="26"/>
      <c r="BS247" s="26"/>
      <c r="BT247" s="26"/>
      <c r="BU247" s="26"/>
      <c r="BV247" s="26"/>
      <c r="BW247" s="26"/>
      <c r="BX247" s="26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26"/>
      <c r="CP247" s="26"/>
      <c r="CQ247" s="26"/>
      <c r="CR247" s="26"/>
      <c r="CS247" s="26"/>
      <c r="CT247" s="26"/>
      <c r="CU247" s="26"/>
      <c r="CV247" s="26"/>
      <c r="CW247" s="26"/>
      <c r="CX247" s="26"/>
      <c r="CY247" s="26"/>
      <c r="CZ247" s="26"/>
    </row>
    <row r="248" spans="1:104" x14ac:dyDescent="0.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  <c r="AL248" s="26"/>
      <c r="AM248" s="26"/>
      <c r="AN248" s="26"/>
      <c r="AO248" s="26"/>
      <c r="AP248" s="26"/>
      <c r="AQ248" s="26"/>
      <c r="AR248" s="26"/>
      <c r="AS248" s="26"/>
      <c r="AT248" s="26"/>
      <c r="AU248" s="26"/>
      <c r="AV248" s="26"/>
      <c r="AW248" s="26"/>
      <c r="AX248" s="26"/>
      <c r="AY248" s="26"/>
      <c r="AZ248" s="26"/>
      <c r="BA248" s="26"/>
      <c r="BB248" s="26"/>
      <c r="BC248" s="26"/>
      <c r="BD248" s="26"/>
      <c r="BE248" s="26"/>
      <c r="BF248" s="26"/>
      <c r="BG248" s="26"/>
      <c r="BH248" s="26"/>
      <c r="BI248" s="26"/>
      <c r="BJ248" s="26"/>
      <c r="BK248" s="26"/>
      <c r="BL248" s="26"/>
      <c r="BM248" s="26"/>
      <c r="BN248" s="26"/>
      <c r="BO248" s="26"/>
      <c r="BP248" s="26"/>
      <c r="BQ248" s="26"/>
      <c r="BR248" s="26"/>
      <c r="BS248" s="26"/>
      <c r="BT248" s="26"/>
      <c r="BU248" s="26"/>
      <c r="BV248" s="26"/>
      <c r="BW248" s="26"/>
      <c r="BX248" s="26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26"/>
      <c r="CP248" s="26"/>
      <c r="CQ248" s="26"/>
      <c r="CR248" s="26"/>
      <c r="CS248" s="26"/>
      <c r="CT248" s="26"/>
      <c r="CU248" s="26"/>
      <c r="CV248" s="26"/>
      <c r="CW248" s="26"/>
      <c r="CX248" s="26"/>
      <c r="CY248" s="26"/>
      <c r="CZ248" s="26"/>
    </row>
    <row r="249" spans="1:104" x14ac:dyDescent="0.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  <c r="AH249" s="26"/>
      <c r="AI249" s="26"/>
      <c r="AJ249" s="26"/>
      <c r="AK249" s="26"/>
      <c r="AL249" s="26"/>
      <c r="AM249" s="26"/>
      <c r="AN249" s="26"/>
      <c r="AO249" s="26"/>
      <c r="AP249" s="26"/>
      <c r="AQ249" s="26"/>
      <c r="AR249" s="26"/>
      <c r="AS249" s="26"/>
      <c r="AT249" s="26"/>
      <c r="AU249" s="26"/>
      <c r="AV249" s="26"/>
      <c r="AW249" s="26"/>
      <c r="AX249" s="26"/>
      <c r="AY249" s="26"/>
      <c r="AZ249" s="26"/>
      <c r="BA249" s="26"/>
      <c r="BB249" s="26"/>
      <c r="BC249" s="26"/>
      <c r="BD249" s="26"/>
      <c r="BE249" s="26"/>
      <c r="BF249" s="26"/>
      <c r="BG249" s="26"/>
      <c r="BH249" s="26"/>
      <c r="BI249" s="26"/>
      <c r="BJ249" s="26"/>
      <c r="BK249" s="26"/>
      <c r="BL249" s="26"/>
      <c r="BM249" s="26"/>
      <c r="BN249" s="26"/>
      <c r="BO249" s="26"/>
      <c r="BP249" s="26"/>
      <c r="BQ249" s="26"/>
      <c r="BR249" s="26"/>
      <c r="BS249" s="26"/>
      <c r="BT249" s="26"/>
      <c r="BU249" s="26"/>
      <c r="BV249" s="26"/>
      <c r="BW249" s="26"/>
      <c r="BX249" s="26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26"/>
      <c r="CP249" s="26"/>
      <c r="CQ249" s="26"/>
      <c r="CR249" s="26"/>
      <c r="CS249" s="26"/>
      <c r="CT249" s="26"/>
      <c r="CU249" s="26"/>
      <c r="CV249" s="26"/>
      <c r="CW249" s="26"/>
      <c r="CX249" s="26"/>
      <c r="CY249" s="26"/>
      <c r="CZ249" s="26"/>
    </row>
    <row r="250" spans="1:104" x14ac:dyDescent="0.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  <c r="AL250" s="26"/>
      <c r="AM250" s="26"/>
      <c r="AN250" s="26"/>
      <c r="AO250" s="26"/>
      <c r="AP250" s="26"/>
      <c r="AQ250" s="26"/>
      <c r="AR250" s="26"/>
      <c r="AS250" s="26"/>
      <c r="AT250" s="26"/>
      <c r="AU250" s="26"/>
      <c r="AV250" s="26"/>
      <c r="AW250" s="26"/>
      <c r="AX250" s="26"/>
      <c r="AY250" s="26"/>
      <c r="AZ250" s="26"/>
      <c r="BA250" s="26"/>
      <c r="BB250" s="26"/>
      <c r="BC250" s="26"/>
      <c r="BD250" s="26"/>
      <c r="BE250" s="26"/>
      <c r="BF250" s="26"/>
      <c r="BG250" s="26"/>
      <c r="BH250" s="26"/>
      <c r="BI250" s="26"/>
      <c r="BJ250" s="26"/>
      <c r="BK250" s="26"/>
      <c r="BL250" s="26"/>
      <c r="BM250" s="26"/>
      <c r="BN250" s="26"/>
      <c r="BO250" s="26"/>
      <c r="BP250" s="26"/>
      <c r="BQ250" s="26"/>
      <c r="BR250" s="26"/>
      <c r="BS250" s="26"/>
      <c r="BT250" s="26"/>
      <c r="BU250" s="26"/>
      <c r="BV250" s="26"/>
      <c r="BW250" s="26"/>
      <c r="BX250" s="26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26"/>
      <c r="CP250" s="26"/>
      <c r="CQ250" s="26"/>
      <c r="CR250" s="26"/>
      <c r="CS250" s="26"/>
      <c r="CT250" s="26"/>
      <c r="CU250" s="26"/>
      <c r="CV250" s="26"/>
      <c r="CW250" s="26"/>
      <c r="CX250" s="26"/>
      <c r="CY250" s="26"/>
      <c r="CZ250" s="26"/>
    </row>
    <row r="251" spans="1:104" x14ac:dyDescent="0.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/>
      <c r="AE251" s="26"/>
      <c r="AF251" s="26"/>
      <c r="AG251" s="26"/>
      <c r="AH251" s="26"/>
      <c r="AI251" s="26"/>
      <c r="AJ251" s="26"/>
      <c r="AK251" s="26"/>
      <c r="AL251" s="26"/>
      <c r="AM251" s="26"/>
      <c r="AN251" s="26"/>
      <c r="AO251" s="26"/>
      <c r="AP251" s="26"/>
      <c r="AQ251" s="26"/>
      <c r="AR251" s="26"/>
      <c r="AS251" s="26"/>
      <c r="AT251" s="26"/>
      <c r="AU251" s="26"/>
      <c r="AV251" s="26"/>
      <c r="AW251" s="26"/>
      <c r="AX251" s="26"/>
      <c r="AY251" s="26"/>
      <c r="AZ251" s="26"/>
      <c r="BA251" s="26"/>
      <c r="BB251" s="26"/>
      <c r="BC251" s="26"/>
      <c r="BD251" s="26"/>
      <c r="BE251" s="26"/>
      <c r="BF251" s="26"/>
      <c r="BG251" s="26"/>
      <c r="BH251" s="26"/>
      <c r="BI251" s="26"/>
      <c r="BJ251" s="26"/>
      <c r="BK251" s="26"/>
      <c r="BL251" s="26"/>
      <c r="BM251" s="26"/>
      <c r="BN251" s="26"/>
      <c r="BO251" s="26"/>
      <c r="BP251" s="26"/>
      <c r="BQ251" s="26"/>
      <c r="BR251" s="26"/>
      <c r="BS251" s="26"/>
      <c r="BT251" s="26"/>
      <c r="BU251" s="26"/>
      <c r="BV251" s="26"/>
      <c r="BW251" s="26"/>
      <c r="BX251" s="26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26"/>
      <c r="CP251" s="26"/>
      <c r="CQ251" s="26"/>
      <c r="CR251" s="26"/>
      <c r="CS251" s="26"/>
      <c r="CT251" s="26"/>
      <c r="CU251" s="26"/>
      <c r="CV251" s="26"/>
      <c r="CW251" s="26"/>
      <c r="CX251" s="26"/>
      <c r="CY251" s="26"/>
      <c r="CZ251" s="26"/>
    </row>
    <row r="252" spans="1:104" x14ac:dyDescent="0.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/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6"/>
      <c r="AP252" s="26"/>
      <c r="AQ252" s="26"/>
      <c r="AR252" s="26"/>
      <c r="AS252" s="26"/>
      <c r="AT252" s="26"/>
      <c r="AU252" s="26"/>
      <c r="AV252" s="26"/>
      <c r="AW252" s="26"/>
      <c r="AX252" s="26"/>
      <c r="AY252" s="26"/>
      <c r="AZ252" s="26"/>
      <c r="BA252" s="26"/>
      <c r="BB252" s="26"/>
      <c r="BC252" s="26"/>
      <c r="BD252" s="26"/>
      <c r="BE252" s="26"/>
      <c r="BF252" s="26"/>
      <c r="BG252" s="26"/>
      <c r="BH252" s="26"/>
      <c r="BI252" s="26"/>
      <c r="BJ252" s="26"/>
      <c r="BK252" s="26"/>
      <c r="BL252" s="26"/>
      <c r="BM252" s="26"/>
      <c r="BN252" s="26"/>
      <c r="BO252" s="26"/>
      <c r="BP252" s="26"/>
      <c r="BQ252" s="26"/>
      <c r="BR252" s="26"/>
      <c r="BS252" s="26"/>
      <c r="BT252" s="26"/>
      <c r="BU252" s="26"/>
      <c r="BV252" s="26"/>
      <c r="BW252" s="26"/>
      <c r="BX252" s="26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26"/>
      <c r="CP252" s="26"/>
      <c r="CQ252" s="26"/>
      <c r="CR252" s="26"/>
      <c r="CS252" s="26"/>
      <c r="CT252" s="26"/>
      <c r="CU252" s="26"/>
      <c r="CV252" s="26"/>
      <c r="CW252" s="26"/>
      <c r="CX252" s="26"/>
      <c r="CY252" s="26"/>
      <c r="CZ252" s="26"/>
    </row>
    <row r="253" spans="1:104" x14ac:dyDescent="0.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E253" s="26"/>
      <c r="AF253" s="26"/>
      <c r="AG253" s="26"/>
      <c r="AH253" s="26"/>
      <c r="AI253" s="26"/>
      <c r="AJ253" s="26"/>
      <c r="AK253" s="26"/>
      <c r="AL253" s="26"/>
      <c r="AM253" s="26"/>
      <c r="AN253" s="26"/>
      <c r="AO253" s="26"/>
      <c r="AP253" s="26"/>
      <c r="AQ253" s="26"/>
      <c r="AR253" s="26"/>
      <c r="AS253" s="26"/>
      <c r="AT253" s="26"/>
      <c r="AU253" s="26"/>
      <c r="AV253" s="26"/>
      <c r="AW253" s="26"/>
      <c r="AX253" s="26"/>
      <c r="AY253" s="26"/>
      <c r="AZ253" s="26"/>
      <c r="BA253" s="26"/>
      <c r="BB253" s="26"/>
      <c r="BC253" s="26"/>
      <c r="BD253" s="26"/>
      <c r="BE253" s="26"/>
      <c r="BF253" s="26"/>
      <c r="BG253" s="26"/>
      <c r="BH253" s="26"/>
      <c r="BI253" s="26"/>
      <c r="BJ253" s="26"/>
      <c r="BK253" s="26"/>
      <c r="BL253" s="26"/>
      <c r="BM253" s="26"/>
      <c r="BN253" s="26"/>
      <c r="BO253" s="26"/>
      <c r="BP253" s="26"/>
      <c r="BQ253" s="26"/>
      <c r="BR253" s="26"/>
      <c r="BS253" s="26"/>
      <c r="BT253" s="26"/>
      <c r="BU253" s="26"/>
      <c r="BV253" s="26"/>
      <c r="BW253" s="26"/>
      <c r="BX253" s="26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26"/>
      <c r="CP253" s="26"/>
      <c r="CQ253" s="26"/>
      <c r="CR253" s="26"/>
      <c r="CS253" s="26"/>
      <c r="CT253" s="26"/>
      <c r="CU253" s="26"/>
      <c r="CV253" s="26"/>
      <c r="CW253" s="26"/>
      <c r="CX253" s="26"/>
      <c r="CY253" s="26"/>
      <c r="CZ253" s="26"/>
    </row>
    <row r="254" spans="1:104" x14ac:dyDescent="0.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6"/>
      <c r="AB254" s="26"/>
      <c r="AC254" s="26"/>
      <c r="AD254" s="26"/>
      <c r="AE254" s="26"/>
      <c r="AF254" s="26"/>
      <c r="AG254" s="26"/>
      <c r="AH254" s="26"/>
      <c r="AI254" s="26"/>
      <c r="AJ254" s="26"/>
      <c r="AK254" s="26"/>
      <c r="AL254" s="26"/>
      <c r="AM254" s="26"/>
      <c r="AN254" s="26"/>
      <c r="AO254" s="26"/>
      <c r="AP254" s="26"/>
      <c r="AQ254" s="26"/>
      <c r="AR254" s="26"/>
      <c r="AS254" s="26"/>
      <c r="AT254" s="26"/>
      <c r="AU254" s="26"/>
      <c r="AV254" s="26"/>
      <c r="AW254" s="26"/>
      <c r="AX254" s="26"/>
      <c r="AY254" s="26"/>
      <c r="AZ254" s="26"/>
      <c r="BA254" s="26"/>
      <c r="BB254" s="26"/>
      <c r="BC254" s="26"/>
      <c r="BD254" s="26"/>
      <c r="BE254" s="26"/>
      <c r="BF254" s="26"/>
      <c r="BG254" s="26"/>
      <c r="BH254" s="26"/>
      <c r="BI254" s="26"/>
      <c r="BJ254" s="26"/>
      <c r="BK254" s="26"/>
      <c r="BL254" s="26"/>
      <c r="BM254" s="26"/>
      <c r="BN254" s="26"/>
      <c r="BO254" s="26"/>
      <c r="BP254" s="26"/>
      <c r="BQ254" s="26"/>
      <c r="BR254" s="26"/>
      <c r="BS254" s="26"/>
      <c r="BT254" s="26"/>
      <c r="BU254" s="26"/>
      <c r="BV254" s="26"/>
      <c r="BW254" s="26"/>
      <c r="BX254" s="26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26"/>
      <c r="CP254" s="26"/>
      <c r="CQ254" s="26"/>
      <c r="CR254" s="26"/>
      <c r="CS254" s="26"/>
      <c r="CT254" s="26"/>
      <c r="CU254" s="26"/>
      <c r="CV254" s="26"/>
      <c r="CW254" s="26"/>
      <c r="CX254" s="26"/>
      <c r="CY254" s="26"/>
      <c r="CZ254" s="26"/>
    </row>
    <row r="255" spans="1:104" x14ac:dyDescent="0.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6"/>
      <c r="AB255" s="26"/>
      <c r="AC255" s="26"/>
      <c r="AD255" s="26"/>
      <c r="AE255" s="26"/>
      <c r="AF255" s="26"/>
      <c r="AG255" s="26"/>
      <c r="AH255" s="26"/>
      <c r="AI255" s="26"/>
      <c r="AJ255" s="26"/>
      <c r="AK255" s="26"/>
      <c r="AL255" s="26"/>
      <c r="AM255" s="26"/>
      <c r="AN255" s="26"/>
      <c r="AO255" s="26"/>
      <c r="AP255" s="26"/>
      <c r="AQ255" s="26"/>
      <c r="AR255" s="26"/>
      <c r="AS255" s="26"/>
      <c r="AT255" s="26"/>
      <c r="AU255" s="26"/>
      <c r="AV255" s="26"/>
      <c r="AW255" s="26"/>
      <c r="AX255" s="26"/>
      <c r="AY255" s="26"/>
      <c r="AZ255" s="26"/>
      <c r="BA255" s="26"/>
      <c r="BB255" s="26"/>
      <c r="BC255" s="26"/>
      <c r="BD255" s="26"/>
      <c r="BE255" s="26"/>
      <c r="BF255" s="26"/>
      <c r="BG255" s="26"/>
      <c r="BH255" s="26"/>
      <c r="BI255" s="26"/>
      <c r="BJ255" s="26"/>
      <c r="BK255" s="26"/>
      <c r="BL255" s="26"/>
      <c r="BM255" s="26"/>
      <c r="BN255" s="26"/>
      <c r="BO255" s="26"/>
      <c r="BP255" s="26"/>
      <c r="BQ255" s="26"/>
      <c r="BR255" s="26"/>
      <c r="BS255" s="26"/>
      <c r="BT255" s="26"/>
      <c r="BU255" s="26"/>
      <c r="BV255" s="26"/>
      <c r="BW255" s="26"/>
      <c r="BX255" s="26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26"/>
      <c r="CP255" s="26"/>
      <c r="CQ255" s="26"/>
      <c r="CR255" s="26"/>
      <c r="CS255" s="26"/>
      <c r="CT255" s="26"/>
      <c r="CU255" s="26"/>
      <c r="CV255" s="26"/>
      <c r="CW255" s="26"/>
      <c r="CX255" s="26"/>
      <c r="CY255" s="26"/>
      <c r="CZ255" s="26"/>
    </row>
    <row r="256" spans="1:104" x14ac:dyDescent="0.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  <c r="AL256" s="26"/>
      <c r="AM256" s="26"/>
      <c r="AN256" s="26"/>
      <c r="AO256" s="26"/>
      <c r="AP256" s="26"/>
      <c r="AQ256" s="26"/>
      <c r="AR256" s="26"/>
      <c r="AS256" s="26"/>
      <c r="AT256" s="26"/>
      <c r="AU256" s="26"/>
      <c r="AV256" s="26"/>
      <c r="AW256" s="26"/>
      <c r="AX256" s="26"/>
      <c r="AY256" s="26"/>
      <c r="AZ256" s="26"/>
      <c r="BA256" s="26"/>
      <c r="BB256" s="26"/>
      <c r="BC256" s="26"/>
      <c r="BD256" s="26"/>
      <c r="BE256" s="26"/>
      <c r="BF256" s="26"/>
      <c r="BG256" s="26"/>
      <c r="BH256" s="26"/>
      <c r="BI256" s="26"/>
      <c r="BJ256" s="26"/>
      <c r="BK256" s="26"/>
      <c r="BL256" s="26"/>
      <c r="BM256" s="26"/>
      <c r="BN256" s="26"/>
      <c r="BO256" s="26"/>
      <c r="BP256" s="26"/>
      <c r="BQ256" s="26"/>
      <c r="BR256" s="26"/>
      <c r="BS256" s="26"/>
      <c r="BT256" s="26"/>
      <c r="BU256" s="26"/>
      <c r="BV256" s="26"/>
      <c r="BW256" s="26"/>
      <c r="BX256" s="26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26"/>
      <c r="CP256" s="26"/>
      <c r="CQ256" s="26"/>
      <c r="CR256" s="26"/>
      <c r="CS256" s="26"/>
      <c r="CT256" s="26"/>
      <c r="CU256" s="26"/>
      <c r="CV256" s="26"/>
      <c r="CW256" s="26"/>
      <c r="CX256" s="26"/>
      <c r="CY256" s="26"/>
      <c r="CZ256" s="26"/>
    </row>
    <row r="257" spans="1:104" x14ac:dyDescent="0.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26"/>
      <c r="AH257" s="26"/>
      <c r="AI257" s="26"/>
      <c r="AJ257" s="26"/>
      <c r="AK257" s="26"/>
      <c r="AL257" s="26"/>
      <c r="AM257" s="26"/>
      <c r="AN257" s="26"/>
      <c r="AO257" s="26"/>
      <c r="AP257" s="26"/>
      <c r="AQ257" s="26"/>
      <c r="AR257" s="26"/>
      <c r="AS257" s="26"/>
      <c r="AT257" s="26"/>
      <c r="AU257" s="26"/>
      <c r="AV257" s="26"/>
      <c r="AW257" s="26"/>
      <c r="AX257" s="26"/>
      <c r="AY257" s="26"/>
      <c r="AZ257" s="26"/>
      <c r="BA257" s="26"/>
      <c r="BB257" s="26"/>
      <c r="BC257" s="26"/>
      <c r="BD257" s="26"/>
      <c r="BE257" s="26"/>
      <c r="BF257" s="26"/>
      <c r="BG257" s="26"/>
      <c r="BH257" s="26"/>
      <c r="BI257" s="26"/>
      <c r="BJ257" s="26"/>
      <c r="BK257" s="26"/>
      <c r="BL257" s="26"/>
      <c r="BM257" s="26"/>
      <c r="BN257" s="26"/>
      <c r="BO257" s="26"/>
      <c r="BP257" s="26"/>
      <c r="BQ257" s="26"/>
      <c r="BR257" s="26"/>
      <c r="BS257" s="26"/>
      <c r="BT257" s="26"/>
      <c r="BU257" s="26"/>
      <c r="BV257" s="26"/>
      <c r="BW257" s="26"/>
      <c r="BX257" s="26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26"/>
      <c r="CP257" s="26"/>
      <c r="CQ257" s="26"/>
      <c r="CR257" s="26"/>
      <c r="CS257" s="26"/>
      <c r="CT257" s="26"/>
      <c r="CU257" s="26"/>
      <c r="CV257" s="26"/>
      <c r="CW257" s="26"/>
      <c r="CX257" s="26"/>
      <c r="CY257" s="26"/>
      <c r="CZ257" s="26"/>
    </row>
    <row r="258" spans="1:104" x14ac:dyDescent="0.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  <c r="AH258" s="26"/>
      <c r="AI258" s="26"/>
      <c r="AJ258" s="26"/>
      <c r="AK258" s="26"/>
      <c r="AL258" s="26"/>
      <c r="AM258" s="26"/>
      <c r="AN258" s="26"/>
      <c r="AO258" s="26"/>
      <c r="AP258" s="26"/>
      <c r="AQ258" s="26"/>
      <c r="AR258" s="26"/>
      <c r="AS258" s="26"/>
      <c r="AT258" s="26"/>
      <c r="AU258" s="26"/>
      <c r="AV258" s="26"/>
      <c r="AW258" s="26"/>
      <c r="AX258" s="26"/>
      <c r="AY258" s="26"/>
      <c r="AZ258" s="26"/>
      <c r="BA258" s="26"/>
      <c r="BB258" s="26"/>
      <c r="BC258" s="26"/>
      <c r="BD258" s="26"/>
      <c r="BE258" s="26"/>
      <c r="BF258" s="26"/>
      <c r="BG258" s="26"/>
      <c r="BH258" s="26"/>
      <c r="BI258" s="26"/>
      <c r="BJ258" s="26"/>
      <c r="BK258" s="26"/>
      <c r="BL258" s="26"/>
      <c r="BM258" s="26"/>
      <c r="BN258" s="26"/>
      <c r="BO258" s="26"/>
      <c r="BP258" s="26"/>
      <c r="BQ258" s="26"/>
      <c r="BR258" s="26"/>
      <c r="BS258" s="26"/>
      <c r="BT258" s="26"/>
      <c r="BU258" s="26"/>
      <c r="BV258" s="26"/>
      <c r="BW258" s="26"/>
      <c r="BX258" s="26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26"/>
      <c r="CP258" s="26"/>
      <c r="CQ258" s="26"/>
      <c r="CR258" s="26"/>
      <c r="CS258" s="26"/>
      <c r="CT258" s="26"/>
      <c r="CU258" s="26"/>
      <c r="CV258" s="26"/>
      <c r="CW258" s="26"/>
      <c r="CX258" s="26"/>
      <c r="CY258" s="26"/>
      <c r="CZ258" s="26"/>
    </row>
    <row r="259" spans="1:104" x14ac:dyDescent="0.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  <c r="AL259" s="26"/>
      <c r="AM259" s="26"/>
      <c r="AN259" s="26"/>
      <c r="AO259" s="26"/>
      <c r="AP259" s="26"/>
      <c r="AQ259" s="26"/>
      <c r="AR259" s="26"/>
      <c r="AS259" s="26"/>
      <c r="AT259" s="26"/>
      <c r="AU259" s="26"/>
      <c r="AV259" s="26"/>
      <c r="AW259" s="26"/>
      <c r="AX259" s="26"/>
      <c r="AY259" s="26"/>
      <c r="AZ259" s="26"/>
      <c r="BA259" s="26"/>
      <c r="BB259" s="26"/>
      <c r="BC259" s="26"/>
      <c r="BD259" s="26"/>
      <c r="BE259" s="26"/>
      <c r="BF259" s="26"/>
      <c r="BG259" s="26"/>
      <c r="BH259" s="26"/>
      <c r="BI259" s="26"/>
      <c r="BJ259" s="26"/>
      <c r="BK259" s="26"/>
      <c r="BL259" s="26"/>
      <c r="BM259" s="26"/>
      <c r="BN259" s="26"/>
      <c r="BO259" s="26"/>
      <c r="BP259" s="26"/>
      <c r="BQ259" s="26"/>
      <c r="BR259" s="26"/>
      <c r="BS259" s="26"/>
      <c r="BT259" s="26"/>
      <c r="BU259" s="26"/>
      <c r="BV259" s="26"/>
      <c r="BW259" s="26"/>
      <c r="BX259" s="26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26"/>
      <c r="CP259" s="26"/>
      <c r="CQ259" s="26"/>
      <c r="CR259" s="26"/>
      <c r="CS259" s="26"/>
      <c r="CT259" s="26"/>
      <c r="CU259" s="26"/>
      <c r="CV259" s="26"/>
      <c r="CW259" s="26"/>
      <c r="CX259" s="26"/>
      <c r="CY259" s="26"/>
      <c r="CZ259" s="26"/>
    </row>
    <row r="260" spans="1:104" x14ac:dyDescent="0.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6"/>
      <c r="AP260" s="26"/>
      <c r="AQ260" s="26"/>
      <c r="AR260" s="26"/>
      <c r="AS260" s="26"/>
      <c r="AT260" s="26"/>
      <c r="AU260" s="26"/>
      <c r="AV260" s="26"/>
      <c r="AW260" s="26"/>
      <c r="AX260" s="26"/>
      <c r="AY260" s="26"/>
      <c r="AZ260" s="26"/>
      <c r="BA260" s="26"/>
      <c r="BB260" s="26"/>
      <c r="BC260" s="26"/>
      <c r="BD260" s="26"/>
      <c r="BE260" s="26"/>
      <c r="BF260" s="26"/>
      <c r="BG260" s="26"/>
      <c r="BH260" s="26"/>
      <c r="BI260" s="26"/>
      <c r="BJ260" s="26"/>
      <c r="BK260" s="26"/>
      <c r="BL260" s="26"/>
      <c r="BM260" s="26"/>
      <c r="BN260" s="26"/>
      <c r="BO260" s="26"/>
      <c r="BP260" s="26"/>
      <c r="BQ260" s="26"/>
      <c r="BR260" s="26"/>
      <c r="BS260" s="26"/>
      <c r="BT260" s="26"/>
      <c r="BU260" s="26"/>
      <c r="BV260" s="26"/>
      <c r="BW260" s="26"/>
      <c r="BX260" s="26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26"/>
      <c r="CP260" s="26"/>
      <c r="CQ260" s="26"/>
      <c r="CR260" s="26"/>
      <c r="CS260" s="26"/>
      <c r="CT260" s="26"/>
      <c r="CU260" s="26"/>
      <c r="CV260" s="26"/>
      <c r="CW260" s="26"/>
      <c r="CX260" s="26"/>
      <c r="CY260" s="26"/>
      <c r="CZ260" s="26"/>
    </row>
    <row r="261" spans="1:104" x14ac:dyDescent="0.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/>
      <c r="AB261" s="26"/>
      <c r="AC261" s="26"/>
      <c r="AD261" s="26"/>
      <c r="AE261" s="26"/>
      <c r="AF261" s="26"/>
      <c r="AG261" s="26"/>
      <c r="AH261" s="26"/>
      <c r="AI261" s="26"/>
      <c r="AJ261" s="26"/>
      <c r="AK261" s="26"/>
      <c r="AL261" s="26"/>
      <c r="AM261" s="26"/>
      <c r="AN261" s="26"/>
      <c r="AO261" s="26"/>
      <c r="AP261" s="26"/>
      <c r="AQ261" s="26"/>
      <c r="AR261" s="26"/>
      <c r="AS261" s="26"/>
      <c r="AT261" s="26"/>
      <c r="AU261" s="26"/>
      <c r="AV261" s="26"/>
      <c r="AW261" s="26"/>
      <c r="AX261" s="26"/>
      <c r="AY261" s="26"/>
      <c r="AZ261" s="26"/>
      <c r="BA261" s="26"/>
      <c r="BB261" s="26"/>
      <c r="BC261" s="26"/>
      <c r="BD261" s="26"/>
      <c r="BE261" s="26"/>
      <c r="BF261" s="26"/>
      <c r="BG261" s="26"/>
      <c r="BH261" s="26"/>
      <c r="BI261" s="26"/>
      <c r="BJ261" s="26"/>
      <c r="BK261" s="26"/>
      <c r="BL261" s="26"/>
      <c r="BM261" s="26"/>
      <c r="BN261" s="26"/>
      <c r="BO261" s="26"/>
      <c r="BP261" s="26"/>
      <c r="BQ261" s="26"/>
      <c r="BR261" s="26"/>
      <c r="BS261" s="26"/>
      <c r="BT261" s="26"/>
      <c r="BU261" s="26"/>
      <c r="BV261" s="26"/>
      <c r="BW261" s="26"/>
      <c r="BX261" s="26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26"/>
      <c r="CP261" s="26"/>
      <c r="CQ261" s="26"/>
      <c r="CR261" s="26"/>
      <c r="CS261" s="26"/>
      <c r="CT261" s="26"/>
      <c r="CU261" s="26"/>
      <c r="CV261" s="26"/>
      <c r="CW261" s="26"/>
      <c r="CX261" s="26"/>
      <c r="CY261" s="26"/>
      <c r="CZ261" s="26"/>
    </row>
    <row r="262" spans="1:104" x14ac:dyDescent="0.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  <c r="AL262" s="26"/>
      <c r="AM262" s="26"/>
      <c r="AN262" s="26"/>
      <c r="AO262" s="26"/>
      <c r="AP262" s="26"/>
      <c r="AQ262" s="26"/>
      <c r="AR262" s="26"/>
      <c r="AS262" s="26"/>
      <c r="AT262" s="26"/>
      <c r="AU262" s="26"/>
      <c r="AV262" s="26"/>
      <c r="AW262" s="26"/>
      <c r="AX262" s="26"/>
      <c r="AY262" s="26"/>
      <c r="AZ262" s="26"/>
      <c r="BA262" s="26"/>
      <c r="BB262" s="26"/>
      <c r="BC262" s="26"/>
      <c r="BD262" s="26"/>
      <c r="BE262" s="26"/>
      <c r="BF262" s="26"/>
      <c r="BG262" s="26"/>
      <c r="BH262" s="26"/>
      <c r="BI262" s="26"/>
      <c r="BJ262" s="26"/>
      <c r="BK262" s="26"/>
      <c r="BL262" s="26"/>
      <c r="BM262" s="26"/>
      <c r="BN262" s="26"/>
      <c r="BO262" s="26"/>
      <c r="BP262" s="26"/>
      <c r="BQ262" s="26"/>
      <c r="BR262" s="26"/>
      <c r="BS262" s="26"/>
      <c r="BT262" s="26"/>
      <c r="BU262" s="26"/>
      <c r="BV262" s="26"/>
      <c r="BW262" s="26"/>
      <c r="BX262" s="26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26"/>
      <c r="CP262" s="26"/>
      <c r="CQ262" s="26"/>
      <c r="CR262" s="26"/>
      <c r="CS262" s="26"/>
      <c r="CT262" s="26"/>
      <c r="CU262" s="26"/>
      <c r="CV262" s="26"/>
      <c r="CW262" s="26"/>
      <c r="CX262" s="26"/>
      <c r="CY262" s="26"/>
      <c r="CZ262" s="26"/>
    </row>
    <row r="263" spans="1:104" x14ac:dyDescent="0.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  <c r="AL263" s="26"/>
      <c r="AM263" s="26"/>
      <c r="AN263" s="26"/>
      <c r="AO263" s="26"/>
      <c r="AP263" s="26"/>
      <c r="AQ263" s="26"/>
      <c r="AR263" s="26"/>
      <c r="AS263" s="26"/>
      <c r="AT263" s="26"/>
      <c r="AU263" s="26"/>
      <c r="AV263" s="26"/>
      <c r="AW263" s="26"/>
      <c r="AX263" s="26"/>
      <c r="AY263" s="26"/>
      <c r="AZ263" s="26"/>
      <c r="BA263" s="26"/>
      <c r="BB263" s="26"/>
      <c r="BC263" s="26"/>
      <c r="BD263" s="26"/>
      <c r="BE263" s="26"/>
      <c r="BF263" s="26"/>
      <c r="BG263" s="26"/>
      <c r="BH263" s="26"/>
      <c r="BI263" s="26"/>
      <c r="BJ263" s="26"/>
      <c r="BK263" s="26"/>
      <c r="BL263" s="26"/>
      <c r="BM263" s="26"/>
      <c r="BN263" s="26"/>
      <c r="BO263" s="26"/>
      <c r="BP263" s="26"/>
      <c r="BQ263" s="26"/>
      <c r="BR263" s="26"/>
      <c r="BS263" s="26"/>
      <c r="BT263" s="26"/>
      <c r="BU263" s="26"/>
      <c r="BV263" s="26"/>
      <c r="BW263" s="26"/>
      <c r="BX263" s="26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26"/>
      <c r="CP263" s="26"/>
      <c r="CQ263" s="26"/>
      <c r="CR263" s="26"/>
      <c r="CS263" s="26"/>
      <c r="CT263" s="26"/>
      <c r="CU263" s="26"/>
      <c r="CV263" s="26"/>
      <c r="CW263" s="26"/>
      <c r="CX263" s="26"/>
      <c r="CY263" s="26"/>
      <c r="CZ263" s="26"/>
    </row>
    <row r="264" spans="1:104" x14ac:dyDescent="0.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/>
      <c r="AE264" s="26"/>
      <c r="AF264" s="26"/>
      <c r="AG264" s="26"/>
      <c r="AH264" s="26"/>
      <c r="AI264" s="26"/>
      <c r="AJ264" s="26"/>
      <c r="AK264" s="26"/>
      <c r="AL264" s="26"/>
      <c r="AM264" s="26"/>
      <c r="AN264" s="26"/>
      <c r="AO264" s="26"/>
      <c r="AP264" s="26"/>
      <c r="AQ264" s="26"/>
      <c r="AR264" s="26"/>
      <c r="AS264" s="26"/>
      <c r="AT264" s="26"/>
      <c r="AU264" s="26"/>
      <c r="AV264" s="26"/>
      <c r="AW264" s="26"/>
      <c r="AX264" s="26"/>
      <c r="AY264" s="26"/>
      <c r="AZ264" s="26"/>
      <c r="BA264" s="26"/>
      <c r="BB264" s="26"/>
      <c r="BC264" s="26"/>
      <c r="BD264" s="26"/>
      <c r="BE264" s="26"/>
      <c r="BF264" s="26"/>
      <c r="BG264" s="26"/>
      <c r="BH264" s="26"/>
      <c r="BI264" s="26"/>
      <c r="BJ264" s="26"/>
      <c r="BK264" s="26"/>
      <c r="BL264" s="26"/>
      <c r="BM264" s="26"/>
      <c r="BN264" s="26"/>
      <c r="BO264" s="26"/>
      <c r="BP264" s="26"/>
      <c r="BQ264" s="26"/>
      <c r="BR264" s="26"/>
      <c r="BS264" s="26"/>
      <c r="BT264" s="26"/>
      <c r="BU264" s="26"/>
      <c r="BV264" s="26"/>
      <c r="BW264" s="26"/>
      <c r="BX264" s="26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26"/>
      <c r="CP264" s="26"/>
      <c r="CQ264" s="26"/>
      <c r="CR264" s="26"/>
      <c r="CS264" s="26"/>
      <c r="CT264" s="26"/>
      <c r="CU264" s="26"/>
      <c r="CV264" s="26"/>
      <c r="CW264" s="26"/>
      <c r="CX264" s="26"/>
      <c r="CY264" s="26"/>
      <c r="CZ264" s="26"/>
    </row>
    <row r="265" spans="1:104" x14ac:dyDescent="0.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6"/>
      <c r="AS265" s="26"/>
      <c r="AT265" s="26"/>
      <c r="AU265" s="26"/>
      <c r="AV265" s="26"/>
      <c r="AW265" s="26"/>
      <c r="AX265" s="26"/>
      <c r="AY265" s="26"/>
      <c r="AZ265" s="26"/>
      <c r="BA265" s="26"/>
      <c r="BB265" s="26"/>
      <c r="BC265" s="26"/>
      <c r="BD265" s="26"/>
      <c r="BE265" s="26"/>
      <c r="BF265" s="26"/>
      <c r="BG265" s="26"/>
      <c r="BH265" s="26"/>
      <c r="BI265" s="26"/>
      <c r="BJ265" s="26"/>
      <c r="BK265" s="26"/>
      <c r="BL265" s="26"/>
      <c r="BM265" s="26"/>
      <c r="BN265" s="26"/>
      <c r="BO265" s="26"/>
      <c r="BP265" s="26"/>
      <c r="BQ265" s="26"/>
      <c r="BR265" s="26"/>
      <c r="BS265" s="26"/>
      <c r="BT265" s="26"/>
      <c r="BU265" s="26"/>
      <c r="BV265" s="26"/>
      <c r="BW265" s="26"/>
      <c r="BX265" s="26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26"/>
      <c r="CP265" s="26"/>
      <c r="CQ265" s="26"/>
      <c r="CR265" s="26"/>
      <c r="CS265" s="26"/>
      <c r="CT265" s="26"/>
      <c r="CU265" s="26"/>
      <c r="CV265" s="26"/>
      <c r="CW265" s="26"/>
      <c r="CX265" s="26"/>
      <c r="CY265" s="26"/>
      <c r="CZ265" s="26"/>
    </row>
    <row r="266" spans="1:104" x14ac:dyDescent="0.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  <c r="AL266" s="26"/>
      <c r="AM266" s="26"/>
      <c r="AN266" s="26"/>
      <c r="AO266" s="26"/>
      <c r="AP266" s="26"/>
      <c r="AQ266" s="26"/>
      <c r="AR266" s="26"/>
      <c r="AS266" s="26"/>
      <c r="AT266" s="26"/>
      <c r="AU266" s="26"/>
      <c r="AV266" s="26"/>
      <c r="AW266" s="26"/>
      <c r="AX266" s="26"/>
      <c r="AY266" s="26"/>
      <c r="AZ266" s="26"/>
      <c r="BA266" s="26"/>
      <c r="BB266" s="26"/>
      <c r="BC266" s="26"/>
      <c r="BD266" s="26"/>
      <c r="BE266" s="26"/>
      <c r="BF266" s="26"/>
      <c r="BG266" s="26"/>
      <c r="BH266" s="26"/>
      <c r="BI266" s="26"/>
      <c r="BJ266" s="26"/>
      <c r="BK266" s="26"/>
      <c r="BL266" s="26"/>
      <c r="BM266" s="26"/>
      <c r="BN266" s="26"/>
      <c r="BO266" s="26"/>
      <c r="BP266" s="26"/>
      <c r="BQ266" s="26"/>
      <c r="BR266" s="26"/>
      <c r="BS266" s="26"/>
      <c r="BT266" s="26"/>
      <c r="BU266" s="26"/>
      <c r="BV266" s="26"/>
      <c r="BW266" s="26"/>
      <c r="BX266" s="26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26"/>
      <c r="CP266" s="26"/>
      <c r="CQ266" s="26"/>
      <c r="CR266" s="26"/>
      <c r="CS266" s="26"/>
      <c r="CT266" s="26"/>
      <c r="CU266" s="26"/>
      <c r="CV266" s="26"/>
      <c r="CW266" s="26"/>
      <c r="CX266" s="26"/>
      <c r="CY266" s="26"/>
      <c r="CZ266" s="26"/>
    </row>
    <row r="267" spans="1:104" x14ac:dyDescent="0.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  <c r="AL267" s="26"/>
      <c r="AM267" s="26"/>
      <c r="AN267" s="26"/>
      <c r="AO267" s="26"/>
      <c r="AP267" s="26"/>
      <c r="AQ267" s="26"/>
      <c r="AR267" s="26"/>
      <c r="AS267" s="26"/>
      <c r="AT267" s="26"/>
      <c r="AU267" s="26"/>
      <c r="AV267" s="26"/>
      <c r="AW267" s="26"/>
      <c r="AX267" s="26"/>
      <c r="AY267" s="26"/>
      <c r="AZ267" s="26"/>
      <c r="BA267" s="26"/>
      <c r="BB267" s="26"/>
      <c r="BC267" s="26"/>
      <c r="BD267" s="26"/>
      <c r="BE267" s="26"/>
      <c r="BF267" s="26"/>
      <c r="BG267" s="26"/>
      <c r="BH267" s="26"/>
      <c r="BI267" s="26"/>
      <c r="BJ267" s="26"/>
      <c r="BK267" s="26"/>
      <c r="BL267" s="26"/>
      <c r="BM267" s="26"/>
      <c r="BN267" s="26"/>
      <c r="BO267" s="26"/>
      <c r="BP267" s="26"/>
      <c r="BQ267" s="26"/>
      <c r="BR267" s="26"/>
      <c r="BS267" s="26"/>
      <c r="BT267" s="26"/>
      <c r="BU267" s="26"/>
      <c r="BV267" s="26"/>
      <c r="BW267" s="26"/>
      <c r="BX267" s="26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26"/>
      <c r="CP267" s="26"/>
      <c r="CQ267" s="26"/>
      <c r="CR267" s="26"/>
      <c r="CS267" s="26"/>
      <c r="CT267" s="26"/>
      <c r="CU267" s="26"/>
      <c r="CV267" s="26"/>
      <c r="CW267" s="26"/>
      <c r="CX267" s="26"/>
      <c r="CY267" s="26"/>
      <c r="CZ267" s="26"/>
    </row>
    <row r="268" spans="1:104" x14ac:dyDescent="0.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6"/>
      <c r="AB268" s="26"/>
      <c r="AC268" s="26"/>
      <c r="AD268" s="26"/>
      <c r="AE268" s="26"/>
      <c r="AF268" s="26"/>
      <c r="AG268" s="26"/>
      <c r="AH268" s="26"/>
      <c r="AI268" s="26"/>
      <c r="AJ268" s="26"/>
      <c r="AK268" s="26"/>
      <c r="AL268" s="26"/>
      <c r="AM268" s="26"/>
      <c r="AN268" s="26"/>
      <c r="AO268" s="26"/>
      <c r="AP268" s="26"/>
      <c r="AQ268" s="26"/>
      <c r="AR268" s="26"/>
      <c r="AS268" s="26"/>
      <c r="AT268" s="26"/>
      <c r="AU268" s="26"/>
      <c r="AV268" s="26"/>
      <c r="AW268" s="26"/>
      <c r="AX268" s="26"/>
      <c r="AY268" s="26"/>
      <c r="AZ268" s="26"/>
      <c r="BA268" s="26"/>
      <c r="BB268" s="26"/>
      <c r="BC268" s="26"/>
      <c r="BD268" s="26"/>
      <c r="BE268" s="26"/>
      <c r="BF268" s="26"/>
      <c r="BG268" s="26"/>
      <c r="BH268" s="26"/>
      <c r="BI268" s="26"/>
      <c r="BJ268" s="26"/>
      <c r="BK268" s="26"/>
      <c r="BL268" s="26"/>
      <c r="BM268" s="26"/>
      <c r="BN268" s="26"/>
      <c r="BO268" s="26"/>
      <c r="BP268" s="26"/>
      <c r="BQ268" s="26"/>
      <c r="BR268" s="26"/>
      <c r="BS268" s="26"/>
      <c r="BT268" s="26"/>
      <c r="BU268" s="26"/>
      <c r="BV268" s="26"/>
      <c r="BW268" s="26"/>
      <c r="BX268" s="26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26"/>
      <c r="CP268" s="26"/>
      <c r="CQ268" s="26"/>
      <c r="CR268" s="26"/>
      <c r="CS268" s="26"/>
      <c r="CT268" s="26"/>
      <c r="CU268" s="26"/>
      <c r="CV268" s="26"/>
      <c r="CW268" s="26"/>
      <c r="CX268" s="26"/>
      <c r="CY268" s="26"/>
      <c r="CZ268" s="26"/>
    </row>
    <row r="269" spans="1:104" x14ac:dyDescent="0.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  <c r="AL269" s="26"/>
      <c r="AM269" s="26"/>
      <c r="AN269" s="26"/>
      <c r="AO269" s="26"/>
      <c r="AP269" s="26"/>
      <c r="AQ269" s="26"/>
      <c r="AR269" s="26"/>
      <c r="AS269" s="26"/>
      <c r="AT269" s="26"/>
      <c r="AU269" s="26"/>
      <c r="AV269" s="26"/>
      <c r="AW269" s="26"/>
      <c r="AX269" s="26"/>
      <c r="AY269" s="26"/>
      <c r="AZ269" s="26"/>
      <c r="BA269" s="26"/>
      <c r="BB269" s="26"/>
      <c r="BC269" s="26"/>
      <c r="BD269" s="26"/>
      <c r="BE269" s="26"/>
      <c r="BF269" s="26"/>
      <c r="BG269" s="26"/>
      <c r="BH269" s="26"/>
      <c r="BI269" s="26"/>
      <c r="BJ269" s="26"/>
      <c r="BK269" s="26"/>
      <c r="BL269" s="26"/>
      <c r="BM269" s="26"/>
      <c r="BN269" s="26"/>
      <c r="BO269" s="26"/>
      <c r="BP269" s="26"/>
      <c r="BQ269" s="26"/>
      <c r="BR269" s="26"/>
      <c r="BS269" s="26"/>
      <c r="BT269" s="26"/>
      <c r="BU269" s="26"/>
      <c r="BV269" s="26"/>
      <c r="BW269" s="26"/>
      <c r="BX269" s="26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26"/>
      <c r="CP269" s="26"/>
      <c r="CQ269" s="26"/>
      <c r="CR269" s="26"/>
      <c r="CS269" s="26"/>
      <c r="CT269" s="26"/>
      <c r="CU269" s="26"/>
      <c r="CV269" s="26"/>
      <c r="CW269" s="26"/>
      <c r="CX269" s="26"/>
      <c r="CY269" s="26"/>
      <c r="CZ269" s="26"/>
    </row>
    <row r="270" spans="1:104" x14ac:dyDescent="0.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/>
      <c r="AH270" s="26"/>
      <c r="AI270" s="26"/>
      <c r="AJ270" s="26"/>
      <c r="AK270" s="26"/>
      <c r="AL270" s="26"/>
      <c r="AM270" s="26"/>
      <c r="AN270" s="26"/>
      <c r="AO270" s="26"/>
      <c r="AP270" s="26"/>
      <c r="AQ270" s="26"/>
      <c r="AR270" s="26"/>
      <c r="AS270" s="26"/>
      <c r="AT270" s="26"/>
      <c r="AU270" s="26"/>
      <c r="AV270" s="26"/>
      <c r="AW270" s="26"/>
      <c r="AX270" s="26"/>
      <c r="AY270" s="26"/>
      <c r="AZ270" s="26"/>
      <c r="BA270" s="26"/>
      <c r="BB270" s="26"/>
      <c r="BC270" s="26"/>
      <c r="BD270" s="26"/>
      <c r="BE270" s="26"/>
      <c r="BF270" s="26"/>
      <c r="BG270" s="26"/>
      <c r="BH270" s="26"/>
      <c r="BI270" s="26"/>
      <c r="BJ270" s="26"/>
      <c r="BK270" s="26"/>
      <c r="BL270" s="26"/>
      <c r="BM270" s="26"/>
      <c r="BN270" s="26"/>
      <c r="BO270" s="26"/>
      <c r="BP270" s="26"/>
      <c r="BQ270" s="26"/>
      <c r="BR270" s="26"/>
      <c r="BS270" s="26"/>
      <c r="BT270" s="26"/>
      <c r="BU270" s="26"/>
      <c r="BV270" s="26"/>
      <c r="BW270" s="26"/>
      <c r="BX270" s="26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26"/>
      <c r="CP270" s="26"/>
      <c r="CQ270" s="26"/>
      <c r="CR270" s="26"/>
      <c r="CS270" s="26"/>
      <c r="CT270" s="26"/>
      <c r="CU270" s="26"/>
      <c r="CV270" s="26"/>
      <c r="CW270" s="26"/>
      <c r="CX270" s="26"/>
      <c r="CY270" s="26"/>
      <c r="CZ270" s="26"/>
    </row>
    <row r="271" spans="1:104" x14ac:dyDescent="0.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6"/>
      <c r="AB271" s="26"/>
      <c r="AC271" s="26"/>
      <c r="AD271" s="26"/>
      <c r="AE271" s="26"/>
      <c r="AF271" s="26"/>
      <c r="AG271" s="26"/>
      <c r="AH271" s="26"/>
      <c r="AI271" s="26"/>
      <c r="AJ271" s="26"/>
      <c r="AK271" s="26"/>
      <c r="AL271" s="26"/>
      <c r="AM271" s="26"/>
      <c r="AN271" s="26"/>
      <c r="AO271" s="26"/>
      <c r="AP271" s="26"/>
      <c r="AQ271" s="26"/>
      <c r="AR271" s="26"/>
      <c r="AS271" s="26"/>
      <c r="AT271" s="26"/>
      <c r="AU271" s="26"/>
      <c r="AV271" s="26"/>
      <c r="AW271" s="26"/>
      <c r="AX271" s="26"/>
      <c r="AY271" s="26"/>
      <c r="AZ271" s="26"/>
      <c r="BA271" s="26"/>
      <c r="BB271" s="26"/>
      <c r="BC271" s="26"/>
      <c r="BD271" s="26"/>
      <c r="BE271" s="26"/>
      <c r="BF271" s="26"/>
      <c r="BG271" s="26"/>
      <c r="BH271" s="26"/>
      <c r="BI271" s="26"/>
      <c r="BJ271" s="26"/>
      <c r="BK271" s="26"/>
      <c r="BL271" s="26"/>
      <c r="BM271" s="26"/>
      <c r="BN271" s="26"/>
      <c r="BO271" s="26"/>
      <c r="BP271" s="26"/>
      <c r="BQ271" s="26"/>
      <c r="BR271" s="26"/>
      <c r="BS271" s="26"/>
      <c r="BT271" s="26"/>
      <c r="BU271" s="26"/>
      <c r="BV271" s="26"/>
      <c r="BW271" s="26"/>
      <c r="BX271" s="26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26"/>
      <c r="CP271" s="26"/>
      <c r="CQ271" s="26"/>
      <c r="CR271" s="26"/>
      <c r="CS271" s="26"/>
      <c r="CT271" s="26"/>
      <c r="CU271" s="26"/>
      <c r="CV271" s="26"/>
      <c r="CW271" s="26"/>
      <c r="CX271" s="26"/>
      <c r="CY271" s="26"/>
      <c r="CZ271" s="26"/>
    </row>
    <row r="272" spans="1:104" x14ac:dyDescent="0.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6"/>
      <c r="AB272" s="26"/>
      <c r="AC272" s="26"/>
      <c r="AD272" s="26"/>
      <c r="AE272" s="26"/>
      <c r="AF272" s="26"/>
      <c r="AG272" s="26"/>
      <c r="AH272" s="26"/>
      <c r="AI272" s="26"/>
      <c r="AJ272" s="26"/>
      <c r="AK272" s="26"/>
      <c r="AL272" s="26"/>
      <c r="AM272" s="26"/>
      <c r="AN272" s="26"/>
      <c r="AO272" s="26"/>
      <c r="AP272" s="26"/>
      <c r="AQ272" s="26"/>
      <c r="AR272" s="26"/>
      <c r="AS272" s="26"/>
      <c r="AT272" s="26"/>
      <c r="AU272" s="26"/>
      <c r="AV272" s="26"/>
      <c r="AW272" s="26"/>
      <c r="AX272" s="26"/>
      <c r="AY272" s="26"/>
      <c r="AZ272" s="26"/>
      <c r="BA272" s="26"/>
      <c r="BB272" s="26"/>
      <c r="BC272" s="26"/>
      <c r="BD272" s="26"/>
      <c r="BE272" s="26"/>
      <c r="BF272" s="26"/>
      <c r="BG272" s="26"/>
      <c r="BH272" s="26"/>
      <c r="BI272" s="26"/>
      <c r="BJ272" s="26"/>
      <c r="BK272" s="26"/>
      <c r="BL272" s="26"/>
      <c r="BM272" s="26"/>
      <c r="BN272" s="26"/>
      <c r="BO272" s="26"/>
      <c r="BP272" s="26"/>
      <c r="BQ272" s="26"/>
      <c r="BR272" s="26"/>
      <c r="BS272" s="26"/>
      <c r="BT272" s="26"/>
      <c r="BU272" s="26"/>
      <c r="BV272" s="26"/>
      <c r="BW272" s="26"/>
      <c r="BX272" s="26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26"/>
      <c r="CP272" s="26"/>
      <c r="CQ272" s="26"/>
      <c r="CR272" s="26"/>
      <c r="CS272" s="26"/>
      <c r="CT272" s="26"/>
      <c r="CU272" s="26"/>
      <c r="CV272" s="26"/>
      <c r="CW272" s="26"/>
      <c r="CX272" s="26"/>
      <c r="CY272" s="26"/>
      <c r="CZ272" s="26"/>
    </row>
    <row r="273" spans="1:104" x14ac:dyDescent="0.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6"/>
      <c r="AB273" s="26"/>
      <c r="AC273" s="26"/>
      <c r="AD273" s="26"/>
      <c r="AE273" s="26"/>
      <c r="AF273" s="26"/>
      <c r="AG273" s="26"/>
      <c r="AH273" s="26"/>
      <c r="AI273" s="26"/>
      <c r="AJ273" s="26"/>
      <c r="AK273" s="26"/>
      <c r="AL273" s="26"/>
      <c r="AM273" s="26"/>
      <c r="AN273" s="26"/>
      <c r="AO273" s="26"/>
      <c r="AP273" s="26"/>
      <c r="AQ273" s="26"/>
      <c r="AR273" s="26"/>
      <c r="AS273" s="26"/>
      <c r="AT273" s="26"/>
      <c r="AU273" s="26"/>
      <c r="AV273" s="26"/>
      <c r="AW273" s="26"/>
      <c r="AX273" s="26"/>
      <c r="AY273" s="26"/>
      <c r="AZ273" s="26"/>
      <c r="BA273" s="26"/>
      <c r="BB273" s="26"/>
      <c r="BC273" s="26"/>
      <c r="BD273" s="26"/>
      <c r="BE273" s="26"/>
      <c r="BF273" s="26"/>
      <c r="BG273" s="26"/>
      <c r="BH273" s="26"/>
      <c r="BI273" s="26"/>
      <c r="BJ273" s="26"/>
      <c r="BK273" s="26"/>
      <c r="BL273" s="26"/>
      <c r="BM273" s="26"/>
      <c r="BN273" s="26"/>
      <c r="BO273" s="26"/>
      <c r="BP273" s="26"/>
      <c r="BQ273" s="26"/>
      <c r="BR273" s="26"/>
      <c r="BS273" s="26"/>
      <c r="BT273" s="26"/>
      <c r="BU273" s="26"/>
      <c r="BV273" s="26"/>
      <c r="BW273" s="26"/>
      <c r="BX273" s="26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26"/>
      <c r="CP273" s="26"/>
      <c r="CQ273" s="26"/>
      <c r="CR273" s="26"/>
      <c r="CS273" s="26"/>
      <c r="CT273" s="26"/>
      <c r="CU273" s="26"/>
      <c r="CV273" s="26"/>
      <c r="CW273" s="26"/>
      <c r="CX273" s="26"/>
      <c r="CY273" s="26"/>
      <c r="CZ273" s="26"/>
    </row>
    <row r="274" spans="1:104" x14ac:dyDescent="0.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  <c r="AD274" s="26"/>
      <c r="AE274" s="26"/>
      <c r="AF274" s="26"/>
      <c r="AG274" s="26"/>
      <c r="AH274" s="26"/>
      <c r="AI274" s="26"/>
      <c r="AJ274" s="26"/>
      <c r="AK274" s="26"/>
      <c r="AL274" s="26"/>
      <c r="AM274" s="26"/>
      <c r="AN274" s="26"/>
      <c r="AO274" s="26"/>
      <c r="AP274" s="26"/>
      <c r="AQ274" s="26"/>
      <c r="AR274" s="26"/>
      <c r="AS274" s="26"/>
      <c r="AT274" s="26"/>
      <c r="AU274" s="26"/>
      <c r="AV274" s="26"/>
      <c r="AW274" s="26"/>
      <c r="AX274" s="26"/>
      <c r="AY274" s="26"/>
      <c r="AZ274" s="26"/>
      <c r="BA274" s="26"/>
      <c r="BB274" s="26"/>
      <c r="BC274" s="26"/>
      <c r="BD274" s="26"/>
      <c r="BE274" s="26"/>
      <c r="BF274" s="26"/>
      <c r="BG274" s="26"/>
      <c r="BH274" s="26"/>
      <c r="BI274" s="26"/>
      <c r="BJ274" s="26"/>
      <c r="BK274" s="26"/>
      <c r="BL274" s="26"/>
      <c r="BM274" s="26"/>
      <c r="BN274" s="26"/>
      <c r="BO274" s="26"/>
      <c r="BP274" s="26"/>
      <c r="BQ274" s="26"/>
      <c r="BR274" s="26"/>
      <c r="BS274" s="26"/>
      <c r="BT274" s="26"/>
      <c r="BU274" s="26"/>
      <c r="BV274" s="26"/>
      <c r="BW274" s="26"/>
      <c r="BX274" s="26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26"/>
      <c r="CP274" s="26"/>
      <c r="CQ274" s="26"/>
      <c r="CR274" s="26"/>
      <c r="CS274" s="26"/>
      <c r="CT274" s="26"/>
      <c r="CU274" s="26"/>
      <c r="CV274" s="26"/>
      <c r="CW274" s="26"/>
      <c r="CX274" s="26"/>
      <c r="CY274" s="26"/>
      <c r="CZ274" s="26"/>
    </row>
    <row r="275" spans="1:104" x14ac:dyDescent="0.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  <c r="AL275" s="26"/>
      <c r="AM275" s="26"/>
      <c r="AN275" s="26"/>
      <c r="AO275" s="26"/>
      <c r="AP275" s="26"/>
      <c r="AQ275" s="26"/>
      <c r="AR275" s="26"/>
      <c r="AS275" s="26"/>
      <c r="AT275" s="26"/>
      <c r="AU275" s="26"/>
      <c r="AV275" s="26"/>
      <c r="AW275" s="26"/>
      <c r="AX275" s="26"/>
      <c r="AY275" s="26"/>
      <c r="AZ275" s="26"/>
      <c r="BA275" s="26"/>
      <c r="BB275" s="26"/>
      <c r="BC275" s="26"/>
      <c r="BD275" s="26"/>
      <c r="BE275" s="26"/>
      <c r="BF275" s="26"/>
      <c r="BG275" s="26"/>
      <c r="BH275" s="26"/>
      <c r="BI275" s="26"/>
      <c r="BJ275" s="26"/>
      <c r="BK275" s="26"/>
      <c r="BL275" s="26"/>
      <c r="BM275" s="26"/>
      <c r="BN275" s="26"/>
      <c r="BO275" s="26"/>
      <c r="BP275" s="26"/>
      <c r="BQ275" s="26"/>
      <c r="BR275" s="26"/>
      <c r="BS275" s="26"/>
      <c r="BT275" s="26"/>
      <c r="BU275" s="26"/>
      <c r="BV275" s="26"/>
      <c r="BW275" s="26"/>
      <c r="BX275" s="26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26"/>
      <c r="CP275" s="26"/>
      <c r="CQ275" s="26"/>
      <c r="CR275" s="26"/>
      <c r="CS275" s="26"/>
      <c r="CT275" s="26"/>
      <c r="CU275" s="26"/>
      <c r="CV275" s="26"/>
      <c r="CW275" s="26"/>
      <c r="CX275" s="26"/>
      <c r="CY275" s="26"/>
      <c r="CZ275" s="26"/>
    </row>
    <row r="276" spans="1:104" x14ac:dyDescent="0.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6"/>
      <c r="AB276" s="26"/>
      <c r="AC276" s="26"/>
      <c r="AD276" s="26"/>
      <c r="AE276" s="26"/>
      <c r="AF276" s="26"/>
      <c r="AG276" s="26"/>
      <c r="AH276" s="26"/>
      <c r="AI276" s="26"/>
      <c r="AJ276" s="26"/>
      <c r="AK276" s="26"/>
      <c r="AL276" s="26"/>
      <c r="AM276" s="26"/>
      <c r="AN276" s="26"/>
      <c r="AO276" s="26"/>
      <c r="AP276" s="26"/>
      <c r="AQ276" s="26"/>
      <c r="AR276" s="26"/>
      <c r="AS276" s="26"/>
      <c r="AT276" s="26"/>
      <c r="AU276" s="26"/>
      <c r="AV276" s="26"/>
      <c r="AW276" s="26"/>
      <c r="AX276" s="26"/>
      <c r="AY276" s="26"/>
      <c r="AZ276" s="26"/>
      <c r="BA276" s="26"/>
      <c r="BB276" s="26"/>
      <c r="BC276" s="26"/>
      <c r="BD276" s="26"/>
      <c r="BE276" s="26"/>
      <c r="BF276" s="26"/>
      <c r="BG276" s="26"/>
      <c r="BH276" s="26"/>
      <c r="BI276" s="26"/>
      <c r="BJ276" s="26"/>
      <c r="BK276" s="26"/>
      <c r="BL276" s="26"/>
      <c r="BM276" s="26"/>
      <c r="BN276" s="26"/>
      <c r="BO276" s="26"/>
      <c r="BP276" s="26"/>
      <c r="BQ276" s="26"/>
      <c r="BR276" s="26"/>
      <c r="BS276" s="26"/>
      <c r="BT276" s="26"/>
      <c r="BU276" s="26"/>
      <c r="BV276" s="26"/>
      <c r="BW276" s="26"/>
      <c r="BX276" s="26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26"/>
      <c r="CP276" s="26"/>
      <c r="CQ276" s="26"/>
      <c r="CR276" s="26"/>
      <c r="CS276" s="26"/>
      <c r="CT276" s="26"/>
      <c r="CU276" s="26"/>
      <c r="CV276" s="26"/>
      <c r="CW276" s="26"/>
      <c r="CX276" s="26"/>
      <c r="CY276" s="26"/>
      <c r="CZ276" s="26"/>
    </row>
    <row r="277" spans="1:104" x14ac:dyDescent="0.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6"/>
      <c r="AB277" s="26"/>
      <c r="AC277" s="26"/>
      <c r="AD277" s="26"/>
      <c r="AE277" s="26"/>
      <c r="AF277" s="26"/>
      <c r="AG277" s="26"/>
      <c r="AH277" s="26"/>
      <c r="AI277" s="26"/>
      <c r="AJ277" s="26"/>
      <c r="AK277" s="26"/>
      <c r="AL277" s="26"/>
      <c r="AM277" s="26"/>
      <c r="AN277" s="26"/>
      <c r="AO277" s="26"/>
      <c r="AP277" s="26"/>
      <c r="AQ277" s="26"/>
      <c r="AR277" s="26"/>
      <c r="AS277" s="26"/>
      <c r="AT277" s="26"/>
      <c r="AU277" s="26"/>
      <c r="AV277" s="26"/>
      <c r="AW277" s="26"/>
      <c r="AX277" s="26"/>
      <c r="AY277" s="26"/>
      <c r="AZ277" s="26"/>
      <c r="BA277" s="26"/>
      <c r="BB277" s="26"/>
      <c r="BC277" s="26"/>
      <c r="BD277" s="26"/>
      <c r="BE277" s="26"/>
      <c r="BF277" s="26"/>
      <c r="BG277" s="26"/>
      <c r="BH277" s="26"/>
      <c r="BI277" s="26"/>
      <c r="BJ277" s="26"/>
      <c r="BK277" s="26"/>
      <c r="BL277" s="26"/>
      <c r="BM277" s="26"/>
      <c r="BN277" s="26"/>
      <c r="BO277" s="26"/>
      <c r="BP277" s="26"/>
      <c r="BQ277" s="26"/>
      <c r="BR277" s="26"/>
      <c r="BS277" s="26"/>
      <c r="BT277" s="26"/>
      <c r="BU277" s="26"/>
      <c r="BV277" s="26"/>
      <c r="BW277" s="26"/>
      <c r="BX277" s="26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26"/>
      <c r="CP277" s="26"/>
      <c r="CQ277" s="26"/>
      <c r="CR277" s="26"/>
      <c r="CS277" s="26"/>
      <c r="CT277" s="26"/>
      <c r="CU277" s="26"/>
      <c r="CV277" s="26"/>
      <c r="CW277" s="26"/>
      <c r="CX277" s="26"/>
      <c r="CY277" s="26"/>
      <c r="CZ277" s="26"/>
    </row>
    <row r="278" spans="1:104" x14ac:dyDescent="0.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6"/>
      <c r="AB278" s="26"/>
      <c r="AC278" s="26"/>
      <c r="AD278" s="26"/>
      <c r="AE278" s="26"/>
      <c r="AF278" s="26"/>
      <c r="AG278" s="26"/>
      <c r="AH278" s="26"/>
      <c r="AI278" s="26"/>
      <c r="AJ278" s="26"/>
      <c r="AK278" s="26"/>
      <c r="AL278" s="26"/>
      <c r="AM278" s="26"/>
      <c r="AN278" s="26"/>
      <c r="AO278" s="26"/>
      <c r="AP278" s="26"/>
      <c r="AQ278" s="26"/>
      <c r="AR278" s="26"/>
      <c r="AS278" s="26"/>
      <c r="AT278" s="26"/>
      <c r="AU278" s="26"/>
      <c r="AV278" s="26"/>
      <c r="AW278" s="26"/>
      <c r="AX278" s="26"/>
      <c r="AY278" s="26"/>
      <c r="AZ278" s="26"/>
      <c r="BA278" s="26"/>
      <c r="BB278" s="26"/>
      <c r="BC278" s="26"/>
      <c r="BD278" s="26"/>
      <c r="BE278" s="26"/>
      <c r="BF278" s="26"/>
      <c r="BG278" s="26"/>
      <c r="BH278" s="26"/>
      <c r="BI278" s="26"/>
      <c r="BJ278" s="26"/>
      <c r="BK278" s="26"/>
      <c r="BL278" s="26"/>
      <c r="BM278" s="26"/>
      <c r="BN278" s="26"/>
      <c r="BO278" s="26"/>
      <c r="BP278" s="26"/>
      <c r="BQ278" s="26"/>
      <c r="BR278" s="26"/>
      <c r="BS278" s="26"/>
      <c r="BT278" s="26"/>
      <c r="BU278" s="26"/>
      <c r="BV278" s="26"/>
      <c r="BW278" s="26"/>
      <c r="BX278" s="26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26"/>
      <c r="CP278" s="26"/>
      <c r="CQ278" s="26"/>
      <c r="CR278" s="26"/>
      <c r="CS278" s="26"/>
      <c r="CT278" s="26"/>
      <c r="CU278" s="26"/>
      <c r="CV278" s="26"/>
      <c r="CW278" s="26"/>
      <c r="CX278" s="26"/>
      <c r="CY278" s="26"/>
      <c r="CZ278" s="26"/>
    </row>
    <row r="279" spans="1:104" x14ac:dyDescent="0.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  <c r="BC279" s="26"/>
      <c r="BD279" s="26"/>
      <c r="BE279" s="26"/>
      <c r="BF279" s="26"/>
      <c r="BG279" s="26"/>
      <c r="BH279" s="26"/>
      <c r="BI279" s="26"/>
      <c r="BJ279" s="26"/>
      <c r="BK279" s="26"/>
      <c r="BL279" s="26"/>
      <c r="BM279" s="26"/>
      <c r="BN279" s="26"/>
      <c r="BO279" s="26"/>
      <c r="BP279" s="26"/>
      <c r="BQ279" s="26"/>
      <c r="BR279" s="26"/>
      <c r="BS279" s="26"/>
      <c r="BT279" s="26"/>
      <c r="BU279" s="26"/>
      <c r="BV279" s="26"/>
      <c r="BW279" s="26"/>
      <c r="BX279" s="26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26"/>
      <c r="CP279" s="26"/>
      <c r="CQ279" s="26"/>
      <c r="CR279" s="26"/>
      <c r="CS279" s="26"/>
      <c r="CT279" s="26"/>
      <c r="CU279" s="26"/>
      <c r="CV279" s="26"/>
      <c r="CW279" s="26"/>
      <c r="CX279" s="26"/>
      <c r="CY279" s="26"/>
      <c r="CZ279" s="26"/>
    </row>
    <row r="280" spans="1:104" x14ac:dyDescent="0.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6"/>
      <c r="AB280" s="26"/>
      <c r="AC280" s="26"/>
      <c r="AD280" s="26"/>
      <c r="AE280" s="26"/>
      <c r="AF280" s="26"/>
      <c r="AG280" s="26"/>
      <c r="AH280" s="26"/>
      <c r="AI280" s="26"/>
      <c r="AJ280" s="26"/>
      <c r="AK280" s="26"/>
      <c r="AL280" s="26"/>
      <c r="AM280" s="26"/>
      <c r="AN280" s="26"/>
      <c r="AO280" s="26"/>
      <c r="AP280" s="26"/>
      <c r="AQ280" s="26"/>
      <c r="AR280" s="26"/>
      <c r="AS280" s="26"/>
      <c r="AT280" s="26"/>
      <c r="AU280" s="26"/>
      <c r="AV280" s="26"/>
      <c r="AW280" s="26"/>
      <c r="AX280" s="26"/>
      <c r="AY280" s="26"/>
      <c r="AZ280" s="26"/>
      <c r="BA280" s="26"/>
      <c r="BB280" s="26"/>
      <c r="BC280" s="26"/>
      <c r="BD280" s="26"/>
      <c r="BE280" s="26"/>
      <c r="BF280" s="26"/>
      <c r="BG280" s="26"/>
      <c r="BH280" s="26"/>
      <c r="BI280" s="26"/>
      <c r="BJ280" s="26"/>
      <c r="BK280" s="26"/>
      <c r="BL280" s="26"/>
      <c r="BM280" s="26"/>
      <c r="BN280" s="26"/>
      <c r="BO280" s="26"/>
      <c r="BP280" s="26"/>
      <c r="BQ280" s="26"/>
      <c r="BR280" s="26"/>
      <c r="BS280" s="26"/>
      <c r="BT280" s="26"/>
      <c r="BU280" s="26"/>
      <c r="BV280" s="26"/>
      <c r="BW280" s="26"/>
      <c r="BX280" s="26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26"/>
      <c r="CP280" s="26"/>
      <c r="CQ280" s="26"/>
      <c r="CR280" s="26"/>
      <c r="CS280" s="26"/>
      <c r="CT280" s="26"/>
      <c r="CU280" s="26"/>
      <c r="CV280" s="26"/>
      <c r="CW280" s="26"/>
      <c r="CX280" s="26"/>
      <c r="CY280" s="26"/>
      <c r="CZ280" s="26"/>
    </row>
    <row r="281" spans="1:104" x14ac:dyDescent="0.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6"/>
      <c r="AB281" s="26"/>
      <c r="AC281" s="26"/>
      <c r="AD281" s="26"/>
      <c r="AE281" s="26"/>
      <c r="AF281" s="26"/>
      <c r="AG281" s="26"/>
      <c r="AH281" s="26"/>
      <c r="AI281" s="26"/>
      <c r="AJ281" s="26"/>
      <c r="AK281" s="26"/>
      <c r="AL281" s="26"/>
      <c r="AM281" s="26"/>
      <c r="AN281" s="26"/>
      <c r="AO281" s="26"/>
      <c r="AP281" s="26"/>
      <c r="AQ281" s="26"/>
      <c r="AR281" s="26"/>
      <c r="AS281" s="26"/>
      <c r="AT281" s="26"/>
      <c r="AU281" s="26"/>
      <c r="AV281" s="26"/>
      <c r="AW281" s="26"/>
      <c r="AX281" s="26"/>
      <c r="AY281" s="26"/>
      <c r="AZ281" s="26"/>
      <c r="BA281" s="26"/>
      <c r="BB281" s="26"/>
      <c r="BC281" s="26"/>
      <c r="BD281" s="26"/>
      <c r="BE281" s="26"/>
      <c r="BF281" s="26"/>
      <c r="BG281" s="26"/>
      <c r="BH281" s="26"/>
      <c r="BI281" s="26"/>
      <c r="BJ281" s="26"/>
      <c r="BK281" s="26"/>
      <c r="BL281" s="26"/>
      <c r="BM281" s="26"/>
      <c r="BN281" s="26"/>
      <c r="BO281" s="26"/>
      <c r="BP281" s="26"/>
      <c r="BQ281" s="26"/>
      <c r="BR281" s="26"/>
      <c r="BS281" s="26"/>
      <c r="BT281" s="26"/>
      <c r="BU281" s="26"/>
      <c r="BV281" s="26"/>
      <c r="BW281" s="26"/>
      <c r="BX281" s="26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26"/>
      <c r="CP281" s="26"/>
      <c r="CQ281" s="26"/>
      <c r="CR281" s="26"/>
      <c r="CS281" s="26"/>
      <c r="CT281" s="26"/>
      <c r="CU281" s="26"/>
      <c r="CV281" s="26"/>
      <c r="CW281" s="26"/>
      <c r="CX281" s="26"/>
      <c r="CY281" s="26"/>
      <c r="CZ281" s="26"/>
    </row>
    <row r="282" spans="1:104" x14ac:dyDescent="0.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6"/>
      <c r="AB282" s="26"/>
      <c r="AC282" s="26"/>
      <c r="AD282" s="26"/>
      <c r="AE282" s="26"/>
      <c r="AF282" s="26"/>
      <c r="AG282" s="26"/>
      <c r="AH282" s="26"/>
      <c r="AI282" s="26"/>
      <c r="AJ282" s="26"/>
      <c r="AK282" s="26"/>
      <c r="AL282" s="26"/>
      <c r="AM282" s="26"/>
      <c r="AN282" s="26"/>
      <c r="AO282" s="26"/>
      <c r="AP282" s="26"/>
      <c r="AQ282" s="26"/>
      <c r="AR282" s="26"/>
      <c r="AS282" s="26"/>
      <c r="AT282" s="26"/>
      <c r="AU282" s="26"/>
      <c r="AV282" s="26"/>
      <c r="AW282" s="26"/>
      <c r="AX282" s="26"/>
      <c r="AY282" s="26"/>
      <c r="AZ282" s="26"/>
      <c r="BA282" s="26"/>
      <c r="BB282" s="26"/>
      <c r="BC282" s="26"/>
      <c r="BD282" s="26"/>
      <c r="BE282" s="26"/>
      <c r="BF282" s="26"/>
      <c r="BG282" s="26"/>
      <c r="BH282" s="26"/>
      <c r="BI282" s="26"/>
      <c r="BJ282" s="26"/>
      <c r="BK282" s="26"/>
      <c r="BL282" s="26"/>
      <c r="BM282" s="26"/>
      <c r="BN282" s="26"/>
      <c r="BO282" s="26"/>
      <c r="BP282" s="26"/>
      <c r="BQ282" s="26"/>
      <c r="BR282" s="26"/>
      <c r="BS282" s="26"/>
      <c r="BT282" s="26"/>
      <c r="BU282" s="26"/>
      <c r="BV282" s="26"/>
      <c r="BW282" s="26"/>
      <c r="BX282" s="26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26"/>
      <c r="CP282" s="26"/>
      <c r="CQ282" s="26"/>
      <c r="CR282" s="26"/>
      <c r="CS282" s="26"/>
      <c r="CT282" s="26"/>
      <c r="CU282" s="26"/>
      <c r="CV282" s="26"/>
      <c r="CW282" s="26"/>
      <c r="CX282" s="26"/>
      <c r="CY282" s="26"/>
      <c r="CZ282" s="26"/>
    </row>
    <row r="283" spans="1:104" x14ac:dyDescent="0.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6"/>
      <c r="AF283" s="26"/>
      <c r="AG283" s="26"/>
      <c r="AH283" s="26"/>
      <c r="AI283" s="26"/>
      <c r="AJ283" s="26"/>
      <c r="AK283" s="26"/>
      <c r="AL283" s="26"/>
      <c r="AM283" s="26"/>
      <c r="AN283" s="26"/>
      <c r="AO283" s="26"/>
      <c r="AP283" s="26"/>
      <c r="AQ283" s="26"/>
      <c r="AR283" s="26"/>
      <c r="AS283" s="26"/>
      <c r="AT283" s="26"/>
      <c r="AU283" s="26"/>
      <c r="AV283" s="26"/>
      <c r="AW283" s="26"/>
      <c r="AX283" s="26"/>
      <c r="AY283" s="26"/>
      <c r="AZ283" s="26"/>
      <c r="BA283" s="26"/>
      <c r="BB283" s="26"/>
      <c r="BC283" s="26"/>
      <c r="BD283" s="26"/>
      <c r="BE283" s="26"/>
      <c r="BF283" s="26"/>
      <c r="BG283" s="26"/>
      <c r="BH283" s="26"/>
      <c r="BI283" s="26"/>
      <c r="BJ283" s="26"/>
      <c r="BK283" s="26"/>
      <c r="BL283" s="26"/>
      <c r="BM283" s="26"/>
      <c r="BN283" s="26"/>
      <c r="BO283" s="26"/>
      <c r="BP283" s="26"/>
      <c r="BQ283" s="26"/>
      <c r="BR283" s="26"/>
      <c r="BS283" s="26"/>
      <c r="BT283" s="26"/>
      <c r="BU283" s="26"/>
      <c r="BV283" s="26"/>
      <c r="BW283" s="26"/>
      <c r="BX283" s="26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26"/>
      <c r="CP283" s="26"/>
      <c r="CQ283" s="26"/>
      <c r="CR283" s="26"/>
      <c r="CS283" s="26"/>
      <c r="CT283" s="26"/>
      <c r="CU283" s="26"/>
      <c r="CV283" s="26"/>
      <c r="CW283" s="26"/>
      <c r="CX283" s="26"/>
      <c r="CY283" s="26"/>
      <c r="CZ283" s="26"/>
    </row>
    <row r="284" spans="1:104" x14ac:dyDescent="0.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6"/>
      <c r="AB284" s="26"/>
      <c r="AC284" s="26"/>
      <c r="AD284" s="26"/>
      <c r="AE284" s="26"/>
      <c r="AF284" s="26"/>
      <c r="AG284" s="26"/>
      <c r="AH284" s="26"/>
      <c r="AI284" s="26"/>
      <c r="AJ284" s="26"/>
      <c r="AK284" s="26"/>
      <c r="AL284" s="26"/>
      <c r="AM284" s="26"/>
      <c r="AN284" s="26"/>
      <c r="AO284" s="26"/>
      <c r="AP284" s="26"/>
      <c r="AQ284" s="26"/>
      <c r="AR284" s="26"/>
      <c r="AS284" s="26"/>
      <c r="AT284" s="26"/>
      <c r="AU284" s="26"/>
      <c r="AV284" s="26"/>
      <c r="AW284" s="26"/>
      <c r="AX284" s="26"/>
      <c r="AY284" s="26"/>
      <c r="AZ284" s="26"/>
      <c r="BA284" s="26"/>
      <c r="BB284" s="26"/>
      <c r="BC284" s="26"/>
      <c r="BD284" s="26"/>
      <c r="BE284" s="26"/>
      <c r="BF284" s="26"/>
      <c r="BG284" s="26"/>
      <c r="BH284" s="26"/>
      <c r="BI284" s="26"/>
      <c r="BJ284" s="26"/>
      <c r="BK284" s="26"/>
      <c r="BL284" s="26"/>
      <c r="BM284" s="26"/>
      <c r="BN284" s="26"/>
      <c r="BO284" s="26"/>
      <c r="BP284" s="26"/>
      <c r="BQ284" s="26"/>
      <c r="BR284" s="26"/>
      <c r="BS284" s="26"/>
      <c r="BT284" s="26"/>
      <c r="BU284" s="26"/>
      <c r="BV284" s="26"/>
      <c r="BW284" s="26"/>
      <c r="BX284" s="26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26"/>
      <c r="CP284" s="26"/>
      <c r="CQ284" s="26"/>
      <c r="CR284" s="26"/>
      <c r="CS284" s="26"/>
      <c r="CT284" s="26"/>
      <c r="CU284" s="26"/>
      <c r="CV284" s="26"/>
      <c r="CW284" s="26"/>
      <c r="CX284" s="26"/>
      <c r="CY284" s="26"/>
      <c r="CZ284" s="26"/>
    </row>
    <row r="285" spans="1:104" x14ac:dyDescent="0.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6"/>
      <c r="AB285" s="26"/>
      <c r="AC285" s="26"/>
      <c r="AD285" s="26"/>
      <c r="AE285" s="26"/>
      <c r="AF285" s="26"/>
      <c r="AG285" s="26"/>
      <c r="AH285" s="26"/>
      <c r="AI285" s="26"/>
      <c r="AJ285" s="26"/>
      <c r="AK285" s="26"/>
      <c r="AL285" s="26"/>
      <c r="AM285" s="26"/>
      <c r="AN285" s="26"/>
      <c r="AO285" s="26"/>
      <c r="AP285" s="26"/>
      <c r="AQ285" s="26"/>
      <c r="AR285" s="26"/>
      <c r="AS285" s="26"/>
      <c r="AT285" s="26"/>
      <c r="AU285" s="26"/>
      <c r="AV285" s="26"/>
      <c r="AW285" s="26"/>
      <c r="AX285" s="26"/>
      <c r="AY285" s="26"/>
      <c r="AZ285" s="26"/>
      <c r="BA285" s="26"/>
      <c r="BB285" s="26"/>
      <c r="BC285" s="26"/>
      <c r="BD285" s="26"/>
      <c r="BE285" s="26"/>
      <c r="BF285" s="26"/>
      <c r="BG285" s="26"/>
      <c r="BH285" s="26"/>
      <c r="BI285" s="26"/>
      <c r="BJ285" s="26"/>
      <c r="BK285" s="26"/>
      <c r="BL285" s="26"/>
      <c r="BM285" s="26"/>
      <c r="BN285" s="26"/>
      <c r="BO285" s="26"/>
      <c r="BP285" s="26"/>
      <c r="BQ285" s="26"/>
      <c r="BR285" s="26"/>
      <c r="BS285" s="26"/>
      <c r="BT285" s="26"/>
      <c r="BU285" s="26"/>
      <c r="BV285" s="26"/>
      <c r="BW285" s="26"/>
      <c r="BX285" s="26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26"/>
      <c r="CP285" s="26"/>
      <c r="CQ285" s="26"/>
      <c r="CR285" s="26"/>
      <c r="CS285" s="26"/>
      <c r="CT285" s="26"/>
      <c r="CU285" s="26"/>
      <c r="CV285" s="26"/>
      <c r="CW285" s="26"/>
      <c r="CX285" s="26"/>
      <c r="CY285" s="26"/>
      <c r="CZ285" s="26"/>
    </row>
    <row r="286" spans="1:104" x14ac:dyDescent="0.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  <c r="AH286" s="26"/>
      <c r="AI286" s="26"/>
      <c r="AJ286" s="26"/>
      <c r="AK286" s="26"/>
      <c r="AL286" s="26"/>
      <c r="AM286" s="26"/>
      <c r="AN286" s="26"/>
      <c r="AO286" s="26"/>
      <c r="AP286" s="26"/>
      <c r="AQ286" s="26"/>
      <c r="AR286" s="26"/>
      <c r="AS286" s="26"/>
      <c r="AT286" s="26"/>
      <c r="AU286" s="26"/>
      <c r="AV286" s="26"/>
      <c r="AW286" s="26"/>
      <c r="AX286" s="26"/>
      <c r="AY286" s="26"/>
      <c r="AZ286" s="26"/>
      <c r="BA286" s="26"/>
      <c r="BB286" s="26"/>
      <c r="BC286" s="26"/>
      <c r="BD286" s="26"/>
      <c r="BE286" s="26"/>
      <c r="BF286" s="26"/>
      <c r="BG286" s="26"/>
      <c r="BH286" s="26"/>
      <c r="BI286" s="26"/>
      <c r="BJ286" s="26"/>
      <c r="BK286" s="26"/>
      <c r="BL286" s="26"/>
      <c r="BM286" s="26"/>
      <c r="BN286" s="26"/>
      <c r="BO286" s="26"/>
      <c r="BP286" s="26"/>
      <c r="BQ286" s="26"/>
      <c r="BR286" s="26"/>
      <c r="BS286" s="26"/>
      <c r="BT286" s="26"/>
      <c r="BU286" s="26"/>
      <c r="BV286" s="26"/>
      <c r="BW286" s="26"/>
      <c r="BX286" s="26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26"/>
      <c r="CP286" s="26"/>
      <c r="CQ286" s="26"/>
      <c r="CR286" s="26"/>
      <c r="CS286" s="26"/>
      <c r="CT286" s="26"/>
      <c r="CU286" s="26"/>
      <c r="CV286" s="26"/>
      <c r="CW286" s="26"/>
      <c r="CX286" s="26"/>
      <c r="CY286" s="26"/>
      <c r="CZ286" s="26"/>
    </row>
    <row r="287" spans="1:104" x14ac:dyDescent="0.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6"/>
      <c r="AB287" s="26"/>
      <c r="AC287" s="26"/>
      <c r="AD287" s="26"/>
      <c r="AE287" s="26"/>
      <c r="AF287" s="26"/>
      <c r="AG287" s="26"/>
      <c r="AH287" s="26"/>
      <c r="AI287" s="26"/>
      <c r="AJ287" s="26"/>
      <c r="AK287" s="26"/>
      <c r="AL287" s="26"/>
      <c r="AM287" s="26"/>
      <c r="AN287" s="26"/>
      <c r="AO287" s="26"/>
      <c r="AP287" s="26"/>
      <c r="AQ287" s="26"/>
      <c r="AR287" s="26"/>
      <c r="AS287" s="26"/>
      <c r="AT287" s="26"/>
      <c r="AU287" s="26"/>
      <c r="AV287" s="26"/>
      <c r="AW287" s="26"/>
      <c r="AX287" s="26"/>
      <c r="AY287" s="26"/>
      <c r="AZ287" s="26"/>
      <c r="BA287" s="26"/>
      <c r="BB287" s="26"/>
      <c r="BC287" s="26"/>
      <c r="BD287" s="26"/>
      <c r="BE287" s="26"/>
      <c r="BF287" s="26"/>
      <c r="BG287" s="26"/>
      <c r="BH287" s="26"/>
      <c r="BI287" s="26"/>
      <c r="BJ287" s="26"/>
      <c r="BK287" s="26"/>
      <c r="BL287" s="26"/>
      <c r="BM287" s="26"/>
      <c r="BN287" s="26"/>
      <c r="BO287" s="26"/>
      <c r="BP287" s="26"/>
      <c r="BQ287" s="26"/>
      <c r="BR287" s="26"/>
      <c r="BS287" s="26"/>
      <c r="BT287" s="26"/>
      <c r="BU287" s="26"/>
      <c r="BV287" s="26"/>
      <c r="BW287" s="26"/>
      <c r="BX287" s="26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26"/>
      <c r="CP287" s="26"/>
      <c r="CQ287" s="26"/>
      <c r="CR287" s="26"/>
      <c r="CS287" s="26"/>
      <c r="CT287" s="26"/>
      <c r="CU287" s="26"/>
      <c r="CV287" s="26"/>
      <c r="CW287" s="26"/>
      <c r="CX287" s="26"/>
      <c r="CY287" s="26"/>
      <c r="CZ287" s="26"/>
    </row>
    <row r="288" spans="1:104" x14ac:dyDescent="0.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6"/>
      <c r="AB288" s="26"/>
      <c r="AC288" s="26"/>
      <c r="AD288" s="26"/>
      <c r="AE288" s="26"/>
      <c r="AF288" s="26"/>
      <c r="AG288" s="26"/>
      <c r="AH288" s="26"/>
      <c r="AI288" s="26"/>
      <c r="AJ288" s="26"/>
      <c r="AK288" s="26"/>
      <c r="AL288" s="26"/>
      <c r="AM288" s="26"/>
      <c r="AN288" s="26"/>
      <c r="AO288" s="26"/>
      <c r="AP288" s="26"/>
      <c r="AQ288" s="26"/>
      <c r="AR288" s="26"/>
      <c r="AS288" s="26"/>
      <c r="AT288" s="26"/>
      <c r="AU288" s="26"/>
      <c r="AV288" s="26"/>
      <c r="AW288" s="26"/>
      <c r="AX288" s="26"/>
      <c r="AY288" s="26"/>
      <c r="AZ288" s="26"/>
      <c r="BA288" s="26"/>
      <c r="BB288" s="26"/>
      <c r="BC288" s="26"/>
      <c r="BD288" s="26"/>
      <c r="BE288" s="26"/>
      <c r="BF288" s="26"/>
      <c r="BG288" s="26"/>
      <c r="BH288" s="26"/>
      <c r="BI288" s="26"/>
      <c r="BJ288" s="26"/>
      <c r="BK288" s="26"/>
      <c r="BL288" s="26"/>
      <c r="BM288" s="26"/>
      <c r="BN288" s="26"/>
      <c r="BO288" s="26"/>
      <c r="BP288" s="26"/>
      <c r="BQ288" s="26"/>
      <c r="BR288" s="26"/>
      <c r="BS288" s="26"/>
      <c r="BT288" s="26"/>
      <c r="BU288" s="26"/>
      <c r="BV288" s="26"/>
      <c r="BW288" s="26"/>
      <c r="BX288" s="26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26"/>
      <c r="CP288" s="26"/>
      <c r="CQ288" s="26"/>
      <c r="CR288" s="26"/>
      <c r="CS288" s="26"/>
      <c r="CT288" s="26"/>
      <c r="CU288" s="26"/>
      <c r="CV288" s="26"/>
      <c r="CW288" s="26"/>
      <c r="CX288" s="26"/>
      <c r="CY288" s="26"/>
      <c r="CZ288" s="26"/>
    </row>
    <row r="289" spans="1:104" x14ac:dyDescent="0.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6"/>
      <c r="AB289" s="26"/>
      <c r="AC289" s="26"/>
      <c r="AD289" s="26"/>
      <c r="AE289" s="26"/>
      <c r="AF289" s="26"/>
      <c r="AG289" s="26"/>
      <c r="AH289" s="26"/>
      <c r="AI289" s="26"/>
      <c r="AJ289" s="26"/>
      <c r="AK289" s="26"/>
      <c r="AL289" s="26"/>
      <c r="AM289" s="26"/>
      <c r="AN289" s="26"/>
      <c r="AO289" s="26"/>
      <c r="AP289" s="26"/>
      <c r="AQ289" s="26"/>
      <c r="AR289" s="26"/>
      <c r="AS289" s="26"/>
      <c r="AT289" s="26"/>
      <c r="AU289" s="26"/>
      <c r="AV289" s="26"/>
      <c r="AW289" s="26"/>
      <c r="AX289" s="26"/>
      <c r="AY289" s="26"/>
      <c r="AZ289" s="26"/>
      <c r="BA289" s="26"/>
      <c r="BB289" s="26"/>
      <c r="BC289" s="26"/>
      <c r="BD289" s="26"/>
      <c r="BE289" s="26"/>
      <c r="BF289" s="26"/>
      <c r="BG289" s="26"/>
      <c r="BH289" s="26"/>
      <c r="BI289" s="26"/>
      <c r="BJ289" s="26"/>
      <c r="BK289" s="26"/>
      <c r="BL289" s="26"/>
      <c r="BM289" s="26"/>
      <c r="BN289" s="26"/>
      <c r="BO289" s="26"/>
      <c r="BP289" s="26"/>
      <c r="BQ289" s="26"/>
      <c r="BR289" s="26"/>
      <c r="BS289" s="26"/>
      <c r="BT289" s="26"/>
      <c r="BU289" s="26"/>
      <c r="BV289" s="26"/>
      <c r="BW289" s="26"/>
      <c r="BX289" s="26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26"/>
      <c r="CP289" s="26"/>
      <c r="CQ289" s="26"/>
      <c r="CR289" s="26"/>
      <c r="CS289" s="26"/>
      <c r="CT289" s="26"/>
      <c r="CU289" s="26"/>
      <c r="CV289" s="26"/>
      <c r="CW289" s="26"/>
      <c r="CX289" s="26"/>
      <c r="CY289" s="26"/>
      <c r="CZ289" s="26"/>
    </row>
    <row r="290" spans="1:104" x14ac:dyDescent="0.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  <c r="AL290" s="26"/>
      <c r="AM290" s="26"/>
      <c r="AN290" s="26"/>
      <c r="AO290" s="26"/>
      <c r="AP290" s="26"/>
      <c r="AQ290" s="26"/>
      <c r="AR290" s="26"/>
      <c r="AS290" s="26"/>
      <c r="AT290" s="26"/>
      <c r="AU290" s="26"/>
      <c r="AV290" s="26"/>
      <c r="AW290" s="26"/>
      <c r="AX290" s="26"/>
      <c r="AY290" s="26"/>
      <c r="AZ290" s="26"/>
      <c r="BA290" s="26"/>
      <c r="BB290" s="26"/>
      <c r="BC290" s="26"/>
      <c r="BD290" s="26"/>
      <c r="BE290" s="26"/>
      <c r="BF290" s="26"/>
      <c r="BG290" s="26"/>
      <c r="BH290" s="26"/>
      <c r="BI290" s="26"/>
      <c r="BJ290" s="26"/>
      <c r="BK290" s="26"/>
      <c r="BL290" s="26"/>
      <c r="BM290" s="26"/>
      <c r="BN290" s="26"/>
      <c r="BO290" s="26"/>
      <c r="BP290" s="26"/>
      <c r="BQ290" s="26"/>
      <c r="BR290" s="26"/>
      <c r="BS290" s="26"/>
      <c r="BT290" s="26"/>
      <c r="BU290" s="26"/>
      <c r="BV290" s="26"/>
      <c r="BW290" s="26"/>
      <c r="BX290" s="26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26"/>
      <c r="CP290" s="26"/>
      <c r="CQ290" s="26"/>
      <c r="CR290" s="26"/>
      <c r="CS290" s="26"/>
      <c r="CT290" s="26"/>
      <c r="CU290" s="26"/>
      <c r="CV290" s="26"/>
      <c r="CW290" s="26"/>
      <c r="CX290" s="26"/>
      <c r="CY290" s="26"/>
      <c r="CZ290" s="26"/>
    </row>
    <row r="291" spans="1:104" x14ac:dyDescent="0.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  <c r="AL291" s="26"/>
      <c r="AM291" s="26"/>
      <c r="AN291" s="26"/>
      <c r="AO291" s="26"/>
      <c r="AP291" s="26"/>
      <c r="AQ291" s="26"/>
      <c r="AR291" s="26"/>
      <c r="AS291" s="26"/>
      <c r="AT291" s="26"/>
      <c r="AU291" s="26"/>
      <c r="AV291" s="26"/>
      <c r="AW291" s="26"/>
      <c r="AX291" s="26"/>
      <c r="AY291" s="26"/>
      <c r="AZ291" s="26"/>
      <c r="BA291" s="26"/>
      <c r="BB291" s="26"/>
      <c r="BC291" s="26"/>
      <c r="BD291" s="26"/>
      <c r="BE291" s="26"/>
      <c r="BF291" s="26"/>
      <c r="BG291" s="26"/>
      <c r="BH291" s="26"/>
      <c r="BI291" s="26"/>
      <c r="BJ291" s="26"/>
      <c r="BK291" s="26"/>
      <c r="BL291" s="26"/>
      <c r="BM291" s="26"/>
      <c r="BN291" s="26"/>
      <c r="BO291" s="26"/>
      <c r="BP291" s="26"/>
      <c r="BQ291" s="26"/>
      <c r="BR291" s="26"/>
      <c r="BS291" s="26"/>
      <c r="BT291" s="26"/>
      <c r="BU291" s="26"/>
      <c r="BV291" s="26"/>
      <c r="BW291" s="26"/>
      <c r="BX291" s="26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26"/>
      <c r="CP291" s="26"/>
      <c r="CQ291" s="26"/>
      <c r="CR291" s="26"/>
      <c r="CS291" s="26"/>
      <c r="CT291" s="26"/>
      <c r="CU291" s="26"/>
      <c r="CV291" s="26"/>
      <c r="CW291" s="26"/>
      <c r="CX291" s="26"/>
      <c r="CY291" s="26"/>
      <c r="CZ291" s="26"/>
    </row>
    <row r="292" spans="1:104" x14ac:dyDescent="0.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  <c r="AL292" s="26"/>
      <c r="AM292" s="26"/>
      <c r="AN292" s="26"/>
      <c r="AO292" s="26"/>
      <c r="AP292" s="26"/>
      <c r="AQ292" s="26"/>
      <c r="AR292" s="26"/>
      <c r="AS292" s="26"/>
      <c r="AT292" s="26"/>
      <c r="AU292" s="26"/>
      <c r="AV292" s="26"/>
      <c r="AW292" s="26"/>
      <c r="AX292" s="26"/>
      <c r="AY292" s="26"/>
      <c r="AZ292" s="26"/>
      <c r="BA292" s="26"/>
      <c r="BB292" s="26"/>
      <c r="BC292" s="26"/>
      <c r="BD292" s="26"/>
      <c r="BE292" s="26"/>
      <c r="BF292" s="26"/>
      <c r="BG292" s="26"/>
      <c r="BH292" s="26"/>
      <c r="BI292" s="26"/>
      <c r="BJ292" s="26"/>
      <c r="BK292" s="26"/>
      <c r="BL292" s="26"/>
      <c r="BM292" s="26"/>
      <c r="BN292" s="26"/>
      <c r="BO292" s="26"/>
      <c r="BP292" s="26"/>
      <c r="BQ292" s="26"/>
      <c r="BR292" s="26"/>
      <c r="BS292" s="26"/>
      <c r="BT292" s="26"/>
      <c r="BU292" s="26"/>
      <c r="BV292" s="26"/>
      <c r="BW292" s="26"/>
      <c r="BX292" s="26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26"/>
      <c r="CP292" s="26"/>
      <c r="CQ292" s="26"/>
      <c r="CR292" s="26"/>
      <c r="CS292" s="26"/>
      <c r="CT292" s="26"/>
      <c r="CU292" s="26"/>
      <c r="CV292" s="26"/>
      <c r="CW292" s="26"/>
      <c r="CX292" s="26"/>
      <c r="CY292" s="26"/>
      <c r="CZ292" s="26"/>
    </row>
    <row r="293" spans="1:104" x14ac:dyDescent="0.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6"/>
      <c r="AB293" s="26"/>
      <c r="AC293" s="26"/>
      <c r="AD293" s="26"/>
      <c r="AE293" s="26"/>
      <c r="AF293" s="26"/>
      <c r="AG293" s="26"/>
      <c r="AH293" s="26"/>
      <c r="AI293" s="26"/>
      <c r="AJ293" s="26"/>
      <c r="AK293" s="26"/>
      <c r="AL293" s="26"/>
      <c r="AM293" s="26"/>
      <c r="AN293" s="26"/>
      <c r="AO293" s="26"/>
      <c r="AP293" s="26"/>
      <c r="AQ293" s="26"/>
      <c r="AR293" s="26"/>
      <c r="AS293" s="26"/>
      <c r="AT293" s="26"/>
      <c r="AU293" s="26"/>
      <c r="AV293" s="26"/>
      <c r="AW293" s="26"/>
      <c r="AX293" s="26"/>
      <c r="AY293" s="26"/>
      <c r="AZ293" s="26"/>
      <c r="BA293" s="26"/>
      <c r="BB293" s="26"/>
      <c r="BC293" s="26"/>
      <c r="BD293" s="26"/>
      <c r="BE293" s="26"/>
      <c r="BF293" s="26"/>
      <c r="BG293" s="26"/>
      <c r="BH293" s="26"/>
      <c r="BI293" s="26"/>
      <c r="BJ293" s="26"/>
      <c r="BK293" s="26"/>
      <c r="BL293" s="26"/>
      <c r="BM293" s="26"/>
      <c r="BN293" s="26"/>
      <c r="BO293" s="26"/>
      <c r="BP293" s="26"/>
      <c r="BQ293" s="26"/>
      <c r="BR293" s="26"/>
      <c r="BS293" s="26"/>
      <c r="BT293" s="26"/>
      <c r="BU293" s="26"/>
      <c r="BV293" s="26"/>
      <c r="BW293" s="26"/>
      <c r="BX293" s="26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26"/>
      <c r="CP293" s="26"/>
      <c r="CQ293" s="26"/>
      <c r="CR293" s="26"/>
      <c r="CS293" s="26"/>
      <c r="CT293" s="26"/>
      <c r="CU293" s="26"/>
      <c r="CV293" s="26"/>
      <c r="CW293" s="26"/>
      <c r="CX293" s="26"/>
      <c r="CY293" s="26"/>
      <c r="CZ293" s="26"/>
    </row>
    <row r="294" spans="1:104" x14ac:dyDescent="0.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6"/>
      <c r="AB294" s="26"/>
      <c r="AC294" s="26"/>
      <c r="AD294" s="26"/>
      <c r="AE294" s="26"/>
      <c r="AF294" s="26"/>
      <c r="AG294" s="26"/>
      <c r="AH294" s="26"/>
      <c r="AI294" s="26"/>
      <c r="AJ294" s="26"/>
      <c r="AK294" s="26"/>
      <c r="AL294" s="26"/>
      <c r="AM294" s="26"/>
      <c r="AN294" s="26"/>
      <c r="AO294" s="26"/>
      <c r="AP294" s="26"/>
      <c r="AQ294" s="26"/>
      <c r="AR294" s="26"/>
      <c r="AS294" s="26"/>
      <c r="AT294" s="26"/>
      <c r="AU294" s="26"/>
      <c r="AV294" s="26"/>
      <c r="AW294" s="26"/>
      <c r="AX294" s="26"/>
      <c r="AY294" s="26"/>
      <c r="AZ294" s="26"/>
      <c r="BA294" s="26"/>
      <c r="BB294" s="26"/>
      <c r="BC294" s="26"/>
      <c r="BD294" s="26"/>
      <c r="BE294" s="26"/>
      <c r="BF294" s="26"/>
      <c r="BG294" s="26"/>
      <c r="BH294" s="26"/>
      <c r="BI294" s="26"/>
      <c r="BJ294" s="26"/>
      <c r="BK294" s="26"/>
      <c r="BL294" s="26"/>
      <c r="BM294" s="26"/>
      <c r="BN294" s="26"/>
      <c r="BO294" s="26"/>
      <c r="BP294" s="26"/>
      <c r="BQ294" s="26"/>
      <c r="BR294" s="26"/>
      <c r="BS294" s="26"/>
      <c r="BT294" s="26"/>
      <c r="BU294" s="26"/>
      <c r="BV294" s="26"/>
      <c r="BW294" s="26"/>
      <c r="BX294" s="26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26"/>
      <c r="CP294" s="26"/>
      <c r="CQ294" s="26"/>
      <c r="CR294" s="26"/>
      <c r="CS294" s="26"/>
      <c r="CT294" s="26"/>
      <c r="CU294" s="26"/>
      <c r="CV294" s="26"/>
      <c r="CW294" s="26"/>
      <c r="CX294" s="26"/>
      <c r="CY294" s="26"/>
      <c r="CZ294" s="26"/>
    </row>
    <row r="295" spans="1:104" x14ac:dyDescent="0.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6"/>
      <c r="AB295" s="26"/>
      <c r="AC295" s="26"/>
      <c r="AD295" s="26"/>
      <c r="AE295" s="26"/>
      <c r="AF295" s="26"/>
      <c r="AG295" s="26"/>
      <c r="AH295" s="26"/>
      <c r="AI295" s="26"/>
      <c r="AJ295" s="26"/>
      <c r="AK295" s="26"/>
      <c r="AL295" s="26"/>
      <c r="AM295" s="26"/>
      <c r="AN295" s="26"/>
      <c r="AO295" s="26"/>
      <c r="AP295" s="26"/>
      <c r="AQ295" s="26"/>
      <c r="AR295" s="26"/>
      <c r="AS295" s="26"/>
      <c r="AT295" s="26"/>
      <c r="AU295" s="26"/>
      <c r="AV295" s="26"/>
      <c r="AW295" s="26"/>
      <c r="AX295" s="26"/>
      <c r="AY295" s="26"/>
      <c r="AZ295" s="26"/>
      <c r="BA295" s="26"/>
      <c r="BB295" s="26"/>
      <c r="BC295" s="26"/>
      <c r="BD295" s="26"/>
      <c r="BE295" s="26"/>
      <c r="BF295" s="26"/>
      <c r="BG295" s="26"/>
      <c r="BH295" s="26"/>
      <c r="BI295" s="26"/>
      <c r="BJ295" s="26"/>
      <c r="BK295" s="26"/>
      <c r="BL295" s="26"/>
      <c r="BM295" s="26"/>
      <c r="BN295" s="26"/>
      <c r="BO295" s="26"/>
      <c r="BP295" s="26"/>
      <c r="BQ295" s="26"/>
      <c r="BR295" s="26"/>
      <c r="BS295" s="26"/>
      <c r="BT295" s="26"/>
      <c r="BU295" s="26"/>
      <c r="BV295" s="26"/>
      <c r="BW295" s="26"/>
      <c r="BX295" s="26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26"/>
      <c r="CP295" s="26"/>
      <c r="CQ295" s="26"/>
      <c r="CR295" s="26"/>
      <c r="CS295" s="26"/>
      <c r="CT295" s="26"/>
      <c r="CU295" s="26"/>
      <c r="CV295" s="26"/>
      <c r="CW295" s="26"/>
      <c r="CX295" s="26"/>
      <c r="CY295" s="26"/>
      <c r="CZ295" s="26"/>
    </row>
    <row r="296" spans="1:104" x14ac:dyDescent="0.2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6"/>
      <c r="AB296" s="26"/>
      <c r="AC296" s="26"/>
      <c r="AD296" s="26"/>
      <c r="AE296" s="26"/>
      <c r="AF296" s="26"/>
      <c r="AG296" s="26"/>
      <c r="AH296" s="26"/>
      <c r="AI296" s="26"/>
      <c r="AJ296" s="26"/>
      <c r="AK296" s="26"/>
      <c r="AL296" s="26"/>
      <c r="AM296" s="26"/>
      <c r="AN296" s="26"/>
      <c r="AO296" s="26"/>
      <c r="AP296" s="26"/>
      <c r="AQ296" s="26"/>
      <c r="AR296" s="26"/>
      <c r="AS296" s="26"/>
      <c r="AT296" s="26"/>
      <c r="AU296" s="26"/>
      <c r="AV296" s="26"/>
      <c r="AW296" s="26"/>
      <c r="AX296" s="26"/>
      <c r="AY296" s="26"/>
      <c r="AZ296" s="26"/>
      <c r="BA296" s="26"/>
      <c r="BB296" s="26"/>
      <c r="BC296" s="26"/>
      <c r="BD296" s="26"/>
      <c r="BE296" s="26"/>
      <c r="BF296" s="26"/>
      <c r="BG296" s="26"/>
      <c r="BH296" s="26"/>
      <c r="BI296" s="26"/>
      <c r="BJ296" s="26"/>
      <c r="BK296" s="26"/>
      <c r="BL296" s="26"/>
      <c r="BM296" s="26"/>
      <c r="BN296" s="26"/>
      <c r="BO296" s="26"/>
      <c r="BP296" s="26"/>
      <c r="BQ296" s="26"/>
      <c r="BR296" s="26"/>
      <c r="BS296" s="26"/>
      <c r="BT296" s="26"/>
      <c r="BU296" s="26"/>
      <c r="BV296" s="26"/>
      <c r="BW296" s="26"/>
      <c r="BX296" s="26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26"/>
      <c r="CP296" s="26"/>
      <c r="CQ296" s="26"/>
      <c r="CR296" s="26"/>
      <c r="CS296" s="26"/>
      <c r="CT296" s="26"/>
      <c r="CU296" s="26"/>
      <c r="CV296" s="26"/>
      <c r="CW296" s="26"/>
      <c r="CX296" s="26"/>
      <c r="CY296" s="26"/>
      <c r="CZ296" s="26"/>
    </row>
    <row r="297" spans="1:104" x14ac:dyDescent="0.2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6"/>
      <c r="AB297" s="26"/>
      <c r="AC297" s="26"/>
      <c r="AD297" s="26"/>
      <c r="AE297" s="26"/>
      <c r="AF297" s="26"/>
      <c r="AG297" s="26"/>
      <c r="AH297" s="26"/>
      <c r="AI297" s="26"/>
      <c r="AJ297" s="26"/>
      <c r="AK297" s="26"/>
      <c r="AL297" s="26"/>
      <c r="AM297" s="26"/>
      <c r="AN297" s="26"/>
      <c r="AO297" s="26"/>
      <c r="AP297" s="26"/>
      <c r="AQ297" s="26"/>
      <c r="AR297" s="26"/>
      <c r="AS297" s="26"/>
      <c r="AT297" s="26"/>
      <c r="AU297" s="26"/>
      <c r="AV297" s="26"/>
      <c r="AW297" s="26"/>
      <c r="AX297" s="26"/>
      <c r="AY297" s="26"/>
      <c r="AZ297" s="26"/>
      <c r="BA297" s="26"/>
      <c r="BB297" s="26"/>
      <c r="BC297" s="26"/>
      <c r="BD297" s="26"/>
      <c r="BE297" s="26"/>
      <c r="BF297" s="26"/>
      <c r="BG297" s="26"/>
      <c r="BH297" s="26"/>
      <c r="BI297" s="26"/>
      <c r="BJ297" s="26"/>
      <c r="BK297" s="26"/>
      <c r="BL297" s="26"/>
      <c r="BM297" s="26"/>
      <c r="BN297" s="26"/>
      <c r="BO297" s="26"/>
      <c r="BP297" s="26"/>
      <c r="BQ297" s="26"/>
      <c r="BR297" s="26"/>
      <c r="BS297" s="26"/>
      <c r="BT297" s="26"/>
      <c r="BU297" s="26"/>
      <c r="BV297" s="26"/>
      <c r="BW297" s="26"/>
      <c r="BX297" s="26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26"/>
      <c r="CP297" s="26"/>
      <c r="CQ297" s="26"/>
      <c r="CR297" s="26"/>
      <c r="CS297" s="26"/>
      <c r="CT297" s="26"/>
      <c r="CU297" s="26"/>
      <c r="CV297" s="26"/>
      <c r="CW297" s="26"/>
      <c r="CX297" s="26"/>
      <c r="CY297" s="26"/>
      <c r="CZ297" s="26"/>
    </row>
    <row r="298" spans="1:104" x14ac:dyDescent="0.2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6"/>
      <c r="AB298" s="26"/>
      <c r="AC298" s="26"/>
      <c r="AD298" s="26"/>
      <c r="AE298" s="26"/>
      <c r="AF298" s="26"/>
      <c r="AG298" s="26"/>
      <c r="AH298" s="26"/>
      <c r="AI298" s="26"/>
      <c r="AJ298" s="26"/>
      <c r="AK298" s="26"/>
      <c r="AL298" s="26"/>
      <c r="AM298" s="26"/>
      <c r="AN298" s="26"/>
      <c r="AO298" s="26"/>
      <c r="AP298" s="26"/>
      <c r="AQ298" s="26"/>
      <c r="AR298" s="26"/>
      <c r="AS298" s="26"/>
      <c r="AT298" s="26"/>
      <c r="AU298" s="26"/>
      <c r="AV298" s="26"/>
      <c r="AW298" s="26"/>
      <c r="AX298" s="26"/>
      <c r="AY298" s="26"/>
      <c r="AZ298" s="26"/>
      <c r="BA298" s="26"/>
      <c r="BB298" s="26"/>
      <c r="BC298" s="26"/>
      <c r="BD298" s="26"/>
      <c r="BE298" s="26"/>
      <c r="BF298" s="26"/>
      <c r="BG298" s="26"/>
      <c r="BH298" s="26"/>
      <c r="BI298" s="26"/>
      <c r="BJ298" s="26"/>
      <c r="BK298" s="26"/>
      <c r="BL298" s="26"/>
      <c r="BM298" s="26"/>
      <c r="BN298" s="26"/>
      <c r="BO298" s="26"/>
      <c r="BP298" s="26"/>
      <c r="BQ298" s="26"/>
      <c r="BR298" s="26"/>
      <c r="BS298" s="26"/>
      <c r="BT298" s="26"/>
      <c r="BU298" s="26"/>
      <c r="BV298" s="26"/>
      <c r="BW298" s="26"/>
      <c r="BX298" s="26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26"/>
      <c r="CP298" s="26"/>
      <c r="CQ298" s="26"/>
      <c r="CR298" s="26"/>
      <c r="CS298" s="26"/>
      <c r="CT298" s="26"/>
      <c r="CU298" s="26"/>
      <c r="CV298" s="26"/>
      <c r="CW298" s="26"/>
      <c r="CX298" s="26"/>
      <c r="CY298" s="26"/>
      <c r="CZ298" s="26"/>
    </row>
    <row r="299" spans="1:104" x14ac:dyDescent="0.2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6"/>
      <c r="AB299" s="26"/>
      <c r="AC299" s="26"/>
      <c r="AD299" s="26"/>
      <c r="AE299" s="26"/>
      <c r="AF299" s="26"/>
      <c r="AG299" s="26"/>
      <c r="AH299" s="26"/>
      <c r="AI299" s="26"/>
      <c r="AJ299" s="26"/>
      <c r="AK299" s="26"/>
      <c r="AL299" s="26"/>
      <c r="AM299" s="26"/>
      <c r="AN299" s="26"/>
      <c r="AO299" s="26"/>
      <c r="AP299" s="26"/>
      <c r="AQ299" s="26"/>
      <c r="AR299" s="26"/>
      <c r="AS299" s="26"/>
      <c r="AT299" s="26"/>
      <c r="AU299" s="26"/>
      <c r="AV299" s="26"/>
      <c r="AW299" s="26"/>
      <c r="AX299" s="26"/>
      <c r="AY299" s="26"/>
      <c r="AZ299" s="26"/>
      <c r="BA299" s="26"/>
      <c r="BB299" s="26"/>
      <c r="BC299" s="26"/>
      <c r="BD299" s="26"/>
      <c r="BE299" s="26"/>
      <c r="BF299" s="26"/>
      <c r="BG299" s="26"/>
      <c r="BH299" s="26"/>
      <c r="BI299" s="26"/>
      <c r="BJ299" s="26"/>
      <c r="BK299" s="26"/>
      <c r="BL299" s="26"/>
      <c r="BM299" s="26"/>
      <c r="BN299" s="26"/>
      <c r="BO299" s="26"/>
      <c r="BP299" s="26"/>
      <c r="BQ299" s="26"/>
      <c r="BR299" s="26"/>
      <c r="BS299" s="26"/>
      <c r="BT299" s="26"/>
      <c r="BU299" s="26"/>
      <c r="BV299" s="26"/>
      <c r="BW299" s="26"/>
      <c r="BX299" s="26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26"/>
      <c r="CP299" s="26"/>
      <c r="CQ299" s="26"/>
      <c r="CR299" s="26"/>
      <c r="CS299" s="26"/>
      <c r="CT299" s="26"/>
      <c r="CU299" s="26"/>
      <c r="CV299" s="26"/>
      <c r="CW299" s="26"/>
      <c r="CX299" s="26"/>
      <c r="CY299" s="26"/>
      <c r="CZ299" s="26"/>
    </row>
    <row r="300" spans="1:104" x14ac:dyDescent="0.2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6"/>
      <c r="AB300" s="26"/>
      <c r="AC300" s="26"/>
      <c r="AD300" s="26"/>
      <c r="AE300" s="26"/>
      <c r="AF300" s="26"/>
      <c r="AG300" s="26"/>
      <c r="AH300" s="26"/>
      <c r="AI300" s="26"/>
      <c r="AJ300" s="26"/>
      <c r="AK300" s="26"/>
      <c r="AL300" s="26"/>
      <c r="AM300" s="26"/>
      <c r="AN300" s="26"/>
      <c r="AO300" s="26"/>
      <c r="AP300" s="26"/>
      <c r="AQ300" s="26"/>
      <c r="AR300" s="26"/>
      <c r="AS300" s="26"/>
      <c r="AT300" s="26"/>
      <c r="AU300" s="26"/>
      <c r="AV300" s="26"/>
      <c r="AW300" s="26"/>
      <c r="AX300" s="26"/>
      <c r="AY300" s="26"/>
      <c r="AZ300" s="26"/>
      <c r="BA300" s="26"/>
      <c r="BB300" s="26"/>
      <c r="BC300" s="26"/>
      <c r="BD300" s="26"/>
      <c r="BE300" s="26"/>
      <c r="BF300" s="26"/>
      <c r="BG300" s="26"/>
      <c r="BH300" s="26"/>
      <c r="BI300" s="26"/>
      <c r="BJ300" s="26"/>
      <c r="BK300" s="26"/>
      <c r="BL300" s="26"/>
      <c r="BM300" s="26"/>
      <c r="BN300" s="26"/>
      <c r="BO300" s="26"/>
      <c r="BP300" s="26"/>
      <c r="BQ300" s="26"/>
      <c r="BR300" s="26"/>
      <c r="BS300" s="26"/>
      <c r="BT300" s="26"/>
      <c r="BU300" s="26"/>
      <c r="BV300" s="26"/>
      <c r="BW300" s="26"/>
      <c r="BX300" s="26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26"/>
      <c r="CP300" s="26"/>
      <c r="CQ300" s="26"/>
      <c r="CR300" s="26"/>
      <c r="CS300" s="26"/>
      <c r="CT300" s="26"/>
      <c r="CU300" s="26"/>
      <c r="CV300" s="26"/>
      <c r="CW300" s="26"/>
      <c r="CX300" s="26"/>
      <c r="CY300" s="26"/>
      <c r="CZ300" s="26"/>
    </row>
    <row r="301" spans="1:104" x14ac:dyDescent="0.2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6"/>
      <c r="AB301" s="26"/>
      <c r="AC301" s="26"/>
      <c r="AD301" s="26"/>
      <c r="AE301" s="26"/>
      <c r="AF301" s="26"/>
      <c r="AG301" s="26"/>
      <c r="AH301" s="26"/>
      <c r="AI301" s="26"/>
      <c r="AJ301" s="26"/>
      <c r="AK301" s="26"/>
      <c r="AL301" s="26"/>
      <c r="AM301" s="26"/>
      <c r="AN301" s="26"/>
      <c r="AO301" s="26"/>
      <c r="AP301" s="26"/>
      <c r="AQ301" s="26"/>
      <c r="AR301" s="26"/>
      <c r="AS301" s="26"/>
      <c r="AT301" s="26"/>
      <c r="AU301" s="26"/>
      <c r="AV301" s="26"/>
      <c r="AW301" s="26"/>
      <c r="AX301" s="26"/>
      <c r="AY301" s="26"/>
      <c r="AZ301" s="26"/>
      <c r="BA301" s="26"/>
      <c r="BB301" s="26"/>
      <c r="BC301" s="26"/>
      <c r="BD301" s="26"/>
      <c r="BE301" s="26"/>
      <c r="BF301" s="26"/>
      <c r="BG301" s="26"/>
      <c r="BH301" s="26"/>
      <c r="BI301" s="26"/>
      <c r="BJ301" s="26"/>
      <c r="BK301" s="26"/>
      <c r="BL301" s="26"/>
      <c r="BM301" s="26"/>
      <c r="BN301" s="26"/>
      <c r="BO301" s="26"/>
      <c r="BP301" s="26"/>
      <c r="BQ301" s="26"/>
      <c r="BR301" s="26"/>
      <c r="BS301" s="26"/>
      <c r="BT301" s="26"/>
      <c r="BU301" s="26"/>
      <c r="BV301" s="26"/>
      <c r="BW301" s="26"/>
      <c r="BX301" s="26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26"/>
      <c r="CP301" s="26"/>
      <c r="CQ301" s="26"/>
      <c r="CR301" s="26"/>
      <c r="CS301" s="26"/>
      <c r="CT301" s="26"/>
      <c r="CU301" s="26"/>
      <c r="CV301" s="26"/>
      <c r="CW301" s="26"/>
      <c r="CX301" s="26"/>
      <c r="CY301" s="26"/>
      <c r="CZ301" s="26"/>
    </row>
    <row r="302" spans="1:104" x14ac:dyDescent="0.2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6"/>
      <c r="AB302" s="26"/>
      <c r="AC302" s="26"/>
      <c r="AD302" s="26"/>
      <c r="AE302" s="26"/>
      <c r="AF302" s="26"/>
      <c r="AG302" s="26"/>
      <c r="AH302" s="26"/>
      <c r="AI302" s="26"/>
      <c r="AJ302" s="26"/>
      <c r="AK302" s="26"/>
      <c r="AL302" s="26"/>
      <c r="AM302" s="26"/>
      <c r="AN302" s="26"/>
      <c r="AO302" s="26"/>
      <c r="AP302" s="26"/>
      <c r="AQ302" s="26"/>
      <c r="AR302" s="26"/>
      <c r="AS302" s="26"/>
      <c r="AT302" s="26"/>
      <c r="AU302" s="26"/>
      <c r="AV302" s="26"/>
      <c r="AW302" s="26"/>
      <c r="AX302" s="26"/>
      <c r="AY302" s="26"/>
      <c r="AZ302" s="26"/>
      <c r="BA302" s="26"/>
      <c r="BB302" s="26"/>
      <c r="BC302" s="26"/>
      <c r="BD302" s="26"/>
      <c r="BE302" s="26"/>
      <c r="BF302" s="26"/>
      <c r="BG302" s="26"/>
      <c r="BH302" s="26"/>
      <c r="BI302" s="26"/>
      <c r="BJ302" s="26"/>
      <c r="BK302" s="26"/>
      <c r="BL302" s="26"/>
      <c r="BM302" s="26"/>
      <c r="BN302" s="26"/>
      <c r="BO302" s="26"/>
      <c r="BP302" s="26"/>
      <c r="BQ302" s="26"/>
      <c r="BR302" s="26"/>
      <c r="BS302" s="26"/>
      <c r="BT302" s="26"/>
      <c r="BU302" s="26"/>
      <c r="BV302" s="26"/>
      <c r="BW302" s="26"/>
      <c r="BX302" s="26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K302" s="26"/>
      <c r="CL302" s="26"/>
      <c r="CM302" s="26"/>
      <c r="CN302" s="26"/>
      <c r="CO302" s="26"/>
      <c r="CP302" s="26"/>
      <c r="CQ302" s="26"/>
      <c r="CR302" s="26"/>
      <c r="CS302" s="26"/>
      <c r="CT302" s="26"/>
      <c r="CU302" s="26"/>
      <c r="CV302" s="26"/>
      <c r="CW302" s="26"/>
      <c r="CX302" s="26"/>
      <c r="CY302" s="26"/>
      <c r="CZ302" s="26"/>
    </row>
    <row r="303" spans="1:104" x14ac:dyDescent="0.2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6"/>
      <c r="AB303" s="26"/>
      <c r="AC303" s="26"/>
      <c r="AD303" s="26"/>
      <c r="AE303" s="26"/>
      <c r="AF303" s="26"/>
      <c r="AG303" s="26"/>
      <c r="AH303" s="26"/>
      <c r="AI303" s="26"/>
      <c r="AJ303" s="26"/>
      <c r="AK303" s="26"/>
      <c r="AL303" s="26"/>
      <c r="AM303" s="26"/>
      <c r="AN303" s="26"/>
      <c r="AO303" s="26"/>
      <c r="AP303" s="26"/>
      <c r="AQ303" s="26"/>
      <c r="AR303" s="26"/>
      <c r="AS303" s="26"/>
      <c r="AT303" s="26"/>
      <c r="AU303" s="26"/>
      <c r="AV303" s="26"/>
      <c r="AW303" s="26"/>
      <c r="AX303" s="26"/>
      <c r="AY303" s="26"/>
      <c r="AZ303" s="26"/>
      <c r="BA303" s="26"/>
      <c r="BB303" s="26"/>
      <c r="BC303" s="26"/>
      <c r="BD303" s="26"/>
      <c r="BE303" s="26"/>
      <c r="BF303" s="26"/>
      <c r="BG303" s="26"/>
      <c r="BH303" s="26"/>
      <c r="BI303" s="26"/>
      <c r="BJ303" s="26"/>
      <c r="BK303" s="26"/>
      <c r="BL303" s="26"/>
      <c r="BM303" s="26"/>
      <c r="BN303" s="26"/>
      <c r="BO303" s="26"/>
      <c r="BP303" s="26"/>
      <c r="BQ303" s="26"/>
      <c r="BR303" s="26"/>
      <c r="BS303" s="26"/>
      <c r="BT303" s="26"/>
      <c r="BU303" s="26"/>
      <c r="BV303" s="26"/>
      <c r="BW303" s="26"/>
      <c r="BX303" s="26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K303" s="26"/>
      <c r="CL303" s="26"/>
      <c r="CM303" s="26"/>
      <c r="CN303" s="26"/>
      <c r="CO303" s="26"/>
      <c r="CP303" s="26"/>
      <c r="CQ303" s="26"/>
      <c r="CR303" s="26"/>
      <c r="CS303" s="26"/>
      <c r="CT303" s="26"/>
      <c r="CU303" s="26"/>
      <c r="CV303" s="26"/>
      <c r="CW303" s="26"/>
      <c r="CX303" s="26"/>
      <c r="CY303" s="26"/>
      <c r="CZ303" s="26"/>
    </row>
    <row r="304" spans="1:104" x14ac:dyDescent="0.2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6"/>
      <c r="AB304" s="26"/>
      <c r="AC304" s="26"/>
      <c r="AD304" s="26"/>
      <c r="AE304" s="26"/>
      <c r="AF304" s="26"/>
      <c r="AG304" s="26"/>
      <c r="AH304" s="26"/>
      <c r="AI304" s="26"/>
      <c r="AJ304" s="26"/>
      <c r="AK304" s="26"/>
      <c r="AL304" s="26"/>
      <c r="AM304" s="26"/>
      <c r="AN304" s="26"/>
      <c r="AO304" s="26"/>
      <c r="AP304" s="26"/>
      <c r="AQ304" s="26"/>
      <c r="AR304" s="26"/>
      <c r="AS304" s="26"/>
      <c r="AT304" s="26"/>
      <c r="AU304" s="26"/>
      <c r="AV304" s="26"/>
      <c r="AW304" s="26"/>
      <c r="AX304" s="26"/>
      <c r="AY304" s="26"/>
      <c r="AZ304" s="26"/>
      <c r="BA304" s="26"/>
      <c r="BB304" s="26"/>
      <c r="BC304" s="26"/>
      <c r="BD304" s="26"/>
      <c r="BE304" s="26"/>
      <c r="BF304" s="26"/>
      <c r="BG304" s="26"/>
      <c r="BH304" s="26"/>
      <c r="BI304" s="26"/>
      <c r="BJ304" s="26"/>
      <c r="BK304" s="26"/>
      <c r="BL304" s="26"/>
      <c r="BM304" s="26"/>
      <c r="BN304" s="26"/>
      <c r="BO304" s="26"/>
      <c r="BP304" s="26"/>
      <c r="BQ304" s="26"/>
      <c r="BR304" s="26"/>
      <c r="BS304" s="26"/>
      <c r="BT304" s="26"/>
      <c r="BU304" s="26"/>
      <c r="BV304" s="26"/>
      <c r="BW304" s="26"/>
      <c r="BX304" s="26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K304" s="26"/>
      <c r="CL304" s="26"/>
      <c r="CM304" s="26"/>
      <c r="CN304" s="26"/>
      <c r="CO304" s="26"/>
      <c r="CP304" s="26"/>
      <c r="CQ304" s="26"/>
      <c r="CR304" s="26"/>
      <c r="CS304" s="26"/>
      <c r="CT304" s="26"/>
      <c r="CU304" s="26"/>
      <c r="CV304" s="26"/>
      <c r="CW304" s="26"/>
      <c r="CX304" s="26"/>
      <c r="CY304" s="26"/>
      <c r="CZ304" s="26"/>
    </row>
    <row r="305" spans="1:104" x14ac:dyDescent="0.2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6"/>
      <c r="AB305" s="26"/>
      <c r="AC305" s="26"/>
      <c r="AD305" s="26"/>
      <c r="AE305" s="26"/>
      <c r="AF305" s="26"/>
      <c r="AG305" s="26"/>
      <c r="AH305" s="26"/>
      <c r="AI305" s="26"/>
      <c r="AJ305" s="26"/>
      <c r="AK305" s="26"/>
      <c r="AL305" s="26"/>
      <c r="AM305" s="26"/>
      <c r="AN305" s="26"/>
      <c r="AO305" s="26"/>
      <c r="AP305" s="26"/>
      <c r="AQ305" s="26"/>
      <c r="AR305" s="26"/>
      <c r="AS305" s="26"/>
      <c r="AT305" s="26"/>
      <c r="AU305" s="26"/>
      <c r="AV305" s="26"/>
      <c r="AW305" s="26"/>
      <c r="AX305" s="26"/>
      <c r="AY305" s="26"/>
      <c r="AZ305" s="26"/>
      <c r="BA305" s="26"/>
      <c r="BB305" s="26"/>
      <c r="BC305" s="26"/>
      <c r="BD305" s="26"/>
      <c r="BE305" s="26"/>
      <c r="BF305" s="26"/>
      <c r="BG305" s="26"/>
      <c r="BH305" s="26"/>
      <c r="BI305" s="26"/>
      <c r="BJ305" s="26"/>
      <c r="BK305" s="26"/>
      <c r="BL305" s="26"/>
      <c r="BM305" s="26"/>
      <c r="BN305" s="26"/>
      <c r="BO305" s="26"/>
      <c r="BP305" s="26"/>
      <c r="BQ305" s="26"/>
      <c r="BR305" s="26"/>
      <c r="BS305" s="26"/>
      <c r="BT305" s="26"/>
      <c r="BU305" s="26"/>
      <c r="BV305" s="26"/>
      <c r="BW305" s="26"/>
      <c r="BX305" s="26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K305" s="26"/>
      <c r="CL305" s="26"/>
      <c r="CM305" s="26"/>
      <c r="CN305" s="26"/>
      <c r="CO305" s="26"/>
      <c r="CP305" s="26"/>
      <c r="CQ305" s="26"/>
      <c r="CR305" s="26"/>
      <c r="CS305" s="26"/>
      <c r="CT305" s="26"/>
      <c r="CU305" s="26"/>
      <c r="CV305" s="26"/>
      <c r="CW305" s="26"/>
      <c r="CX305" s="26"/>
      <c r="CY305" s="26"/>
      <c r="CZ305" s="26"/>
    </row>
    <row r="306" spans="1:104" x14ac:dyDescent="0.2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6"/>
      <c r="AB306" s="26"/>
      <c r="AC306" s="26"/>
      <c r="AD306" s="26"/>
      <c r="AE306" s="26"/>
      <c r="AF306" s="26"/>
      <c r="AG306" s="26"/>
      <c r="AH306" s="26"/>
      <c r="AI306" s="26"/>
      <c r="AJ306" s="26"/>
      <c r="AK306" s="26"/>
      <c r="AL306" s="26"/>
      <c r="AM306" s="26"/>
      <c r="AN306" s="26"/>
      <c r="AO306" s="26"/>
      <c r="AP306" s="26"/>
      <c r="AQ306" s="26"/>
      <c r="AR306" s="26"/>
      <c r="AS306" s="26"/>
      <c r="AT306" s="26"/>
      <c r="AU306" s="26"/>
      <c r="AV306" s="26"/>
      <c r="AW306" s="26"/>
      <c r="AX306" s="26"/>
      <c r="AY306" s="26"/>
      <c r="AZ306" s="26"/>
      <c r="BA306" s="26"/>
      <c r="BB306" s="26"/>
      <c r="BC306" s="26"/>
      <c r="BD306" s="26"/>
      <c r="BE306" s="26"/>
      <c r="BF306" s="26"/>
      <c r="BG306" s="26"/>
      <c r="BH306" s="26"/>
      <c r="BI306" s="26"/>
      <c r="BJ306" s="26"/>
      <c r="BK306" s="26"/>
      <c r="BL306" s="26"/>
      <c r="BM306" s="26"/>
      <c r="BN306" s="26"/>
      <c r="BO306" s="26"/>
      <c r="BP306" s="26"/>
      <c r="BQ306" s="26"/>
      <c r="BR306" s="26"/>
      <c r="BS306" s="26"/>
      <c r="BT306" s="26"/>
      <c r="BU306" s="26"/>
      <c r="BV306" s="26"/>
      <c r="BW306" s="26"/>
      <c r="BX306" s="26"/>
      <c r="BY306" s="26"/>
      <c r="BZ306" s="26"/>
      <c r="CA306" s="26"/>
      <c r="CB306" s="26"/>
      <c r="CC306" s="26"/>
      <c r="CD306" s="26"/>
      <c r="CE306" s="26"/>
      <c r="CF306" s="26"/>
      <c r="CG306" s="26"/>
      <c r="CH306" s="26"/>
      <c r="CI306" s="26"/>
      <c r="CJ306" s="26"/>
      <c r="CK306" s="26"/>
      <c r="CL306" s="26"/>
      <c r="CM306" s="26"/>
      <c r="CN306" s="26"/>
      <c r="CO306" s="26"/>
      <c r="CP306" s="26"/>
      <c r="CQ306" s="26"/>
      <c r="CR306" s="26"/>
      <c r="CS306" s="26"/>
      <c r="CT306" s="26"/>
      <c r="CU306" s="26"/>
      <c r="CV306" s="26"/>
      <c r="CW306" s="26"/>
      <c r="CX306" s="26"/>
      <c r="CY306" s="26"/>
      <c r="CZ306" s="26"/>
    </row>
    <row r="307" spans="1:104" x14ac:dyDescent="0.2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6"/>
      <c r="AB307" s="26"/>
      <c r="AC307" s="26"/>
      <c r="AD307" s="26"/>
      <c r="AE307" s="26"/>
      <c r="AF307" s="26"/>
      <c r="AG307" s="26"/>
      <c r="AH307" s="26"/>
      <c r="AI307" s="26"/>
      <c r="AJ307" s="26"/>
      <c r="AK307" s="26"/>
      <c r="AL307" s="26"/>
      <c r="AM307" s="26"/>
      <c r="AN307" s="26"/>
      <c r="AO307" s="26"/>
      <c r="AP307" s="26"/>
      <c r="AQ307" s="26"/>
      <c r="AR307" s="26"/>
      <c r="AS307" s="26"/>
      <c r="AT307" s="26"/>
      <c r="AU307" s="26"/>
      <c r="AV307" s="26"/>
      <c r="AW307" s="26"/>
      <c r="AX307" s="26"/>
      <c r="AY307" s="26"/>
      <c r="AZ307" s="26"/>
      <c r="BA307" s="26"/>
      <c r="BB307" s="26"/>
      <c r="BC307" s="26"/>
      <c r="BD307" s="26"/>
      <c r="BE307" s="26"/>
      <c r="BF307" s="26"/>
      <c r="BG307" s="26"/>
      <c r="BH307" s="26"/>
      <c r="BI307" s="26"/>
      <c r="BJ307" s="26"/>
      <c r="BK307" s="26"/>
      <c r="BL307" s="26"/>
      <c r="BM307" s="26"/>
      <c r="BN307" s="26"/>
      <c r="BO307" s="26"/>
      <c r="BP307" s="26"/>
      <c r="BQ307" s="26"/>
      <c r="BR307" s="26"/>
      <c r="BS307" s="26"/>
      <c r="BT307" s="26"/>
      <c r="BU307" s="26"/>
      <c r="BV307" s="26"/>
      <c r="BW307" s="26"/>
      <c r="BX307" s="26"/>
      <c r="BY307" s="26"/>
      <c r="BZ307" s="26"/>
      <c r="CA307" s="26"/>
      <c r="CB307" s="26"/>
      <c r="CC307" s="26"/>
      <c r="CD307" s="26"/>
      <c r="CE307" s="26"/>
      <c r="CF307" s="26"/>
      <c r="CG307" s="26"/>
      <c r="CH307" s="26"/>
      <c r="CI307" s="26"/>
      <c r="CJ307" s="26"/>
      <c r="CK307" s="26"/>
      <c r="CL307" s="26"/>
      <c r="CM307" s="26"/>
      <c r="CN307" s="26"/>
      <c r="CO307" s="26"/>
      <c r="CP307" s="26"/>
      <c r="CQ307" s="26"/>
      <c r="CR307" s="26"/>
      <c r="CS307" s="26"/>
      <c r="CT307" s="26"/>
      <c r="CU307" s="26"/>
      <c r="CV307" s="26"/>
      <c r="CW307" s="26"/>
      <c r="CX307" s="26"/>
      <c r="CY307" s="26"/>
      <c r="CZ307" s="26"/>
    </row>
    <row r="308" spans="1:104" x14ac:dyDescent="0.2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6"/>
      <c r="AB308" s="26"/>
      <c r="AC308" s="26"/>
      <c r="AD308" s="26"/>
      <c r="AE308" s="26"/>
      <c r="AF308" s="26"/>
      <c r="AG308" s="26"/>
      <c r="AH308" s="26"/>
      <c r="AI308" s="26"/>
      <c r="AJ308" s="26"/>
      <c r="AK308" s="26"/>
      <c r="AL308" s="26"/>
      <c r="AM308" s="26"/>
      <c r="AN308" s="26"/>
      <c r="AO308" s="26"/>
      <c r="AP308" s="26"/>
      <c r="AQ308" s="26"/>
      <c r="AR308" s="26"/>
      <c r="AS308" s="26"/>
      <c r="AT308" s="26"/>
      <c r="AU308" s="26"/>
      <c r="AV308" s="26"/>
      <c r="AW308" s="26"/>
      <c r="AX308" s="26"/>
      <c r="AY308" s="26"/>
      <c r="AZ308" s="26"/>
      <c r="BA308" s="26"/>
      <c r="BB308" s="26"/>
      <c r="BC308" s="26"/>
      <c r="BD308" s="26"/>
      <c r="BE308" s="26"/>
      <c r="BF308" s="26"/>
      <c r="BG308" s="26"/>
      <c r="BH308" s="26"/>
      <c r="BI308" s="26"/>
      <c r="BJ308" s="26"/>
      <c r="BK308" s="26"/>
      <c r="BL308" s="26"/>
      <c r="BM308" s="26"/>
      <c r="BN308" s="26"/>
      <c r="BO308" s="26"/>
      <c r="BP308" s="26"/>
      <c r="BQ308" s="26"/>
      <c r="BR308" s="26"/>
      <c r="BS308" s="26"/>
      <c r="BT308" s="26"/>
      <c r="BU308" s="26"/>
      <c r="BV308" s="26"/>
      <c r="BW308" s="26"/>
      <c r="BX308" s="26"/>
      <c r="BY308" s="26"/>
      <c r="BZ308" s="26"/>
      <c r="CA308" s="26"/>
      <c r="CB308" s="26"/>
      <c r="CC308" s="26"/>
      <c r="CD308" s="26"/>
      <c r="CE308" s="26"/>
      <c r="CF308" s="26"/>
      <c r="CG308" s="26"/>
      <c r="CH308" s="26"/>
      <c r="CI308" s="26"/>
      <c r="CJ308" s="26"/>
      <c r="CK308" s="26"/>
      <c r="CL308" s="26"/>
      <c r="CM308" s="26"/>
      <c r="CN308" s="26"/>
      <c r="CO308" s="26"/>
      <c r="CP308" s="26"/>
      <c r="CQ308" s="26"/>
      <c r="CR308" s="26"/>
      <c r="CS308" s="26"/>
      <c r="CT308" s="26"/>
      <c r="CU308" s="26"/>
      <c r="CV308" s="26"/>
      <c r="CW308" s="26"/>
      <c r="CX308" s="26"/>
      <c r="CY308" s="26"/>
      <c r="CZ308" s="26"/>
    </row>
    <row r="309" spans="1:104" x14ac:dyDescent="0.2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6"/>
      <c r="AB309" s="26"/>
      <c r="AC309" s="26"/>
      <c r="AD309" s="26"/>
      <c r="AE309" s="26"/>
      <c r="AF309" s="26"/>
      <c r="AG309" s="26"/>
      <c r="AH309" s="26"/>
      <c r="AI309" s="26"/>
      <c r="AJ309" s="26"/>
      <c r="AK309" s="26"/>
      <c r="AL309" s="26"/>
      <c r="AM309" s="26"/>
      <c r="AN309" s="26"/>
      <c r="AO309" s="26"/>
      <c r="AP309" s="26"/>
      <c r="AQ309" s="26"/>
      <c r="AR309" s="26"/>
      <c r="AS309" s="26"/>
      <c r="AT309" s="26"/>
      <c r="AU309" s="26"/>
      <c r="AV309" s="26"/>
      <c r="AW309" s="26"/>
      <c r="AX309" s="26"/>
      <c r="AY309" s="26"/>
      <c r="AZ309" s="26"/>
      <c r="BA309" s="26"/>
      <c r="BB309" s="26"/>
      <c r="BC309" s="26"/>
      <c r="BD309" s="26"/>
      <c r="BE309" s="26"/>
      <c r="BF309" s="26"/>
      <c r="BG309" s="26"/>
      <c r="BH309" s="26"/>
      <c r="BI309" s="26"/>
      <c r="BJ309" s="26"/>
      <c r="BK309" s="26"/>
      <c r="BL309" s="26"/>
      <c r="BM309" s="26"/>
      <c r="BN309" s="26"/>
      <c r="BO309" s="26"/>
      <c r="BP309" s="26"/>
      <c r="BQ309" s="26"/>
      <c r="BR309" s="26"/>
      <c r="BS309" s="26"/>
      <c r="BT309" s="26"/>
      <c r="BU309" s="26"/>
      <c r="BV309" s="26"/>
      <c r="BW309" s="26"/>
      <c r="BX309" s="26"/>
      <c r="BY309" s="26"/>
      <c r="BZ309" s="26"/>
      <c r="CA309" s="26"/>
      <c r="CB309" s="26"/>
      <c r="CC309" s="26"/>
      <c r="CD309" s="26"/>
      <c r="CE309" s="26"/>
      <c r="CF309" s="26"/>
      <c r="CG309" s="26"/>
      <c r="CH309" s="26"/>
      <c r="CI309" s="26"/>
      <c r="CJ309" s="26"/>
      <c r="CK309" s="26"/>
      <c r="CL309" s="26"/>
      <c r="CM309" s="26"/>
      <c r="CN309" s="26"/>
      <c r="CO309" s="26"/>
      <c r="CP309" s="26"/>
      <c r="CQ309" s="26"/>
      <c r="CR309" s="26"/>
      <c r="CS309" s="26"/>
      <c r="CT309" s="26"/>
      <c r="CU309" s="26"/>
      <c r="CV309" s="26"/>
      <c r="CW309" s="26"/>
      <c r="CX309" s="26"/>
      <c r="CY309" s="26"/>
      <c r="CZ309" s="26"/>
    </row>
    <row r="310" spans="1:104" x14ac:dyDescent="0.2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6"/>
      <c r="AB310" s="26"/>
      <c r="AC310" s="26"/>
      <c r="AD310" s="26"/>
      <c r="AE310" s="26"/>
      <c r="AF310" s="26"/>
      <c r="AG310" s="26"/>
      <c r="AH310" s="26"/>
      <c r="AI310" s="26"/>
      <c r="AJ310" s="26"/>
      <c r="AK310" s="26"/>
      <c r="AL310" s="26"/>
      <c r="AM310" s="26"/>
      <c r="AN310" s="26"/>
      <c r="AO310" s="26"/>
      <c r="AP310" s="26"/>
      <c r="AQ310" s="26"/>
      <c r="AR310" s="26"/>
      <c r="AS310" s="26"/>
      <c r="AT310" s="26"/>
      <c r="AU310" s="26"/>
      <c r="AV310" s="26"/>
      <c r="AW310" s="26"/>
      <c r="AX310" s="26"/>
      <c r="AY310" s="26"/>
      <c r="AZ310" s="26"/>
      <c r="BA310" s="26"/>
      <c r="BB310" s="26"/>
      <c r="BC310" s="26"/>
      <c r="BD310" s="26"/>
      <c r="BE310" s="26"/>
      <c r="BF310" s="26"/>
      <c r="BG310" s="26"/>
      <c r="BH310" s="26"/>
      <c r="BI310" s="26"/>
      <c r="BJ310" s="26"/>
      <c r="BK310" s="26"/>
      <c r="BL310" s="26"/>
      <c r="BM310" s="26"/>
      <c r="BN310" s="26"/>
      <c r="BO310" s="26"/>
      <c r="BP310" s="26"/>
      <c r="BQ310" s="26"/>
      <c r="BR310" s="26"/>
      <c r="BS310" s="26"/>
      <c r="BT310" s="26"/>
      <c r="BU310" s="26"/>
      <c r="BV310" s="26"/>
      <c r="BW310" s="26"/>
      <c r="BX310" s="26"/>
      <c r="BY310" s="26"/>
      <c r="BZ310" s="26"/>
      <c r="CA310" s="26"/>
      <c r="CB310" s="26"/>
      <c r="CC310" s="26"/>
      <c r="CD310" s="26"/>
      <c r="CE310" s="26"/>
      <c r="CF310" s="26"/>
      <c r="CG310" s="26"/>
      <c r="CH310" s="26"/>
      <c r="CI310" s="26"/>
      <c r="CJ310" s="26"/>
      <c r="CK310" s="26"/>
      <c r="CL310" s="26"/>
      <c r="CM310" s="26"/>
      <c r="CN310" s="26"/>
      <c r="CO310" s="26"/>
      <c r="CP310" s="26"/>
      <c r="CQ310" s="26"/>
      <c r="CR310" s="26"/>
      <c r="CS310" s="26"/>
      <c r="CT310" s="26"/>
      <c r="CU310" s="26"/>
      <c r="CV310" s="26"/>
      <c r="CW310" s="26"/>
      <c r="CX310" s="26"/>
      <c r="CY310" s="26"/>
      <c r="CZ310" s="26"/>
    </row>
    <row r="311" spans="1:104" x14ac:dyDescent="0.2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6"/>
      <c r="AB311" s="26"/>
      <c r="AC311" s="26"/>
      <c r="AD311" s="26"/>
      <c r="AE311" s="26"/>
      <c r="AF311" s="26"/>
      <c r="AG311" s="26"/>
      <c r="AH311" s="26"/>
      <c r="AI311" s="26"/>
      <c r="AJ311" s="26"/>
      <c r="AK311" s="26"/>
      <c r="AL311" s="26"/>
      <c r="AM311" s="26"/>
      <c r="AN311" s="26"/>
      <c r="AO311" s="26"/>
      <c r="AP311" s="26"/>
      <c r="AQ311" s="26"/>
      <c r="AR311" s="26"/>
      <c r="AS311" s="26"/>
      <c r="AT311" s="26"/>
      <c r="AU311" s="26"/>
      <c r="AV311" s="26"/>
      <c r="AW311" s="26"/>
      <c r="AX311" s="26"/>
      <c r="AY311" s="26"/>
      <c r="AZ311" s="26"/>
      <c r="BA311" s="26"/>
      <c r="BB311" s="26"/>
      <c r="BC311" s="26"/>
      <c r="BD311" s="26"/>
      <c r="BE311" s="26"/>
      <c r="BF311" s="26"/>
      <c r="BG311" s="26"/>
      <c r="BH311" s="26"/>
      <c r="BI311" s="26"/>
      <c r="BJ311" s="26"/>
      <c r="BK311" s="26"/>
      <c r="BL311" s="26"/>
      <c r="BM311" s="26"/>
      <c r="BN311" s="26"/>
      <c r="BO311" s="26"/>
      <c r="BP311" s="26"/>
      <c r="BQ311" s="26"/>
      <c r="BR311" s="26"/>
      <c r="BS311" s="26"/>
      <c r="BT311" s="26"/>
      <c r="BU311" s="26"/>
      <c r="BV311" s="26"/>
      <c r="BW311" s="26"/>
      <c r="BX311" s="26"/>
      <c r="BY311" s="26"/>
      <c r="BZ311" s="26"/>
      <c r="CA311" s="26"/>
      <c r="CB311" s="26"/>
      <c r="CC311" s="26"/>
      <c r="CD311" s="26"/>
      <c r="CE311" s="26"/>
      <c r="CF311" s="26"/>
      <c r="CG311" s="26"/>
      <c r="CH311" s="26"/>
      <c r="CI311" s="26"/>
      <c r="CJ311" s="26"/>
      <c r="CK311" s="26"/>
      <c r="CL311" s="26"/>
      <c r="CM311" s="26"/>
      <c r="CN311" s="26"/>
      <c r="CO311" s="26"/>
      <c r="CP311" s="26"/>
      <c r="CQ311" s="26"/>
      <c r="CR311" s="26"/>
      <c r="CS311" s="26"/>
      <c r="CT311" s="26"/>
      <c r="CU311" s="26"/>
      <c r="CV311" s="26"/>
      <c r="CW311" s="26"/>
      <c r="CX311" s="26"/>
      <c r="CY311" s="26"/>
      <c r="CZ311" s="26"/>
    </row>
    <row r="312" spans="1:104" x14ac:dyDescent="0.2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6"/>
      <c r="AB312" s="26"/>
      <c r="AC312" s="26"/>
      <c r="AD312" s="26"/>
      <c r="AE312" s="26"/>
      <c r="AF312" s="26"/>
      <c r="AG312" s="26"/>
      <c r="AH312" s="26"/>
      <c r="AI312" s="26"/>
      <c r="AJ312" s="26"/>
      <c r="AK312" s="26"/>
      <c r="AL312" s="26"/>
      <c r="AM312" s="26"/>
      <c r="AN312" s="26"/>
      <c r="AO312" s="26"/>
      <c r="AP312" s="26"/>
      <c r="AQ312" s="26"/>
      <c r="AR312" s="26"/>
      <c r="AS312" s="26"/>
      <c r="AT312" s="26"/>
      <c r="AU312" s="26"/>
      <c r="AV312" s="26"/>
      <c r="AW312" s="26"/>
      <c r="AX312" s="26"/>
      <c r="AY312" s="26"/>
      <c r="AZ312" s="26"/>
      <c r="BA312" s="26"/>
      <c r="BB312" s="26"/>
      <c r="BC312" s="26"/>
      <c r="BD312" s="26"/>
      <c r="BE312" s="26"/>
      <c r="BF312" s="26"/>
      <c r="BG312" s="26"/>
      <c r="BH312" s="26"/>
      <c r="BI312" s="26"/>
      <c r="BJ312" s="26"/>
      <c r="BK312" s="26"/>
      <c r="BL312" s="26"/>
      <c r="BM312" s="26"/>
      <c r="BN312" s="26"/>
      <c r="BO312" s="26"/>
      <c r="BP312" s="26"/>
      <c r="BQ312" s="26"/>
      <c r="BR312" s="26"/>
      <c r="BS312" s="26"/>
      <c r="BT312" s="26"/>
      <c r="BU312" s="26"/>
      <c r="BV312" s="26"/>
      <c r="BW312" s="26"/>
      <c r="BX312" s="26"/>
      <c r="BY312" s="26"/>
      <c r="BZ312" s="26"/>
      <c r="CA312" s="26"/>
      <c r="CB312" s="26"/>
      <c r="CC312" s="26"/>
      <c r="CD312" s="26"/>
      <c r="CE312" s="26"/>
      <c r="CF312" s="26"/>
      <c r="CG312" s="26"/>
      <c r="CH312" s="26"/>
      <c r="CI312" s="26"/>
      <c r="CJ312" s="26"/>
      <c r="CK312" s="26"/>
      <c r="CL312" s="26"/>
      <c r="CM312" s="26"/>
      <c r="CN312" s="26"/>
      <c r="CO312" s="26"/>
      <c r="CP312" s="26"/>
      <c r="CQ312" s="26"/>
      <c r="CR312" s="26"/>
      <c r="CS312" s="26"/>
      <c r="CT312" s="26"/>
      <c r="CU312" s="26"/>
      <c r="CV312" s="26"/>
      <c r="CW312" s="26"/>
      <c r="CX312" s="26"/>
      <c r="CY312" s="26"/>
      <c r="CZ312" s="26"/>
    </row>
    <row r="313" spans="1:104" x14ac:dyDescent="0.2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6"/>
      <c r="AB313" s="26"/>
      <c r="AC313" s="26"/>
      <c r="AD313" s="26"/>
      <c r="AE313" s="26"/>
      <c r="AF313" s="26"/>
      <c r="AG313" s="26"/>
      <c r="AH313" s="26"/>
      <c r="AI313" s="26"/>
      <c r="AJ313" s="26"/>
      <c r="AK313" s="26"/>
      <c r="AL313" s="26"/>
      <c r="AM313" s="26"/>
      <c r="AN313" s="26"/>
      <c r="AO313" s="26"/>
      <c r="AP313" s="26"/>
      <c r="AQ313" s="26"/>
      <c r="AR313" s="26"/>
      <c r="AS313" s="26"/>
      <c r="AT313" s="26"/>
      <c r="AU313" s="26"/>
      <c r="AV313" s="26"/>
      <c r="AW313" s="26"/>
      <c r="AX313" s="26"/>
      <c r="AY313" s="26"/>
      <c r="AZ313" s="26"/>
      <c r="BA313" s="26"/>
      <c r="BB313" s="26"/>
      <c r="BC313" s="26"/>
      <c r="BD313" s="26"/>
      <c r="BE313" s="26"/>
      <c r="BF313" s="26"/>
      <c r="BG313" s="26"/>
      <c r="BH313" s="26"/>
      <c r="BI313" s="26"/>
      <c r="BJ313" s="26"/>
      <c r="BK313" s="26"/>
      <c r="BL313" s="26"/>
      <c r="BM313" s="26"/>
      <c r="BN313" s="26"/>
      <c r="BO313" s="26"/>
      <c r="BP313" s="26"/>
      <c r="BQ313" s="26"/>
      <c r="BR313" s="26"/>
      <c r="BS313" s="26"/>
      <c r="BT313" s="26"/>
      <c r="BU313" s="26"/>
      <c r="BV313" s="26"/>
      <c r="BW313" s="26"/>
      <c r="BX313" s="26"/>
      <c r="BY313" s="26"/>
      <c r="BZ313" s="26"/>
      <c r="CA313" s="26"/>
      <c r="CB313" s="26"/>
      <c r="CC313" s="26"/>
      <c r="CD313" s="26"/>
      <c r="CE313" s="26"/>
      <c r="CF313" s="26"/>
      <c r="CG313" s="26"/>
      <c r="CH313" s="26"/>
      <c r="CI313" s="26"/>
      <c r="CJ313" s="26"/>
      <c r="CK313" s="26"/>
      <c r="CL313" s="26"/>
      <c r="CM313" s="26"/>
      <c r="CN313" s="26"/>
      <c r="CO313" s="26"/>
      <c r="CP313" s="26"/>
      <c r="CQ313" s="26"/>
      <c r="CR313" s="26"/>
      <c r="CS313" s="26"/>
      <c r="CT313" s="26"/>
      <c r="CU313" s="26"/>
      <c r="CV313" s="26"/>
      <c r="CW313" s="26"/>
      <c r="CX313" s="26"/>
      <c r="CY313" s="26"/>
      <c r="CZ313" s="26"/>
    </row>
    <row r="314" spans="1:104" x14ac:dyDescent="0.2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6"/>
      <c r="AB314" s="26"/>
      <c r="AC314" s="26"/>
      <c r="AD314" s="26"/>
      <c r="AE314" s="26"/>
      <c r="AF314" s="26"/>
      <c r="AG314" s="26"/>
      <c r="AH314" s="26"/>
      <c r="AI314" s="26"/>
      <c r="AJ314" s="26"/>
      <c r="AK314" s="26"/>
      <c r="AL314" s="26"/>
      <c r="AM314" s="26"/>
      <c r="AN314" s="26"/>
      <c r="AO314" s="26"/>
      <c r="AP314" s="26"/>
      <c r="AQ314" s="26"/>
      <c r="AR314" s="26"/>
      <c r="AS314" s="26"/>
      <c r="AT314" s="26"/>
      <c r="AU314" s="26"/>
      <c r="AV314" s="26"/>
      <c r="AW314" s="26"/>
      <c r="AX314" s="26"/>
      <c r="AY314" s="26"/>
      <c r="AZ314" s="26"/>
      <c r="BA314" s="26"/>
      <c r="BB314" s="26"/>
      <c r="BC314" s="26"/>
      <c r="BD314" s="26"/>
      <c r="BE314" s="26"/>
      <c r="BF314" s="26"/>
      <c r="BG314" s="26"/>
      <c r="BH314" s="26"/>
      <c r="BI314" s="26"/>
      <c r="BJ314" s="26"/>
      <c r="BK314" s="26"/>
      <c r="BL314" s="26"/>
      <c r="BM314" s="26"/>
      <c r="BN314" s="26"/>
      <c r="BO314" s="26"/>
      <c r="BP314" s="26"/>
      <c r="BQ314" s="26"/>
      <c r="BR314" s="26"/>
      <c r="BS314" s="26"/>
      <c r="BT314" s="26"/>
      <c r="BU314" s="26"/>
      <c r="BV314" s="26"/>
      <c r="BW314" s="26"/>
      <c r="BX314" s="26"/>
      <c r="BY314" s="26"/>
      <c r="BZ314" s="26"/>
      <c r="CA314" s="26"/>
      <c r="CB314" s="26"/>
      <c r="CC314" s="26"/>
      <c r="CD314" s="26"/>
      <c r="CE314" s="26"/>
      <c r="CF314" s="26"/>
      <c r="CG314" s="26"/>
      <c r="CH314" s="26"/>
      <c r="CI314" s="26"/>
      <c r="CJ314" s="26"/>
      <c r="CK314" s="26"/>
      <c r="CL314" s="26"/>
      <c r="CM314" s="26"/>
      <c r="CN314" s="26"/>
      <c r="CO314" s="26"/>
      <c r="CP314" s="26"/>
      <c r="CQ314" s="26"/>
      <c r="CR314" s="26"/>
      <c r="CS314" s="26"/>
      <c r="CT314" s="26"/>
      <c r="CU314" s="26"/>
      <c r="CV314" s="26"/>
      <c r="CW314" s="26"/>
      <c r="CX314" s="26"/>
      <c r="CY314" s="26"/>
      <c r="CZ314" s="26"/>
    </row>
    <row r="315" spans="1:104" x14ac:dyDescent="0.2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6"/>
      <c r="AB315" s="26"/>
      <c r="AC315" s="26"/>
      <c r="AD315" s="26"/>
      <c r="AE315" s="26"/>
      <c r="AF315" s="26"/>
      <c r="AG315" s="26"/>
      <c r="AH315" s="26"/>
      <c r="AI315" s="26"/>
      <c r="AJ315" s="26"/>
      <c r="AK315" s="26"/>
      <c r="AL315" s="26"/>
      <c r="AM315" s="26"/>
      <c r="AN315" s="26"/>
      <c r="AO315" s="26"/>
      <c r="AP315" s="26"/>
      <c r="AQ315" s="26"/>
      <c r="AR315" s="26"/>
      <c r="AS315" s="26"/>
      <c r="AT315" s="26"/>
      <c r="AU315" s="26"/>
      <c r="AV315" s="26"/>
      <c r="AW315" s="26"/>
      <c r="AX315" s="26"/>
      <c r="AY315" s="26"/>
      <c r="AZ315" s="26"/>
      <c r="BA315" s="26"/>
      <c r="BB315" s="26"/>
      <c r="BC315" s="26"/>
      <c r="BD315" s="26"/>
      <c r="BE315" s="26"/>
      <c r="BF315" s="26"/>
      <c r="BG315" s="26"/>
      <c r="BH315" s="26"/>
      <c r="BI315" s="26"/>
      <c r="BJ315" s="26"/>
      <c r="BK315" s="26"/>
      <c r="BL315" s="26"/>
      <c r="BM315" s="26"/>
      <c r="BN315" s="26"/>
      <c r="BO315" s="26"/>
      <c r="BP315" s="26"/>
      <c r="BQ315" s="26"/>
      <c r="BR315" s="26"/>
      <c r="BS315" s="26"/>
      <c r="BT315" s="26"/>
      <c r="BU315" s="26"/>
      <c r="BV315" s="26"/>
      <c r="BW315" s="26"/>
      <c r="BX315" s="26"/>
      <c r="BY315" s="26"/>
      <c r="BZ315" s="26"/>
      <c r="CA315" s="26"/>
      <c r="CB315" s="26"/>
      <c r="CC315" s="26"/>
      <c r="CD315" s="26"/>
      <c r="CE315" s="26"/>
      <c r="CF315" s="26"/>
      <c r="CG315" s="26"/>
      <c r="CH315" s="26"/>
      <c r="CI315" s="26"/>
      <c r="CJ315" s="26"/>
      <c r="CK315" s="26"/>
      <c r="CL315" s="26"/>
      <c r="CM315" s="26"/>
      <c r="CN315" s="26"/>
      <c r="CO315" s="26"/>
      <c r="CP315" s="26"/>
      <c r="CQ315" s="26"/>
      <c r="CR315" s="26"/>
      <c r="CS315" s="26"/>
      <c r="CT315" s="26"/>
      <c r="CU315" s="26"/>
      <c r="CV315" s="26"/>
      <c r="CW315" s="26"/>
      <c r="CX315" s="26"/>
      <c r="CY315" s="26"/>
      <c r="CZ315" s="26"/>
    </row>
    <row r="316" spans="1:104" x14ac:dyDescent="0.2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6"/>
      <c r="AB316" s="26"/>
      <c r="AC316" s="26"/>
      <c r="AD316" s="26"/>
      <c r="AE316" s="26"/>
      <c r="AF316" s="26"/>
      <c r="AG316" s="26"/>
      <c r="AH316" s="26"/>
      <c r="AI316" s="26"/>
      <c r="AJ316" s="26"/>
      <c r="AK316" s="26"/>
      <c r="AL316" s="26"/>
      <c r="AM316" s="26"/>
      <c r="AN316" s="26"/>
      <c r="AO316" s="26"/>
      <c r="AP316" s="26"/>
      <c r="AQ316" s="26"/>
      <c r="AR316" s="26"/>
      <c r="AS316" s="26"/>
      <c r="AT316" s="26"/>
      <c r="AU316" s="26"/>
      <c r="AV316" s="26"/>
      <c r="AW316" s="26"/>
      <c r="AX316" s="26"/>
      <c r="AY316" s="26"/>
      <c r="AZ316" s="26"/>
      <c r="BA316" s="26"/>
      <c r="BB316" s="26"/>
      <c r="BC316" s="26"/>
      <c r="BD316" s="26"/>
      <c r="BE316" s="26"/>
      <c r="BF316" s="26"/>
      <c r="BG316" s="26"/>
      <c r="BH316" s="26"/>
      <c r="BI316" s="26"/>
      <c r="BJ316" s="26"/>
      <c r="BK316" s="26"/>
      <c r="BL316" s="26"/>
      <c r="BM316" s="26"/>
      <c r="BN316" s="26"/>
      <c r="BO316" s="26"/>
      <c r="BP316" s="26"/>
      <c r="BQ316" s="26"/>
      <c r="BR316" s="26"/>
      <c r="BS316" s="26"/>
      <c r="BT316" s="26"/>
      <c r="BU316" s="26"/>
      <c r="BV316" s="26"/>
      <c r="BW316" s="26"/>
      <c r="BX316" s="26"/>
      <c r="BY316" s="26"/>
      <c r="BZ316" s="26"/>
      <c r="CA316" s="26"/>
      <c r="CB316" s="26"/>
      <c r="CC316" s="26"/>
      <c r="CD316" s="26"/>
      <c r="CE316" s="26"/>
      <c r="CF316" s="26"/>
      <c r="CG316" s="26"/>
      <c r="CH316" s="26"/>
      <c r="CI316" s="26"/>
      <c r="CJ316" s="26"/>
      <c r="CK316" s="26"/>
      <c r="CL316" s="26"/>
      <c r="CM316" s="26"/>
      <c r="CN316" s="26"/>
      <c r="CO316" s="26"/>
      <c r="CP316" s="26"/>
      <c r="CQ316" s="26"/>
      <c r="CR316" s="26"/>
      <c r="CS316" s="26"/>
      <c r="CT316" s="26"/>
      <c r="CU316" s="26"/>
      <c r="CV316" s="26"/>
      <c r="CW316" s="26"/>
      <c r="CX316" s="26"/>
      <c r="CY316" s="26"/>
      <c r="CZ316" s="26"/>
    </row>
    <row r="317" spans="1:104" x14ac:dyDescent="0.2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6"/>
      <c r="AB317" s="26"/>
      <c r="AC317" s="26"/>
      <c r="AD317" s="26"/>
      <c r="AE317" s="26"/>
      <c r="AF317" s="26"/>
      <c r="AG317" s="26"/>
      <c r="AH317" s="26"/>
      <c r="AI317" s="26"/>
      <c r="AJ317" s="26"/>
      <c r="AK317" s="26"/>
      <c r="AL317" s="26"/>
      <c r="AM317" s="26"/>
      <c r="AN317" s="26"/>
      <c r="AO317" s="26"/>
      <c r="AP317" s="26"/>
      <c r="AQ317" s="26"/>
      <c r="AR317" s="26"/>
      <c r="AS317" s="26"/>
      <c r="AT317" s="26"/>
      <c r="AU317" s="26"/>
      <c r="AV317" s="26"/>
      <c r="AW317" s="26"/>
      <c r="AX317" s="26"/>
      <c r="AY317" s="26"/>
      <c r="AZ317" s="26"/>
      <c r="BA317" s="26"/>
      <c r="BB317" s="26"/>
      <c r="BC317" s="26"/>
      <c r="BD317" s="26"/>
      <c r="BE317" s="26"/>
      <c r="BF317" s="26"/>
      <c r="BG317" s="26"/>
      <c r="BH317" s="26"/>
      <c r="BI317" s="26"/>
      <c r="BJ317" s="26"/>
      <c r="BK317" s="26"/>
      <c r="BL317" s="26"/>
      <c r="BM317" s="26"/>
      <c r="BN317" s="26"/>
      <c r="BO317" s="26"/>
      <c r="BP317" s="26"/>
      <c r="BQ317" s="26"/>
      <c r="BR317" s="26"/>
      <c r="BS317" s="26"/>
      <c r="BT317" s="26"/>
      <c r="BU317" s="26"/>
      <c r="BV317" s="26"/>
      <c r="BW317" s="26"/>
      <c r="BX317" s="26"/>
      <c r="BY317" s="26"/>
      <c r="BZ317" s="26"/>
      <c r="CA317" s="26"/>
      <c r="CB317" s="26"/>
      <c r="CC317" s="26"/>
      <c r="CD317" s="26"/>
      <c r="CE317" s="26"/>
      <c r="CF317" s="26"/>
      <c r="CG317" s="26"/>
      <c r="CH317" s="26"/>
      <c r="CI317" s="26"/>
      <c r="CJ317" s="26"/>
      <c r="CK317" s="26"/>
      <c r="CL317" s="26"/>
      <c r="CM317" s="26"/>
      <c r="CN317" s="26"/>
      <c r="CO317" s="26"/>
      <c r="CP317" s="26"/>
      <c r="CQ317" s="26"/>
      <c r="CR317" s="26"/>
      <c r="CS317" s="26"/>
      <c r="CT317" s="26"/>
      <c r="CU317" s="26"/>
      <c r="CV317" s="26"/>
      <c r="CW317" s="26"/>
      <c r="CX317" s="26"/>
      <c r="CY317" s="26"/>
      <c r="CZ317" s="26"/>
    </row>
    <row r="318" spans="1:104" x14ac:dyDescent="0.2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6"/>
      <c r="AB318" s="26"/>
      <c r="AC318" s="26"/>
      <c r="AD318" s="26"/>
      <c r="AE318" s="26"/>
      <c r="AF318" s="26"/>
      <c r="AG318" s="26"/>
      <c r="AH318" s="26"/>
      <c r="AI318" s="26"/>
      <c r="AJ318" s="26"/>
      <c r="AK318" s="26"/>
      <c r="AL318" s="26"/>
      <c r="AM318" s="26"/>
      <c r="AN318" s="26"/>
      <c r="AO318" s="26"/>
      <c r="AP318" s="26"/>
      <c r="AQ318" s="26"/>
      <c r="AR318" s="26"/>
      <c r="AS318" s="26"/>
      <c r="AT318" s="26"/>
      <c r="AU318" s="26"/>
      <c r="AV318" s="26"/>
      <c r="AW318" s="26"/>
      <c r="AX318" s="26"/>
      <c r="AY318" s="26"/>
      <c r="AZ318" s="26"/>
      <c r="BA318" s="26"/>
      <c r="BB318" s="26"/>
      <c r="BC318" s="26"/>
      <c r="BD318" s="26"/>
      <c r="BE318" s="26"/>
      <c r="BF318" s="26"/>
      <c r="BG318" s="26"/>
      <c r="BH318" s="26"/>
      <c r="BI318" s="26"/>
      <c r="BJ318" s="26"/>
      <c r="BK318" s="26"/>
      <c r="BL318" s="26"/>
      <c r="BM318" s="26"/>
      <c r="BN318" s="26"/>
      <c r="BO318" s="26"/>
      <c r="BP318" s="26"/>
      <c r="BQ318" s="26"/>
      <c r="BR318" s="26"/>
      <c r="BS318" s="26"/>
      <c r="BT318" s="26"/>
      <c r="BU318" s="26"/>
      <c r="BV318" s="26"/>
      <c r="BW318" s="26"/>
      <c r="BX318" s="26"/>
      <c r="BY318" s="26"/>
      <c r="BZ318" s="26"/>
      <c r="CA318" s="26"/>
      <c r="CB318" s="26"/>
      <c r="CC318" s="26"/>
      <c r="CD318" s="26"/>
      <c r="CE318" s="26"/>
      <c r="CF318" s="26"/>
      <c r="CG318" s="26"/>
      <c r="CH318" s="26"/>
      <c r="CI318" s="26"/>
      <c r="CJ318" s="26"/>
      <c r="CK318" s="26"/>
      <c r="CL318" s="26"/>
      <c r="CM318" s="26"/>
      <c r="CN318" s="26"/>
      <c r="CO318" s="26"/>
      <c r="CP318" s="26"/>
      <c r="CQ318" s="26"/>
      <c r="CR318" s="26"/>
      <c r="CS318" s="26"/>
      <c r="CT318" s="26"/>
      <c r="CU318" s="26"/>
      <c r="CV318" s="26"/>
      <c r="CW318" s="26"/>
      <c r="CX318" s="26"/>
      <c r="CY318" s="26"/>
      <c r="CZ318" s="26"/>
    </row>
    <row r="319" spans="1:104" x14ac:dyDescent="0.2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6"/>
      <c r="AB319" s="26"/>
      <c r="AC319" s="26"/>
      <c r="AD319" s="26"/>
      <c r="AE319" s="26"/>
      <c r="AF319" s="26"/>
      <c r="AG319" s="26"/>
      <c r="AH319" s="26"/>
      <c r="AI319" s="26"/>
      <c r="AJ319" s="26"/>
      <c r="AK319" s="26"/>
      <c r="AL319" s="26"/>
      <c r="AM319" s="26"/>
      <c r="AN319" s="26"/>
      <c r="AO319" s="26"/>
      <c r="AP319" s="26"/>
      <c r="AQ319" s="26"/>
      <c r="AR319" s="26"/>
      <c r="AS319" s="26"/>
      <c r="AT319" s="26"/>
      <c r="AU319" s="26"/>
      <c r="AV319" s="26"/>
      <c r="AW319" s="26"/>
      <c r="AX319" s="26"/>
      <c r="AY319" s="26"/>
      <c r="AZ319" s="26"/>
      <c r="BA319" s="26"/>
      <c r="BB319" s="26"/>
      <c r="BC319" s="26"/>
      <c r="BD319" s="26"/>
      <c r="BE319" s="26"/>
      <c r="BF319" s="26"/>
      <c r="BG319" s="26"/>
      <c r="BH319" s="26"/>
      <c r="BI319" s="26"/>
      <c r="BJ319" s="26"/>
      <c r="BK319" s="26"/>
      <c r="BL319" s="26"/>
      <c r="BM319" s="26"/>
      <c r="BN319" s="26"/>
      <c r="BO319" s="26"/>
      <c r="BP319" s="26"/>
      <c r="BQ319" s="26"/>
      <c r="BR319" s="26"/>
      <c r="BS319" s="26"/>
      <c r="BT319" s="26"/>
      <c r="BU319" s="26"/>
      <c r="BV319" s="26"/>
      <c r="BW319" s="26"/>
      <c r="BX319" s="26"/>
      <c r="BY319" s="26"/>
      <c r="BZ319" s="26"/>
      <c r="CA319" s="26"/>
      <c r="CB319" s="26"/>
      <c r="CC319" s="26"/>
      <c r="CD319" s="26"/>
      <c r="CE319" s="26"/>
      <c r="CF319" s="26"/>
      <c r="CG319" s="26"/>
      <c r="CH319" s="26"/>
      <c r="CI319" s="26"/>
      <c r="CJ319" s="26"/>
      <c r="CK319" s="26"/>
      <c r="CL319" s="26"/>
      <c r="CM319" s="26"/>
      <c r="CN319" s="26"/>
      <c r="CO319" s="26"/>
      <c r="CP319" s="26"/>
      <c r="CQ319" s="26"/>
      <c r="CR319" s="26"/>
      <c r="CS319" s="26"/>
      <c r="CT319" s="26"/>
      <c r="CU319" s="26"/>
      <c r="CV319" s="26"/>
      <c r="CW319" s="26"/>
      <c r="CX319" s="26"/>
      <c r="CY319" s="26"/>
      <c r="CZ319" s="26"/>
    </row>
    <row r="320" spans="1:104" x14ac:dyDescent="0.2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6"/>
      <c r="AB320" s="26"/>
      <c r="AC320" s="26"/>
      <c r="AD320" s="26"/>
      <c r="AE320" s="26"/>
      <c r="AF320" s="26"/>
      <c r="AG320" s="26"/>
      <c r="AH320" s="26"/>
      <c r="AI320" s="26"/>
      <c r="AJ320" s="26"/>
      <c r="AK320" s="26"/>
      <c r="AL320" s="26"/>
      <c r="AM320" s="26"/>
      <c r="AN320" s="26"/>
      <c r="AO320" s="26"/>
      <c r="AP320" s="26"/>
      <c r="AQ320" s="26"/>
      <c r="AR320" s="26"/>
      <c r="AS320" s="26"/>
      <c r="AT320" s="26"/>
      <c r="AU320" s="26"/>
      <c r="AV320" s="26"/>
      <c r="AW320" s="26"/>
      <c r="AX320" s="26"/>
      <c r="AY320" s="26"/>
      <c r="AZ320" s="26"/>
      <c r="BA320" s="26"/>
      <c r="BB320" s="26"/>
      <c r="BC320" s="26"/>
      <c r="BD320" s="26"/>
      <c r="BE320" s="26"/>
      <c r="BF320" s="26"/>
      <c r="BG320" s="26"/>
      <c r="BH320" s="26"/>
      <c r="BI320" s="26"/>
      <c r="BJ320" s="26"/>
      <c r="BK320" s="26"/>
      <c r="BL320" s="26"/>
      <c r="BM320" s="26"/>
      <c r="BN320" s="26"/>
      <c r="BO320" s="26"/>
      <c r="BP320" s="26"/>
      <c r="BQ320" s="26"/>
      <c r="BR320" s="26"/>
      <c r="BS320" s="26"/>
      <c r="BT320" s="26"/>
      <c r="BU320" s="26"/>
      <c r="BV320" s="26"/>
      <c r="BW320" s="26"/>
      <c r="BX320" s="26"/>
      <c r="BY320" s="26"/>
      <c r="BZ320" s="26"/>
      <c r="CA320" s="26"/>
      <c r="CB320" s="26"/>
      <c r="CC320" s="26"/>
      <c r="CD320" s="26"/>
      <c r="CE320" s="26"/>
      <c r="CF320" s="26"/>
      <c r="CG320" s="26"/>
      <c r="CH320" s="26"/>
      <c r="CI320" s="26"/>
      <c r="CJ320" s="26"/>
      <c r="CK320" s="26"/>
      <c r="CL320" s="26"/>
      <c r="CM320" s="26"/>
      <c r="CN320" s="26"/>
      <c r="CO320" s="26"/>
      <c r="CP320" s="26"/>
      <c r="CQ320" s="26"/>
      <c r="CR320" s="26"/>
      <c r="CS320" s="26"/>
      <c r="CT320" s="26"/>
      <c r="CU320" s="26"/>
      <c r="CV320" s="26"/>
      <c r="CW320" s="26"/>
      <c r="CX320" s="26"/>
      <c r="CY320" s="26"/>
      <c r="CZ320" s="26"/>
    </row>
    <row r="321" spans="1:104" x14ac:dyDescent="0.2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6"/>
      <c r="AB321" s="26"/>
      <c r="AC321" s="26"/>
      <c r="AD321" s="26"/>
      <c r="AE321" s="26"/>
      <c r="AF321" s="26"/>
      <c r="AG321" s="26"/>
      <c r="AH321" s="26"/>
      <c r="AI321" s="26"/>
      <c r="AJ321" s="26"/>
      <c r="AK321" s="26"/>
      <c r="AL321" s="26"/>
      <c r="AM321" s="26"/>
      <c r="AN321" s="26"/>
      <c r="AO321" s="26"/>
      <c r="AP321" s="26"/>
      <c r="AQ321" s="26"/>
      <c r="AR321" s="26"/>
      <c r="AS321" s="26"/>
      <c r="AT321" s="26"/>
      <c r="AU321" s="26"/>
      <c r="AV321" s="26"/>
      <c r="AW321" s="26"/>
      <c r="AX321" s="26"/>
      <c r="AY321" s="26"/>
      <c r="AZ321" s="26"/>
      <c r="BA321" s="26"/>
      <c r="BB321" s="26"/>
      <c r="BC321" s="26"/>
      <c r="BD321" s="26"/>
      <c r="BE321" s="26"/>
      <c r="BF321" s="26"/>
      <c r="BG321" s="26"/>
      <c r="BH321" s="26"/>
      <c r="BI321" s="26"/>
      <c r="BJ321" s="26"/>
      <c r="BK321" s="26"/>
      <c r="BL321" s="26"/>
      <c r="BM321" s="26"/>
      <c r="BN321" s="26"/>
      <c r="BO321" s="26"/>
      <c r="BP321" s="26"/>
      <c r="BQ321" s="26"/>
      <c r="BR321" s="26"/>
      <c r="BS321" s="26"/>
      <c r="BT321" s="26"/>
      <c r="BU321" s="26"/>
      <c r="BV321" s="26"/>
      <c r="BW321" s="26"/>
      <c r="BX321" s="26"/>
      <c r="BY321" s="26"/>
      <c r="BZ321" s="26"/>
      <c r="CA321" s="26"/>
      <c r="CB321" s="26"/>
      <c r="CC321" s="26"/>
      <c r="CD321" s="26"/>
      <c r="CE321" s="26"/>
      <c r="CF321" s="26"/>
      <c r="CG321" s="26"/>
      <c r="CH321" s="26"/>
      <c r="CI321" s="26"/>
      <c r="CJ321" s="26"/>
      <c r="CK321" s="26"/>
      <c r="CL321" s="26"/>
      <c r="CM321" s="26"/>
      <c r="CN321" s="26"/>
      <c r="CO321" s="26"/>
      <c r="CP321" s="26"/>
      <c r="CQ321" s="26"/>
      <c r="CR321" s="26"/>
      <c r="CS321" s="26"/>
      <c r="CT321" s="26"/>
      <c r="CU321" s="26"/>
      <c r="CV321" s="26"/>
      <c r="CW321" s="26"/>
      <c r="CX321" s="26"/>
      <c r="CY321" s="26"/>
      <c r="CZ321" s="26"/>
    </row>
    <row r="322" spans="1:104" x14ac:dyDescent="0.2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6"/>
      <c r="AB322" s="26"/>
      <c r="AC322" s="26"/>
      <c r="AD322" s="26"/>
      <c r="AE322" s="26"/>
      <c r="AF322" s="26"/>
      <c r="AG322" s="26"/>
      <c r="AH322" s="26"/>
      <c r="AI322" s="26"/>
      <c r="AJ322" s="26"/>
      <c r="AK322" s="26"/>
      <c r="AL322" s="26"/>
      <c r="AM322" s="26"/>
      <c r="AN322" s="26"/>
      <c r="AO322" s="26"/>
      <c r="AP322" s="26"/>
      <c r="AQ322" s="26"/>
      <c r="AR322" s="26"/>
      <c r="AS322" s="26"/>
      <c r="AT322" s="26"/>
      <c r="AU322" s="26"/>
      <c r="AV322" s="26"/>
      <c r="AW322" s="26"/>
      <c r="AX322" s="26"/>
      <c r="AY322" s="26"/>
      <c r="AZ322" s="26"/>
      <c r="BA322" s="26"/>
      <c r="BB322" s="26"/>
      <c r="BC322" s="26"/>
      <c r="BD322" s="26"/>
      <c r="BE322" s="26"/>
      <c r="BF322" s="26"/>
      <c r="BG322" s="26"/>
      <c r="BH322" s="26"/>
      <c r="BI322" s="26"/>
      <c r="BJ322" s="26"/>
      <c r="BK322" s="26"/>
      <c r="BL322" s="26"/>
      <c r="BM322" s="26"/>
      <c r="BN322" s="26"/>
      <c r="BO322" s="26"/>
      <c r="BP322" s="26"/>
      <c r="BQ322" s="26"/>
      <c r="BR322" s="26"/>
      <c r="BS322" s="26"/>
      <c r="BT322" s="26"/>
      <c r="BU322" s="26"/>
      <c r="BV322" s="26"/>
      <c r="BW322" s="26"/>
      <c r="BX322" s="26"/>
      <c r="BY322" s="26"/>
      <c r="BZ322" s="26"/>
      <c r="CA322" s="26"/>
      <c r="CB322" s="26"/>
      <c r="CC322" s="26"/>
      <c r="CD322" s="26"/>
      <c r="CE322" s="26"/>
      <c r="CF322" s="26"/>
      <c r="CG322" s="26"/>
      <c r="CH322" s="26"/>
      <c r="CI322" s="26"/>
      <c r="CJ322" s="26"/>
      <c r="CK322" s="26"/>
      <c r="CL322" s="26"/>
      <c r="CM322" s="26"/>
      <c r="CN322" s="26"/>
      <c r="CO322" s="26"/>
      <c r="CP322" s="26"/>
      <c r="CQ322" s="26"/>
      <c r="CR322" s="26"/>
      <c r="CS322" s="26"/>
      <c r="CT322" s="26"/>
      <c r="CU322" s="26"/>
      <c r="CV322" s="26"/>
      <c r="CW322" s="26"/>
      <c r="CX322" s="26"/>
      <c r="CY322" s="26"/>
      <c r="CZ322" s="26"/>
    </row>
    <row r="323" spans="1:104" x14ac:dyDescent="0.2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6"/>
      <c r="AB323" s="26"/>
      <c r="AC323" s="26"/>
      <c r="AD323" s="26"/>
      <c r="AE323" s="26"/>
      <c r="AF323" s="26"/>
      <c r="AG323" s="26"/>
      <c r="AH323" s="26"/>
      <c r="AI323" s="26"/>
      <c r="AJ323" s="26"/>
      <c r="AK323" s="26"/>
      <c r="AL323" s="26"/>
      <c r="AM323" s="26"/>
      <c r="AN323" s="26"/>
      <c r="AO323" s="26"/>
      <c r="AP323" s="26"/>
      <c r="AQ323" s="26"/>
      <c r="AR323" s="26"/>
      <c r="AS323" s="26"/>
      <c r="AT323" s="26"/>
      <c r="AU323" s="26"/>
      <c r="AV323" s="26"/>
      <c r="AW323" s="26"/>
      <c r="AX323" s="26"/>
      <c r="AY323" s="26"/>
      <c r="AZ323" s="26"/>
      <c r="BA323" s="26"/>
      <c r="BB323" s="26"/>
      <c r="BC323" s="26"/>
      <c r="BD323" s="26"/>
      <c r="BE323" s="26"/>
      <c r="BF323" s="26"/>
      <c r="BG323" s="26"/>
      <c r="BH323" s="26"/>
      <c r="BI323" s="26"/>
      <c r="BJ323" s="26"/>
      <c r="BK323" s="26"/>
      <c r="BL323" s="26"/>
      <c r="BM323" s="26"/>
      <c r="BN323" s="26"/>
      <c r="BO323" s="26"/>
      <c r="BP323" s="26"/>
      <c r="BQ323" s="26"/>
      <c r="BR323" s="26"/>
      <c r="BS323" s="26"/>
      <c r="BT323" s="26"/>
      <c r="BU323" s="26"/>
      <c r="BV323" s="26"/>
      <c r="BW323" s="26"/>
      <c r="BX323" s="26"/>
      <c r="BY323" s="26"/>
      <c r="BZ323" s="26"/>
      <c r="CA323" s="26"/>
      <c r="CB323" s="26"/>
      <c r="CC323" s="26"/>
      <c r="CD323" s="26"/>
      <c r="CE323" s="26"/>
      <c r="CF323" s="26"/>
      <c r="CG323" s="26"/>
      <c r="CH323" s="26"/>
      <c r="CI323" s="26"/>
      <c r="CJ323" s="26"/>
      <c r="CK323" s="26"/>
      <c r="CL323" s="26"/>
      <c r="CM323" s="26"/>
      <c r="CN323" s="26"/>
      <c r="CO323" s="26"/>
      <c r="CP323" s="26"/>
      <c r="CQ323" s="26"/>
      <c r="CR323" s="26"/>
      <c r="CS323" s="26"/>
      <c r="CT323" s="26"/>
      <c r="CU323" s="26"/>
      <c r="CV323" s="26"/>
      <c r="CW323" s="26"/>
      <c r="CX323" s="26"/>
      <c r="CY323" s="26"/>
      <c r="CZ323" s="26"/>
    </row>
    <row r="324" spans="1:104" x14ac:dyDescent="0.2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6"/>
      <c r="AB324" s="26"/>
      <c r="AC324" s="26"/>
      <c r="AD324" s="26"/>
      <c r="AE324" s="26"/>
      <c r="AF324" s="26"/>
      <c r="AG324" s="26"/>
      <c r="AH324" s="26"/>
      <c r="AI324" s="26"/>
      <c r="AJ324" s="26"/>
      <c r="AK324" s="26"/>
      <c r="AL324" s="26"/>
      <c r="AM324" s="26"/>
      <c r="AN324" s="26"/>
      <c r="AO324" s="26"/>
      <c r="AP324" s="26"/>
      <c r="AQ324" s="26"/>
      <c r="AR324" s="26"/>
      <c r="AS324" s="26"/>
      <c r="AT324" s="26"/>
      <c r="AU324" s="26"/>
      <c r="AV324" s="26"/>
      <c r="AW324" s="26"/>
      <c r="AX324" s="26"/>
      <c r="AY324" s="26"/>
      <c r="AZ324" s="26"/>
      <c r="BA324" s="26"/>
      <c r="BB324" s="26"/>
      <c r="BC324" s="26"/>
      <c r="BD324" s="26"/>
      <c r="BE324" s="26"/>
      <c r="BF324" s="26"/>
      <c r="BG324" s="26"/>
      <c r="BH324" s="26"/>
      <c r="BI324" s="26"/>
      <c r="BJ324" s="26"/>
      <c r="BK324" s="26"/>
      <c r="BL324" s="26"/>
      <c r="BM324" s="26"/>
      <c r="BN324" s="26"/>
      <c r="BO324" s="26"/>
      <c r="BP324" s="26"/>
      <c r="BQ324" s="26"/>
      <c r="BR324" s="26"/>
      <c r="BS324" s="26"/>
      <c r="BT324" s="26"/>
      <c r="BU324" s="26"/>
      <c r="BV324" s="26"/>
      <c r="BW324" s="26"/>
      <c r="BX324" s="26"/>
      <c r="BY324" s="26"/>
      <c r="BZ324" s="26"/>
      <c r="CA324" s="26"/>
      <c r="CB324" s="26"/>
      <c r="CC324" s="26"/>
      <c r="CD324" s="26"/>
      <c r="CE324" s="26"/>
      <c r="CF324" s="26"/>
      <c r="CG324" s="26"/>
      <c r="CH324" s="26"/>
      <c r="CI324" s="26"/>
      <c r="CJ324" s="26"/>
      <c r="CK324" s="26"/>
      <c r="CL324" s="26"/>
      <c r="CM324" s="26"/>
      <c r="CN324" s="26"/>
      <c r="CO324" s="26"/>
      <c r="CP324" s="26"/>
      <c r="CQ324" s="26"/>
      <c r="CR324" s="26"/>
      <c r="CS324" s="26"/>
      <c r="CT324" s="26"/>
      <c r="CU324" s="26"/>
      <c r="CV324" s="26"/>
      <c r="CW324" s="26"/>
      <c r="CX324" s="26"/>
      <c r="CY324" s="26"/>
      <c r="CZ324" s="26"/>
    </row>
    <row r="325" spans="1:104" x14ac:dyDescent="0.2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6"/>
      <c r="AB325" s="26"/>
      <c r="AC325" s="26"/>
      <c r="AD325" s="26"/>
      <c r="AE325" s="26"/>
      <c r="AF325" s="26"/>
      <c r="AG325" s="26"/>
      <c r="AH325" s="26"/>
      <c r="AI325" s="26"/>
      <c r="AJ325" s="26"/>
      <c r="AK325" s="26"/>
      <c r="AL325" s="26"/>
      <c r="AM325" s="26"/>
      <c r="AN325" s="26"/>
      <c r="AO325" s="26"/>
      <c r="AP325" s="26"/>
      <c r="AQ325" s="26"/>
      <c r="AR325" s="26"/>
      <c r="AS325" s="26"/>
      <c r="AT325" s="26"/>
      <c r="AU325" s="26"/>
      <c r="AV325" s="26"/>
      <c r="AW325" s="26"/>
      <c r="AX325" s="26"/>
      <c r="AY325" s="26"/>
      <c r="AZ325" s="26"/>
      <c r="BA325" s="26"/>
      <c r="BB325" s="26"/>
      <c r="BC325" s="26"/>
      <c r="BD325" s="26"/>
      <c r="BE325" s="26"/>
      <c r="BF325" s="26"/>
      <c r="BG325" s="26"/>
      <c r="BH325" s="26"/>
      <c r="BI325" s="26"/>
      <c r="BJ325" s="26"/>
      <c r="BK325" s="26"/>
      <c r="BL325" s="26"/>
      <c r="BM325" s="26"/>
      <c r="BN325" s="26"/>
      <c r="BO325" s="26"/>
      <c r="BP325" s="26"/>
      <c r="BQ325" s="26"/>
      <c r="BR325" s="26"/>
      <c r="BS325" s="26"/>
      <c r="BT325" s="26"/>
      <c r="BU325" s="26"/>
      <c r="BV325" s="26"/>
      <c r="BW325" s="26"/>
      <c r="BX325" s="26"/>
      <c r="BY325" s="26"/>
      <c r="BZ325" s="26"/>
      <c r="CA325" s="26"/>
      <c r="CB325" s="26"/>
      <c r="CC325" s="26"/>
      <c r="CD325" s="26"/>
      <c r="CE325" s="26"/>
      <c r="CF325" s="26"/>
      <c r="CG325" s="26"/>
      <c r="CH325" s="26"/>
      <c r="CI325" s="26"/>
      <c r="CJ325" s="26"/>
      <c r="CK325" s="26"/>
      <c r="CL325" s="26"/>
      <c r="CM325" s="26"/>
      <c r="CN325" s="26"/>
      <c r="CO325" s="26"/>
      <c r="CP325" s="26"/>
      <c r="CQ325" s="26"/>
      <c r="CR325" s="26"/>
      <c r="CS325" s="26"/>
      <c r="CT325" s="26"/>
      <c r="CU325" s="26"/>
      <c r="CV325" s="26"/>
      <c r="CW325" s="26"/>
      <c r="CX325" s="26"/>
      <c r="CY325" s="26"/>
      <c r="CZ325" s="26"/>
    </row>
    <row r="326" spans="1:104" x14ac:dyDescent="0.2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6"/>
      <c r="AB326" s="26"/>
      <c r="AC326" s="26"/>
      <c r="AD326" s="26"/>
      <c r="AE326" s="26"/>
      <c r="AF326" s="26"/>
      <c r="AG326" s="26"/>
      <c r="AH326" s="26"/>
      <c r="AI326" s="26"/>
      <c r="AJ326" s="26"/>
      <c r="AK326" s="26"/>
      <c r="AL326" s="26"/>
      <c r="AM326" s="26"/>
      <c r="AN326" s="26"/>
      <c r="AO326" s="26"/>
      <c r="AP326" s="26"/>
      <c r="AQ326" s="26"/>
      <c r="AR326" s="26"/>
      <c r="AS326" s="26"/>
      <c r="AT326" s="26"/>
      <c r="AU326" s="26"/>
      <c r="AV326" s="26"/>
      <c r="AW326" s="26"/>
      <c r="AX326" s="26"/>
      <c r="AY326" s="26"/>
      <c r="AZ326" s="26"/>
      <c r="BA326" s="26"/>
      <c r="BB326" s="26"/>
      <c r="BC326" s="26"/>
      <c r="BD326" s="26"/>
      <c r="BE326" s="26"/>
      <c r="BF326" s="26"/>
      <c r="BG326" s="26"/>
      <c r="BH326" s="26"/>
      <c r="BI326" s="26"/>
      <c r="BJ326" s="26"/>
      <c r="BK326" s="26"/>
      <c r="BL326" s="26"/>
      <c r="BM326" s="26"/>
      <c r="BN326" s="26"/>
      <c r="BO326" s="26"/>
      <c r="BP326" s="26"/>
      <c r="BQ326" s="26"/>
      <c r="BR326" s="26"/>
      <c r="BS326" s="26"/>
      <c r="BT326" s="26"/>
      <c r="BU326" s="26"/>
      <c r="BV326" s="26"/>
      <c r="BW326" s="26"/>
      <c r="BX326" s="26"/>
      <c r="BY326" s="26"/>
      <c r="BZ326" s="26"/>
      <c r="CA326" s="26"/>
      <c r="CB326" s="26"/>
      <c r="CC326" s="26"/>
      <c r="CD326" s="26"/>
      <c r="CE326" s="26"/>
      <c r="CF326" s="26"/>
      <c r="CG326" s="26"/>
      <c r="CH326" s="26"/>
      <c r="CI326" s="26"/>
      <c r="CJ326" s="26"/>
      <c r="CK326" s="26"/>
      <c r="CL326" s="26"/>
      <c r="CM326" s="26"/>
      <c r="CN326" s="26"/>
      <c r="CO326" s="26"/>
      <c r="CP326" s="26"/>
      <c r="CQ326" s="26"/>
      <c r="CR326" s="26"/>
      <c r="CS326" s="26"/>
      <c r="CT326" s="26"/>
      <c r="CU326" s="26"/>
      <c r="CV326" s="26"/>
      <c r="CW326" s="26"/>
      <c r="CX326" s="26"/>
      <c r="CY326" s="26"/>
      <c r="CZ326" s="26"/>
    </row>
    <row r="327" spans="1:104" x14ac:dyDescent="0.2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6"/>
      <c r="AB327" s="26"/>
      <c r="AC327" s="26"/>
      <c r="AD327" s="26"/>
      <c r="AE327" s="26"/>
      <c r="AF327" s="26"/>
      <c r="AG327" s="26"/>
      <c r="AH327" s="26"/>
      <c r="AI327" s="26"/>
      <c r="AJ327" s="26"/>
      <c r="AK327" s="26"/>
      <c r="AL327" s="26"/>
      <c r="AM327" s="26"/>
      <c r="AN327" s="26"/>
      <c r="AO327" s="26"/>
      <c r="AP327" s="26"/>
      <c r="AQ327" s="26"/>
      <c r="AR327" s="26"/>
      <c r="AS327" s="26"/>
      <c r="AT327" s="26"/>
      <c r="AU327" s="26"/>
      <c r="AV327" s="26"/>
      <c r="AW327" s="26"/>
      <c r="AX327" s="26"/>
      <c r="AY327" s="26"/>
      <c r="AZ327" s="26"/>
      <c r="BA327" s="26"/>
      <c r="BB327" s="26"/>
      <c r="BC327" s="26"/>
      <c r="BD327" s="26"/>
      <c r="BE327" s="26"/>
      <c r="BF327" s="26"/>
      <c r="BG327" s="26"/>
      <c r="BH327" s="26"/>
      <c r="BI327" s="26"/>
      <c r="BJ327" s="26"/>
      <c r="BK327" s="26"/>
      <c r="BL327" s="26"/>
      <c r="BM327" s="26"/>
      <c r="BN327" s="26"/>
      <c r="BO327" s="26"/>
      <c r="BP327" s="26"/>
      <c r="BQ327" s="26"/>
      <c r="BR327" s="26"/>
      <c r="BS327" s="26"/>
      <c r="BT327" s="26"/>
      <c r="BU327" s="26"/>
      <c r="BV327" s="26"/>
      <c r="BW327" s="26"/>
      <c r="BX327" s="26"/>
      <c r="BY327" s="26"/>
      <c r="BZ327" s="26"/>
      <c r="CA327" s="26"/>
      <c r="CB327" s="26"/>
      <c r="CC327" s="26"/>
      <c r="CD327" s="26"/>
      <c r="CE327" s="26"/>
      <c r="CF327" s="26"/>
      <c r="CG327" s="26"/>
      <c r="CH327" s="26"/>
      <c r="CI327" s="26"/>
      <c r="CJ327" s="26"/>
      <c r="CK327" s="26"/>
      <c r="CL327" s="26"/>
      <c r="CM327" s="26"/>
      <c r="CN327" s="26"/>
      <c r="CO327" s="26"/>
      <c r="CP327" s="26"/>
      <c r="CQ327" s="26"/>
      <c r="CR327" s="26"/>
      <c r="CS327" s="26"/>
      <c r="CT327" s="26"/>
      <c r="CU327" s="26"/>
      <c r="CV327" s="26"/>
      <c r="CW327" s="26"/>
      <c r="CX327" s="26"/>
      <c r="CY327" s="26"/>
      <c r="CZ327" s="26"/>
    </row>
    <row r="328" spans="1:104" x14ac:dyDescent="0.2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6"/>
      <c r="AB328" s="26"/>
      <c r="AC328" s="26"/>
      <c r="AD328" s="26"/>
      <c r="AE328" s="26"/>
      <c r="AF328" s="26"/>
      <c r="AG328" s="26"/>
      <c r="AH328" s="26"/>
      <c r="AI328" s="26"/>
      <c r="AJ328" s="26"/>
      <c r="AK328" s="26"/>
      <c r="AL328" s="26"/>
      <c r="AM328" s="26"/>
      <c r="AN328" s="26"/>
      <c r="AO328" s="26"/>
      <c r="AP328" s="26"/>
      <c r="AQ328" s="26"/>
      <c r="AR328" s="26"/>
      <c r="AS328" s="26"/>
      <c r="AT328" s="26"/>
      <c r="AU328" s="26"/>
      <c r="AV328" s="26"/>
      <c r="AW328" s="26"/>
      <c r="AX328" s="26"/>
      <c r="AY328" s="26"/>
      <c r="AZ328" s="26"/>
      <c r="BA328" s="26"/>
      <c r="BB328" s="26"/>
      <c r="BC328" s="26"/>
      <c r="BD328" s="26"/>
      <c r="BE328" s="26"/>
      <c r="BF328" s="26"/>
      <c r="BG328" s="26"/>
      <c r="BH328" s="26"/>
      <c r="BI328" s="26"/>
      <c r="BJ328" s="26"/>
      <c r="BK328" s="26"/>
      <c r="BL328" s="26"/>
      <c r="BM328" s="26"/>
      <c r="BN328" s="26"/>
      <c r="BO328" s="26"/>
      <c r="BP328" s="26"/>
      <c r="BQ328" s="26"/>
      <c r="BR328" s="26"/>
      <c r="BS328" s="26"/>
      <c r="BT328" s="26"/>
      <c r="BU328" s="26"/>
      <c r="BV328" s="26"/>
      <c r="BW328" s="26"/>
      <c r="BX328" s="26"/>
      <c r="BY328" s="26"/>
      <c r="BZ328" s="26"/>
      <c r="CA328" s="26"/>
      <c r="CB328" s="26"/>
      <c r="CC328" s="26"/>
      <c r="CD328" s="26"/>
      <c r="CE328" s="26"/>
      <c r="CF328" s="26"/>
      <c r="CG328" s="26"/>
      <c r="CH328" s="26"/>
      <c r="CI328" s="26"/>
      <c r="CJ328" s="26"/>
      <c r="CK328" s="26"/>
      <c r="CL328" s="26"/>
      <c r="CM328" s="26"/>
      <c r="CN328" s="26"/>
      <c r="CO328" s="26"/>
      <c r="CP328" s="26"/>
      <c r="CQ328" s="26"/>
      <c r="CR328" s="26"/>
      <c r="CS328" s="26"/>
      <c r="CT328" s="26"/>
      <c r="CU328" s="26"/>
      <c r="CV328" s="26"/>
      <c r="CW328" s="26"/>
      <c r="CX328" s="26"/>
      <c r="CY328" s="26"/>
      <c r="CZ328" s="26"/>
    </row>
    <row r="329" spans="1:104" x14ac:dyDescent="0.2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6"/>
      <c r="AB329" s="26"/>
      <c r="AC329" s="26"/>
      <c r="AD329" s="26"/>
      <c r="AE329" s="26"/>
      <c r="AF329" s="26"/>
      <c r="AG329" s="26"/>
      <c r="AH329" s="26"/>
      <c r="AI329" s="26"/>
      <c r="AJ329" s="26"/>
      <c r="AK329" s="26"/>
      <c r="AL329" s="26"/>
      <c r="AM329" s="26"/>
      <c r="AN329" s="26"/>
      <c r="AO329" s="26"/>
      <c r="AP329" s="26"/>
      <c r="AQ329" s="26"/>
      <c r="AR329" s="26"/>
      <c r="AS329" s="26"/>
      <c r="AT329" s="26"/>
      <c r="AU329" s="26"/>
      <c r="AV329" s="26"/>
      <c r="AW329" s="26"/>
      <c r="AX329" s="26"/>
      <c r="AY329" s="26"/>
      <c r="AZ329" s="26"/>
      <c r="BA329" s="26"/>
      <c r="BB329" s="26"/>
      <c r="BC329" s="26"/>
      <c r="BD329" s="26"/>
      <c r="BE329" s="26"/>
      <c r="BF329" s="26"/>
      <c r="BG329" s="26"/>
      <c r="BH329" s="26"/>
      <c r="BI329" s="26"/>
      <c r="BJ329" s="26"/>
      <c r="BK329" s="26"/>
      <c r="BL329" s="26"/>
      <c r="BM329" s="26"/>
      <c r="BN329" s="26"/>
      <c r="BO329" s="26"/>
      <c r="BP329" s="26"/>
      <c r="BQ329" s="26"/>
      <c r="BR329" s="26"/>
      <c r="BS329" s="26"/>
      <c r="BT329" s="26"/>
      <c r="BU329" s="26"/>
      <c r="BV329" s="26"/>
      <c r="BW329" s="26"/>
      <c r="BX329" s="26"/>
      <c r="BY329" s="26"/>
      <c r="BZ329" s="26"/>
      <c r="CA329" s="26"/>
      <c r="CB329" s="26"/>
      <c r="CC329" s="26"/>
      <c r="CD329" s="26"/>
      <c r="CE329" s="26"/>
      <c r="CF329" s="26"/>
      <c r="CG329" s="26"/>
      <c r="CH329" s="26"/>
      <c r="CI329" s="26"/>
      <c r="CJ329" s="26"/>
      <c r="CK329" s="26"/>
      <c r="CL329" s="26"/>
      <c r="CM329" s="26"/>
      <c r="CN329" s="26"/>
      <c r="CO329" s="26"/>
      <c r="CP329" s="26"/>
      <c r="CQ329" s="26"/>
      <c r="CR329" s="26"/>
      <c r="CS329" s="26"/>
      <c r="CT329" s="26"/>
      <c r="CU329" s="26"/>
      <c r="CV329" s="26"/>
      <c r="CW329" s="26"/>
      <c r="CX329" s="26"/>
      <c r="CY329" s="26"/>
      <c r="CZ329" s="26"/>
    </row>
    <row r="330" spans="1:104" x14ac:dyDescent="0.2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6"/>
      <c r="AB330" s="26"/>
      <c r="AC330" s="26"/>
      <c r="AD330" s="26"/>
      <c r="AE330" s="26"/>
      <c r="AF330" s="26"/>
      <c r="AG330" s="26"/>
      <c r="AH330" s="26"/>
      <c r="AI330" s="26"/>
      <c r="AJ330" s="26"/>
      <c r="AK330" s="26"/>
      <c r="AL330" s="26"/>
      <c r="AM330" s="26"/>
      <c r="AN330" s="26"/>
      <c r="AO330" s="26"/>
      <c r="AP330" s="26"/>
      <c r="AQ330" s="26"/>
      <c r="AR330" s="26"/>
      <c r="AS330" s="26"/>
      <c r="AT330" s="26"/>
      <c r="AU330" s="26"/>
      <c r="AV330" s="26"/>
      <c r="AW330" s="26"/>
      <c r="AX330" s="26"/>
      <c r="AY330" s="26"/>
      <c r="AZ330" s="26"/>
      <c r="BA330" s="26"/>
      <c r="BB330" s="26"/>
      <c r="BC330" s="26"/>
      <c r="BD330" s="26"/>
      <c r="BE330" s="26"/>
      <c r="BF330" s="26"/>
      <c r="BG330" s="26"/>
      <c r="BH330" s="26"/>
      <c r="BI330" s="26"/>
      <c r="BJ330" s="26"/>
      <c r="BK330" s="26"/>
      <c r="BL330" s="26"/>
      <c r="BM330" s="26"/>
      <c r="BN330" s="26"/>
      <c r="BO330" s="26"/>
      <c r="BP330" s="26"/>
      <c r="BQ330" s="26"/>
      <c r="BR330" s="26"/>
      <c r="BS330" s="26"/>
      <c r="BT330" s="26"/>
      <c r="BU330" s="26"/>
      <c r="BV330" s="26"/>
      <c r="BW330" s="26"/>
      <c r="BX330" s="26"/>
      <c r="BY330" s="26"/>
      <c r="BZ330" s="26"/>
      <c r="CA330" s="26"/>
      <c r="CB330" s="26"/>
      <c r="CC330" s="26"/>
      <c r="CD330" s="26"/>
      <c r="CE330" s="26"/>
      <c r="CF330" s="26"/>
      <c r="CG330" s="26"/>
      <c r="CH330" s="26"/>
      <c r="CI330" s="26"/>
      <c r="CJ330" s="26"/>
      <c r="CK330" s="26"/>
      <c r="CL330" s="26"/>
      <c r="CM330" s="26"/>
      <c r="CN330" s="26"/>
      <c r="CO330" s="26"/>
      <c r="CP330" s="26"/>
      <c r="CQ330" s="26"/>
      <c r="CR330" s="26"/>
      <c r="CS330" s="26"/>
      <c r="CT330" s="26"/>
      <c r="CU330" s="26"/>
      <c r="CV330" s="26"/>
      <c r="CW330" s="26"/>
      <c r="CX330" s="26"/>
      <c r="CY330" s="26"/>
      <c r="CZ330" s="26"/>
    </row>
    <row r="331" spans="1:104" x14ac:dyDescent="0.2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6"/>
      <c r="AB331" s="26"/>
      <c r="AC331" s="26"/>
      <c r="AD331" s="26"/>
      <c r="AE331" s="26"/>
      <c r="AF331" s="26"/>
      <c r="AG331" s="26"/>
      <c r="AH331" s="26"/>
      <c r="AI331" s="26"/>
      <c r="AJ331" s="26"/>
      <c r="AK331" s="26"/>
      <c r="AL331" s="26"/>
      <c r="AM331" s="26"/>
      <c r="AN331" s="26"/>
      <c r="AO331" s="26"/>
      <c r="AP331" s="26"/>
      <c r="AQ331" s="26"/>
      <c r="AR331" s="26"/>
      <c r="AS331" s="26"/>
      <c r="AT331" s="26"/>
      <c r="AU331" s="26"/>
      <c r="AV331" s="26"/>
      <c r="AW331" s="26"/>
      <c r="AX331" s="26"/>
      <c r="AY331" s="26"/>
      <c r="AZ331" s="26"/>
      <c r="BA331" s="26"/>
      <c r="BB331" s="26"/>
      <c r="BC331" s="26"/>
      <c r="BD331" s="26"/>
      <c r="BE331" s="26"/>
      <c r="BF331" s="26"/>
      <c r="BG331" s="26"/>
      <c r="BH331" s="26"/>
      <c r="BI331" s="26"/>
      <c r="BJ331" s="26"/>
      <c r="BK331" s="26"/>
      <c r="BL331" s="26"/>
      <c r="BM331" s="26"/>
      <c r="BN331" s="26"/>
      <c r="BO331" s="26"/>
      <c r="BP331" s="26"/>
      <c r="BQ331" s="26"/>
      <c r="BR331" s="26"/>
      <c r="BS331" s="26"/>
      <c r="BT331" s="26"/>
      <c r="BU331" s="26"/>
      <c r="BV331" s="26"/>
      <c r="BW331" s="26"/>
      <c r="BX331" s="26"/>
      <c r="BY331" s="26"/>
      <c r="BZ331" s="26"/>
      <c r="CA331" s="26"/>
      <c r="CB331" s="26"/>
      <c r="CC331" s="26"/>
      <c r="CD331" s="26"/>
      <c r="CE331" s="26"/>
      <c r="CF331" s="26"/>
      <c r="CG331" s="26"/>
      <c r="CH331" s="26"/>
      <c r="CI331" s="26"/>
      <c r="CJ331" s="26"/>
      <c r="CK331" s="26"/>
      <c r="CL331" s="26"/>
      <c r="CM331" s="26"/>
      <c r="CN331" s="26"/>
      <c r="CO331" s="26"/>
      <c r="CP331" s="26"/>
      <c r="CQ331" s="26"/>
      <c r="CR331" s="26"/>
      <c r="CS331" s="26"/>
      <c r="CT331" s="26"/>
      <c r="CU331" s="26"/>
      <c r="CV331" s="26"/>
      <c r="CW331" s="26"/>
      <c r="CX331" s="26"/>
      <c r="CY331" s="26"/>
      <c r="CZ331" s="26"/>
    </row>
    <row r="332" spans="1:104" x14ac:dyDescent="0.2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6"/>
      <c r="AB332" s="26"/>
      <c r="AC332" s="26"/>
      <c r="AD332" s="26"/>
      <c r="AE332" s="26"/>
      <c r="AF332" s="26"/>
      <c r="AG332" s="26"/>
      <c r="AH332" s="26"/>
      <c r="AI332" s="26"/>
      <c r="AJ332" s="26"/>
      <c r="AK332" s="26"/>
      <c r="AL332" s="26"/>
      <c r="AM332" s="26"/>
      <c r="AN332" s="26"/>
      <c r="AO332" s="26"/>
      <c r="AP332" s="26"/>
      <c r="AQ332" s="26"/>
      <c r="AR332" s="26"/>
      <c r="AS332" s="26"/>
      <c r="AT332" s="26"/>
      <c r="AU332" s="26"/>
      <c r="AV332" s="26"/>
      <c r="AW332" s="26"/>
      <c r="AX332" s="26"/>
      <c r="AY332" s="26"/>
      <c r="AZ332" s="26"/>
      <c r="BA332" s="26"/>
      <c r="BB332" s="26"/>
      <c r="BC332" s="26"/>
      <c r="BD332" s="26"/>
      <c r="BE332" s="26"/>
      <c r="BF332" s="26"/>
      <c r="BG332" s="26"/>
      <c r="BH332" s="26"/>
      <c r="BI332" s="26"/>
      <c r="BJ332" s="26"/>
      <c r="BK332" s="26"/>
      <c r="BL332" s="26"/>
      <c r="BM332" s="26"/>
      <c r="BN332" s="26"/>
      <c r="BO332" s="26"/>
      <c r="BP332" s="26"/>
      <c r="BQ332" s="26"/>
      <c r="BR332" s="26"/>
      <c r="BS332" s="26"/>
      <c r="BT332" s="26"/>
      <c r="BU332" s="26"/>
      <c r="BV332" s="26"/>
      <c r="BW332" s="26"/>
      <c r="BX332" s="26"/>
      <c r="BY332" s="26"/>
      <c r="BZ332" s="26"/>
      <c r="CA332" s="26"/>
      <c r="CB332" s="26"/>
      <c r="CC332" s="26"/>
      <c r="CD332" s="26"/>
      <c r="CE332" s="26"/>
      <c r="CF332" s="26"/>
      <c r="CG332" s="26"/>
      <c r="CH332" s="26"/>
      <c r="CI332" s="26"/>
      <c r="CJ332" s="26"/>
      <c r="CK332" s="26"/>
      <c r="CL332" s="26"/>
      <c r="CM332" s="26"/>
      <c r="CN332" s="26"/>
      <c r="CO332" s="26"/>
      <c r="CP332" s="26"/>
      <c r="CQ332" s="26"/>
      <c r="CR332" s="26"/>
      <c r="CS332" s="26"/>
      <c r="CT332" s="26"/>
      <c r="CU332" s="26"/>
      <c r="CV332" s="26"/>
      <c r="CW332" s="26"/>
      <c r="CX332" s="26"/>
      <c r="CY332" s="26"/>
      <c r="CZ332" s="26"/>
    </row>
    <row r="333" spans="1:104" x14ac:dyDescent="0.2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6"/>
      <c r="AB333" s="26"/>
      <c r="AC333" s="26"/>
      <c r="AD333" s="26"/>
      <c r="AE333" s="26"/>
      <c r="AF333" s="26"/>
      <c r="AG333" s="26"/>
      <c r="AH333" s="26"/>
      <c r="AI333" s="26"/>
      <c r="AJ333" s="26"/>
      <c r="AK333" s="26"/>
      <c r="AL333" s="26"/>
      <c r="AM333" s="26"/>
      <c r="AN333" s="26"/>
      <c r="AO333" s="26"/>
      <c r="AP333" s="26"/>
      <c r="AQ333" s="26"/>
      <c r="AR333" s="26"/>
      <c r="AS333" s="26"/>
      <c r="AT333" s="26"/>
      <c r="AU333" s="26"/>
      <c r="AV333" s="26"/>
      <c r="AW333" s="26"/>
      <c r="AX333" s="26"/>
      <c r="AY333" s="26"/>
      <c r="AZ333" s="26"/>
      <c r="BA333" s="26"/>
      <c r="BB333" s="26"/>
      <c r="BC333" s="26"/>
      <c r="BD333" s="26"/>
      <c r="BE333" s="26"/>
      <c r="BF333" s="26"/>
      <c r="BG333" s="26"/>
      <c r="BH333" s="26"/>
      <c r="BI333" s="26"/>
      <c r="BJ333" s="26"/>
      <c r="BK333" s="26"/>
      <c r="BL333" s="26"/>
      <c r="BM333" s="26"/>
      <c r="BN333" s="26"/>
      <c r="BO333" s="26"/>
      <c r="BP333" s="26"/>
      <c r="BQ333" s="26"/>
      <c r="BR333" s="26"/>
      <c r="BS333" s="26"/>
      <c r="BT333" s="26"/>
      <c r="BU333" s="26"/>
      <c r="BV333" s="26"/>
      <c r="BW333" s="26"/>
      <c r="BX333" s="26"/>
      <c r="BY333" s="26"/>
      <c r="BZ333" s="26"/>
      <c r="CA333" s="26"/>
      <c r="CB333" s="26"/>
      <c r="CC333" s="26"/>
      <c r="CD333" s="26"/>
      <c r="CE333" s="26"/>
      <c r="CF333" s="26"/>
      <c r="CG333" s="26"/>
      <c r="CH333" s="26"/>
      <c r="CI333" s="26"/>
      <c r="CJ333" s="26"/>
      <c r="CK333" s="26"/>
      <c r="CL333" s="26"/>
      <c r="CM333" s="26"/>
      <c r="CN333" s="26"/>
      <c r="CO333" s="26"/>
      <c r="CP333" s="26"/>
      <c r="CQ333" s="26"/>
      <c r="CR333" s="26"/>
      <c r="CS333" s="26"/>
      <c r="CT333" s="26"/>
      <c r="CU333" s="26"/>
      <c r="CV333" s="26"/>
      <c r="CW333" s="26"/>
      <c r="CX333" s="26"/>
      <c r="CY333" s="26"/>
      <c r="CZ333" s="26"/>
    </row>
    <row r="334" spans="1:104" x14ac:dyDescent="0.2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6"/>
      <c r="AB334" s="26"/>
      <c r="AC334" s="26"/>
      <c r="AD334" s="26"/>
      <c r="AE334" s="26"/>
      <c r="AF334" s="26"/>
      <c r="AG334" s="26"/>
      <c r="AH334" s="26"/>
      <c r="AI334" s="26"/>
      <c r="AJ334" s="26"/>
      <c r="AK334" s="26"/>
      <c r="AL334" s="26"/>
      <c r="AM334" s="26"/>
      <c r="AN334" s="26"/>
      <c r="AO334" s="26"/>
      <c r="AP334" s="26"/>
      <c r="AQ334" s="26"/>
      <c r="AR334" s="26"/>
      <c r="AS334" s="26"/>
      <c r="AT334" s="26"/>
      <c r="AU334" s="26"/>
      <c r="AV334" s="26"/>
      <c r="AW334" s="26"/>
      <c r="AX334" s="26"/>
      <c r="AY334" s="26"/>
      <c r="AZ334" s="26"/>
      <c r="BA334" s="26"/>
      <c r="BB334" s="26"/>
      <c r="BC334" s="26"/>
      <c r="BD334" s="26"/>
      <c r="BE334" s="26"/>
      <c r="BF334" s="26"/>
      <c r="BG334" s="26"/>
      <c r="BH334" s="26"/>
      <c r="BI334" s="26"/>
      <c r="BJ334" s="26"/>
      <c r="BK334" s="26"/>
      <c r="BL334" s="26"/>
      <c r="BM334" s="26"/>
      <c r="BN334" s="26"/>
      <c r="BO334" s="26"/>
      <c r="BP334" s="26"/>
      <c r="BQ334" s="26"/>
      <c r="BR334" s="26"/>
      <c r="BS334" s="26"/>
      <c r="BT334" s="26"/>
      <c r="BU334" s="26"/>
      <c r="BV334" s="26"/>
      <c r="BW334" s="26"/>
      <c r="BX334" s="26"/>
      <c r="BY334" s="26"/>
      <c r="BZ334" s="26"/>
      <c r="CA334" s="26"/>
      <c r="CB334" s="26"/>
      <c r="CC334" s="26"/>
      <c r="CD334" s="26"/>
      <c r="CE334" s="26"/>
      <c r="CF334" s="26"/>
      <c r="CG334" s="26"/>
      <c r="CH334" s="26"/>
      <c r="CI334" s="26"/>
      <c r="CJ334" s="26"/>
      <c r="CK334" s="26"/>
      <c r="CL334" s="26"/>
      <c r="CM334" s="26"/>
      <c r="CN334" s="26"/>
      <c r="CO334" s="26"/>
      <c r="CP334" s="26"/>
      <c r="CQ334" s="26"/>
      <c r="CR334" s="26"/>
      <c r="CS334" s="26"/>
      <c r="CT334" s="26"/>
      <c r="CU334" s="26"/>
      <c r="CV334" s="26"/>
      <c r="CW334" s="26"/>
      <c r="CX334" s="26"/>
      <c r="CY334" s="26"/>
      <c r="CZ334" s="26"/>
    </row>
    <row r="335" spans="1:104" x14ac:dyDescent="0.2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6"/>
      <c r="AB335" s="26"/>
      <c r="AC335" s="26"/>
      <c r="AD335" s="26"/>
      <c r="AE335" s="26"/>
      <c r="AF335" s="26"/>
      <c r="AG335" s="26"/>
      <c r="AH335" s="26"/>
      <c r="AI335" s="26"/>
      <c r="AJ335" s="26"/>
      <c r="AK335" s="26"/>
      <c r="AL335" s="26"/>
      <c r="AM335" s="26"/>
      <c r="AN335" s="26"/>
      <c r="AO335" s="26"/>
      <c r="AP335" s="26"/>
      <c r="AQ335" s="26"/>
      <c r="AR335" s="26"/>
      <c r="AS335" s="26"/>
      <c r="AT335" s="26"/>
      <c r="AU335" s="26"/>
      <c r="AV335" s="26"/>
      <c r="AW335" s="26"/>
      <c r="AX335" s="26"/>
      <c r="AY335" s="26"/>
      <c r="AZ335" s="26"/>
      <c r="BA335" s="26"/>
      <c r="BB335" s="26"/>
      <c r="BC335" s="26"/>
      <c r="BD335" s="26"/>
      <c r="BE335" s="26"/>
      <c r="BF335" s="26"/>
      <c r="BG335" s="26"/>
      <c r="BH335" s="26"/>
      <c r="BI335" s="26"/>
      <c r="BJ335" s="26"/>
      <c r="BK335" s="26"/>
      <c r="BL335" s="26"/>
      <c r="BM335" s="26"/>
      <c r="BN335" s="26"/>
      <c r="BO335" s="26"/>
      <c r="BP335" s="26"/>
      <c r="BQ335" s="26"/>
      <c r="BR335" s="26"/>
      <c r="BS335" s="26"/>
      <c r="BT335" s="26"/>
      <c r="BU335" s="26"/>
      <c r="BV335" s="26"/>
      <c r="BW335" s="26"/>
      <c r="BX335" s="26"/>
      <c r="BY335" s="26"/>
      <c r="BZ335" s="26"/>
      <c r="CA335" s="26"/>
      <c r="CB335" s="26"/>
      <c r="CC335" s="26"/>
      <c r="CD335" s="26"/>
      <c r="CE335" s="26"/>
      <c r="CF335" s="26"/>
      <c r="CG335" s="26"/>
      <c r="CH335" s="26"/>
      <c r="CI335" s="26"/>
      <c r="CJ335" s="26"/>
      <c r="CK335" s="26"/>
      <c r="CL335" s="26"/>
      <c r="CM335" s="26"/>
      <c r="CN335" s="26"/>
      <c r="CO335" s="26"/>
      <c r="CP335" s="26"/>
      <c r="CQ335" s="26"/>
      <c r="CR335" s="26"/>
      <c r="CS335" s="26"/>
      <c r="CT335" s="26"/>
      <c r="CU335" s="26"/>
      <c r="CV335" s="26"/>
      <c r="CW335" s="26"/>
      <c r="CX335" s="26"/>
      <c r="CY335" s="26"/>
      <c r="CZ335" s="26"/>
    </row>
    <row r="336" spans="1:104" x14ac:dyDescent="0.2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6"/>
      <c r="AB336" s="26"/>
      <c r="AC336" s="26"/>
      <c r="AD336" s="26"/>
      <c r="AE336" s="26"/>
      <c r="AF336" s="26"/>
      <c r="AG336" s="26"/>
      <c r="AH336" s="26"/>
      <c r="AI336" s="26"/>
      <c r="AJ336" s="26"/>
      <c r="AK336" s="26"/>
      <c r="AL336" s="26"/>
      <c r="AM336" s="26"/>
      <c r="AN336" s="26"/>
      <c r="AO336" s="26"/>
      <c r="AP336" s="26"/>
      <c r="AQ336" s="26"/>
      <c r="AR336" s="26"/>
      <c r="AS336" s="26"/>
      <c r="AT336" s="26"/>
      <c r="AU336" s="26"/>
      <c r="AV336" s="26"/>
      <c r="AW336" s="26"/>
      <c r="AX336" s="26"/>
      <c r="AY336" s="26"/>
      <c r="AZ336" s="26"/>
      <c r="BA336" s="26"/>
      <c r="BB336" s="26"/>
      <c r="BC336" s="26"/>
      <c r="BD336" s="26"/>
      <c r="BE336" s="26"/>
      <c r="BF336" s="26"/>
      <c r="BG336" s="26"/>
      <c r="BH336" s="26"/>
      <c r="BI336" s="26"/>
      <c r="BJ336" s="26"/>
      <c r="BK336" s="26"/>
      <c r="BL336" s="26"/>
      <c r="BM336" s="26"/>
      <c r="BN336" s="26"/>
      <c r="BO336" s="26"/>
      <c r="BP336" s="26"/>
      <c r="BQ336" s="26"/>
      <c r="BR336" s="26"/>
      <c r="BS336" s="26"/>
      <c r="BT336" s="26"/>
      <c r="BU336" s="26"/>
      <c r="BV336" s="26"/>
      <c r="BW336" s="26"/>
      <c r="BX336" s="26"/>
      <c r="BY336" s="26"/>
      <c r="BZ336" s="26"/>
      <c r="CA336" s="26"/>
      <c r="CB336" s="26"/>
      <c r="CC336" s="26"/>
      <c r="CD336" s="26"/>
      <c r="CE336" s="26"/>
      <c r="CF336" s="26"/>
      <c r="CG336" s="26"/>
      <c r="CH336" s="26"/>
      <c r="CI336" s="26"/>
      <c r="CJ336" s="26"/>
      <c r="CK336" s="26"/>
      <c r="CL336" s="26"/>
      <c r="CM336" s="26"/>
      <c r="CN336" s="26"/>
      <c r="CO336" s="26"/>
      <c r="CP336" s="26"/>
      <c r="CQ336" s="26"/>
      <c r="CR336" s="26"/>
      <c r="CS336" s="26"/>
      <c r="CT336" s="26"/>
      <c r="CU336" s="26"/>
      <c r="CV336" s="26"/>
      <c r="CW336" s="26"/>
      <c r="CX336" s="26"/>
      <c r="CY336" s="26"/>
      <c r="CZ336" s="26"/>
    </row>
    <row r="337" spans="1:104" x14ac:dyDescent="0.2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6"/>
      <c r="AB337" s="26"/>
      <c r="AC337" s="26"/>
      <c r="AD337" s="26"/>
      <c r="AE337" s="26"/>
      <c r="AF337" s="26"/>
      <c r="AG337" s="26"/>
      <c r="AH337" s="26"/>
      <c r="AI337" s="26"/>
      <c r="AJ337" s="26"/>
      <c r="AK337" s="26"/>
      <c r="AL337" s="26"/>
      <c r="AM337" s="26"/>
      <c r="AN337" s="26"/>
      <c r="AO337" s="26"/>
      <c r="AP337" s="26"/>
      <c r="AQ337" s="26"/>
      <c r="AR337" s="26"/>
      <c r="AS337" s="26"/>
      <c r="AT337" s="26"/>
      <c r="AU337" s="26"/>
      <c r="AV337" s="26"/>
      <c r="AW337" s="26"/>
      <c r="AX337" s="26"/>
      <c r="AY337" s="26"/>
      <c r="AZ337" s="26"/>
      <c r="BA337" s="26"/>
      <c r="BB337" s="26"/>
      <c r="BC337" s="26"/>
      <c r="BD337" s="26"/>
      <c r="BE337" s="26"/>
      <c r="BF337" s="26"/>
      <c r="BG337" s="26"/>
      <c r="BH337" s="26"/>
      <c r="BI337" s="26"/>
      <c r="BJ337" s="26"/>
      <c r="BK337" s="26"/>
      <c r="BL337" s="26"/>
      <c r="BM337" s="26"/>
      <c r="BN337" s="26"/>
      <c r="BO337" s="26"/>
      <c r="BP337" s="26"/>
      <c r="BQ337" s="26"/>
      <c r="BR337" s="26"/>
      <c r="BS337" s="26"/>
      <c r="BT337" s="26"/>
      <c r="BU337" s="26"/>
      <c r="BV337" s="26"/>
      <c r="BW337" s="26"/>
      <c r="BX337" s="26"/>
      <c r="BY337" s="26"/>
      <c r="BZ337" s="26"/>
      <c r="CA337" s="26"/>
      <c r="CB337" s="26"/>
      <c r="CC337" s="26"/>
      <c r="CD337" s="26"/>
      <c r="CE337" s="26"/>
      <c r="CF337" s="26"/>
      <c r="CG337" s="26"/>
      <c r="CH337" s="26"/>
      <c r="CI337" s="26"/>
      <c r="CJ337" s="26"/>
      <c r="CK337" s="26"/>
      <c r="CL337" s="26"/>
      <c r="CM337" s="26"/>
      <c r="CN337" s="26"/>
      <c r="CO337" s="26"/>
      <c r="CP337" s="26"/>
      <c r="CQ337" s="26"/>
      <c r="CR337" s="26"/>
      <c r="CS337" s="26"/>
      <c r="CT337" s="26"/>
      <c r="CU337" s="26"/>
      <c r="CV337" s="26"/>
      <c r="CW337" s="26"/>
      <c r="CX337" s="26"/>
      <c r="CY337" s="26"/>
      <c r="CZ337" s="26"/>
    </row>
    <row r="338" spans="1:104" x14ac:dyDescent="0.2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6"/>
      <c r="AB338" s="26"/>
      <c r="AC338" s="26"/>
      <c r="AD338" s="26"/>
      <c r="AE338" s="26"/>
      <c r="AF338" s="26"/>
      <c r="AG338" s="26"/>
      <c r="AH338" s="26"/>
      <c r="AI338" s="26"/>
      <c r="AJ338" s="26"/>
      <c r="AK338" s="26"/>
      <c r="AL338" s="26"/>
      <c r="AM338" s="26"/>
      <c r="AN338" s="26"/>
      <c r="AO338" s="26"/>
      <c r="AP338" s="26"/>
      <c r="AQ338" s="26"/>
      <c r="AR338" s="26"/>
      <c r="AS338" s="26"/>
      <c r="AT338" s="26"/>
      <c r="AU338" s="26"/>
      <c r="AV338" s="26"/>
      <c r="AW338" s="26"/>
      <c r="AX338" s="26"/>
      <c r="AY338" s="26"/>
      <c r="AZ338" s="26"/>
      <c r="BA338" s="26"/>
      <c r="BB338" s="26"/>
      <c r="BC338" s="26"/>
      <c r="BD338" s="26"/>
      <c r="BE338" s="26"/>
      <c r="BF338" s="26"/>
      <c r="BG338" s="26"/>
      <c r="BH338" s="26"/>
      <c r="BI338" s="26"/>
      <c r="BJ338" s="26"/>
      <c r="BK338" s="26"/>
      <c r="BL338" s="26"/>
      <c r="BM338" s="26"/>
      <c r="BN338" s="26"/>
      <c r="BO338" s="26"/>
      <c r="BP338" s="26"/>
      <c r="BQ338" s="26"/>
      <c r="BR338" s="26"/>
      <c r="BS338" s="26"/>
      <c r="BT338" s="26"/>
      <c r="BU338" s="26"/>
      <c r="BV338" s="26"/>
      <c r="BW338" s="26"/>
      <c r="BX338" s="26"/>
      <c r="BY338" s="26"/>
      <c r="BZ338" s="26"/>
      <c r="CA338" s="26"/>
      <c r="CB338" s="26"/>
      <c r="CC338" s="26"/>
      <c r="CD338" s="26"/>
      <c r="CE338" s="26"/>
      <c r="CF338" s="26"/>
      <c r="CG338" s="26"/>
      <c r="CH338" s="26"/>
      <c r="CI338" s="26"/>
      <c r="CJ338" s="26"/>
      <c r="CK338" s="26"/>
      <c r="CL338" s="26"/>
      <c r="CM338" s="26"/>
      <c r="CN338" s="26"/>
      <c r="CO338" s="26"/>
      <c r="CP338" s="26"/>
      <c r="CQ338" s="26"/>
      <c r="CR338" s="26"/>
      <c r="CS338" s="26"/>
      <c r="CT338" s="26"/>
      <c r="CU338" s="26"/>
      <c r="CV338" s="26"/>
      <c r="CW338" s="26"/>
      <c r="CX338" s="26"/>
      <c r="CY338" s="26"/>
      <c r="CZ338" s="26"/>
    </row>
    <row r="339" spans="1:104" x14ac:dyDescent="0.2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6"/>
      <c r="AB339" s="26"/>
      <c r="AC339" s="26"/>
      <c r="AD339" s="26"/>
      <c r="AE339" s="26"/>
      <c r="AF339" s="26"/>
      <c r="AG339" s="26"/>
      <c r="AH339" s="26"/>
      <c r="AI339" s="26"/>
      <c r="AJ339" s="26"/>
      <c r="AK339" s="26"/>
      <c r="AL339" s="26"/>
      <c r="AM339" s="26"/>
      <c r="AN339" s="26"/>
      <c r="AO339" s="26"/>
      <c r="AP339" s="26"/>
      <c r="AQ339" s="26"/>
      <c r="AR339" s="26"/>
      <c r="AS339" s="26"/>
      <c r="AT339" s="26"/>
      <c r="AU339" s="26"/>
      <c r="AV339" s="26"/>
      <c r="AW339" s="26"/>
      <c r="AX339" s="26"/>
      <c r="AY339" s="26"/>
      <c r="AZ339" s="26"/>
      <c r="BA339" s="26"/>
      <c r="BB339" s="26"/>
      <c r="BC339" s="26"/>
      <c r="BD339" s="26"/>
      <c r="BE339" s="26"/>
      <c r="BF339" s="26"/>
      <c r="BG339" s="26"/>
      <c r="BH339" s="26"/>
      <c r="BI339" s="26"/>
      <c r="BJ339" s="26"/>
      <c r="BK339" s="26"/>
      <c r="BL339" s="26"/>
      <c r="BM339" s="26"/>
      <c r="BN339" s="26"/>
      <c r="BO339" s="26"/>
      <c r="BP339" s="26"/>
      <c r="BQ339" s="26"/>
      <c r="BR339" s="26"/>
      <c r="BS339" s="26"/>
      <c r="BT339" s="26"/>
      <c r="BU339" s="26"/>
      <c r="BV339" s="26"/>
      <c r="BW339" s="26"/>
      <c r="BX339" s="26"/>
      <c r="BY339" s="26"/>
      <c r="BZ339" s="26"/>
      <c r="CA339" s="26"/>
      <c r="CB339" s="26"/>
      <c r="CC339" s="26"/>
      <c r="CD339" s="26"/>
      <c r="CE339" s="26"/>
      <c r="CF339" s="26"/>
      <c r="CG339" s="26"/>
      <c r="CH339" s="26"/>
      <c r="CI339" s="26"/>
      <c r="CJ339" s="26"/>
      <c r="CK339" s="26"/>
      <c r="CL339" s="26"/>
      <c r="CM339" s="26"/>
      <c r="CN339" s="26"/>
      <c r="CO339" s="26"/>
      <c r="CP339" s="26"/>
      <c r="CQ339" s="26"/>
      <c r="CR339" s="26"/>
      <c r="CS339" s="26"/>
      <c r="CT339" s="26"/>
      <c r="CU339" s="26"/>
      <c r="CV339" s="26"/>
      <c r="CW339" s="26"/>
      <c r="CX339" s="26"/>
      <c r="CY339" s="26"/>
      <c r="CZ339" s="26"/>
    </row>
    <row r="340" spans="1:104" x14ac:dyDescent="0.2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6"/>
      <c r="AB340" s="26"/>
      <c r="AC340" s="26"/>
      <c r="AD340" s="26"/>
      <c r="AE340" s="26"/>
      <c r="AF340" s="26"/>
      <c r="AG340" s="26"/>
      <c r="AH340" s="26"/>
      <c r="AI340" s="26"/>
      <c r="AJ340" s="26"/>
      <c r="AK340" s="26"/>
      <c r="AL340" s="26"/>
      <c r="AM340" s="26"/>
      <c r="AN340" s="26"/>
      <c r="AO340" s="26"/>
      <c r="AP340" s="26"/>
      <c r="AQ340" s="26"/>
      <c r="AR340" s="26"/>
      <c r="AS340" s="26"/>
      <c r="AT340" s="26"/>
      <c r="AU340" s="26"/>
      <c r="AV340" s="26"/>
      <c r="AW340" s="26"/>
      <c r="AX340" s="26"/>
      <c r="AY340" s="26"/>
      <c r="AZ340" s="26"/>
      <c r="BA340" s="26"/>
      <c r="BB340" s="26"/>
      <c r="BC340" s="26"/>
      <c r="BD340" s="26"/>
      <c r="BE340" s="26"/>
      <c r="BF340" s="26"/>
      <c r="BG340" s="26"/>
      <c r="BH340" s="26"/>
      <c r="BI340" s="26"/>
      <c r="BJ340" s="26"/>
      <c r="BK340" s="26"/>
      <c r="BL340" s="26"/>
      <c r="BM340" s="26"/>
      <c r="BN340" s="26"/>
      <c r="BO340" s="26"/>
      <c r="BP340" s="26"/>
      <c r="BQ340" s="26"/>
      <c r="BR340" s="26"/>
      <c r="BS340" s="26"/>
      <c r="BT340" s="26"/>
      <c r="BU340" s="26"/>
      <c r="BV340" s="26"/>
      <c r="BW340" s="26"/>
      <c r="BX340" s="26"/>
      <c r="BY340" s="26"/>
      <c r="BZ340" s="26"/>
      <c r="CA340" s="26"/>
      <c r="CB340" s="26"/>
      <c r="CC340" s="26"/>
      <c r="CD340" s="26"/>
      <c r="CE340" s="26"/>
      <c r="CF340" s="26"/>
      <c r="CG340" s="26"/>
      <c r="CH340" s="26"/>
      <c r="CI340" s="26"/>
      <c r="CJ340" s="26"/>
      <c r="CK340" s="26"/>
      <c r="CL340" s="26"/>
      <c r="CM340" s="26"/>
      <c r="CN340" s="26"/>
      <c r="CO340" s="26"/>
      <c r="CP340" s="26"/>
      <c r="CQ340" s="26"/>
      <c r="CR340" s="26"/>
      <c r="CS340" s="26"/>
      <c r="CT340" s="26"/>
      <c r="CU340" s="26"/>
      <c r="CV340" s="26"/>
      <c r="CW340" s="26"/>
      <c r="CX340" s="26"/>
      <c r="CY340" s="26"/>
      <c r="CZ340" s="26"/>
    </row>
    <row r="341" spans="1:104" x14ac:dyDescent="0.2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6"/>
      <c r="AB341" s="26"/>
      <c r="AC341" s="26"/>
      <c r="AD341" s="26"/>
      <c r="AE341" s="26"/>
      <c r="AF341" s="26"/>
      <c r="AG341" s="26"/>
      <c r="AH341" s="26"/>
      <c r="AI341" s="26"/>
      <c r="AJ341" s="26"/>
      <c r="AK341" s="26"/>
      <c r="AL341" s="26"/>
      <c r="AM341" s="26"/>
      <c r="AN341" s="26"/>
      <c r="AO341" s="26"/>
      <c r="AP341" s="26"/>
      <c r="AQ341" s="26"/>
      <c r="AR341" s="26"/>
      <c r="AS341" s="26"/>
      <c r="AT341" s="26"/>
      <c r="AU341" s="26"/>
      <c r="AV341" s="26"/>
      <c r="AW341" s="26"/>
      <c r="AX341" s="26"/>
      <c r="AY341" s="26"/>
      <c r="AZ341" s="26"/>
      <c r="BA341" s="26"/>
      <c r="BB341" s="26"/>
      <c r="BC341" s="26"/>
      <c r="BD341" s="26"/>
      <c r="BE341" s="26"/>
      <c r="BF341" s="26"/>
      <c r="BG341" s="26"/>
      <c r="BH341" s="26"/>
      <c r="BI341" s="26"/>
      <c r="BJ341" s="26"/>
      <c r="BK341" s="26"/>
      <c r="BL341" s="26"/>
      <c r="BM341" s="26"/>
      <c r="BN341" s="26"/>
      <c r="BO341" s="26"/>
      <c r="BP341" s="26"/>
      <c r="BQ341" s="26"/>
      <c r="BR341" s="26"/>
      <c r="BS341" s="26"/>
      <c r="BT341" s="26"/>
      <c r="BU341" s="26"/>
      <c r="BV341" s="26"/>
      <c r="BW341" s="26"/>
      <c r="BX341" s="26"/>
      <c r="BY341" s="26"/>
      <c r="BZ341" s="26"/>
      <c r="CA341" s="26"/>
      <c r="CB341" s="26"/>
      <c r="CC341" s="26"/>
      <c r="CD341" s="26"/>
      <c r="CE341" s="26"/>
      <c r="CF341" s="26"/>
      <c r="CG341" s="26"/>
      <c r="CH341" s="26"/>
      <c r="CI341" s="26"/>
      <c r="CJ341" s="26"/>
      <c r="CK341" s="26"/>
      <c r="CL341" s="26"/>
      <c r="CM341" s="26"/>
      <c r="CN341" s="26"/>
      <c r="CO341" s="26"/>
      <c r="CP341" s="26"/>
      <c r="CQ341" s="26"/>
      <c r="CR341" s="26"/>
      <c r="CS341" s="26"/>
      <c r="CT341" s="26"/>
      <c r="CU341" s="26"/>
      <c r="CV341" s="26"/>
      <c r="CW341" s="26"/>
      <c r="CX341" s="26"/>
      <c r="CY341" s="26"/>
      <c r="CZ341" s="26"/>
    </row>
    <row r="342" spans="1:104" x14ac:dyDescent="0.2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6"/>
      <c r="AB342" s="26"/>
      <c r="AC342" s="26"/>
      <c r="AD342" s="26"/>
      <c r="AE342" s="26"/>
      <c r="AF342" s="26"/>
      <c r="AG342" s="26"/>
      <c r="AH342" s="26"/>
      <c r="AI342" s="26"/>
      <c r="AJ342" s="26"/>
      <c r="AK342" s="26"/>
      <c r="AL342" s="26"/>
      <c r="AM342" s="26"/>
      <c r="AN342" s="26"/>
      <c r="AO342" s="26"/>
      <c r="AP342" s="26"/>
      <c r="AQ342" s="26"/>
      <c r="AR342" s="26"/>
      <c r="AS342" s="26"/>
      <c r="AT342" s="26"/>
      <c r="AU342" s="26"/>
      <c r="AV342" s="26"/>
      <c r="AW342" s="26"/>
      <c r="AX342" s="26"/>
      <c r="AY342" s="26"/>
      <c r="AZ342" s="26"/>
      <c r="BA342" s="26"/>
      <c r="BB342" s="26"/>
      <c r="BC342" s="26"/>
      <c r="BD342" s="26"/>
      <c r="BE342" s="26"/>
      <c r="BF342" s="26"/>
      <c r="BG342" s="26"/>
      <c r="BH342" s="26"/>
      <c r="BI342" s="26"/>
      <c r="BJ342" s="26"/>
      <c r="BK342" s="26"/>
      <c r="BL342" s="26"/>
      <c r="BM342" s="26"/>
      <c r="BN342" s="26"/>
      <c r="BO342" s="26"/>
      <c r="BP342" s="26"/>
      <c r="BQ342" s="26"/>
      <c r="BR342" s="26"/>
      <c r="BS342" s="26"/>
      <c r="BT342" s="26"/>
      <c r="BU342" s="26"/>
      <c r="BV342" s="26"/>
      <c r="BW342" s="26"/>
      <c r="BX342" s="26"/>
      <c r="BY342" s="26"/>
      <c r="BZ342" s="26"/>
      <c r="CA342" s="26"/>
      <c r="CB342" s="26"/>
      <c r="CC342" s="26"/>
      <c r="CD342" s="26"/>
      <c r="CE342" s="26"/>
      <c r="CF342" s="26"/>
      <c r="CG342" s="26"/>
      <c r="CH342" s="26"/>
      <c r="CI342" s="26"/>
      <c r="CJ342" s="26"/>
      <c r="CK342" s="26"/>
      <c r="CL342" s="26"/>
      <c r="CM342" s="26"/>
      <c r="CN342" s="26"/>
      <c r="CO342" s="26"/>
      <c r="CP342" s="26"/>
      <c r="CQ342" s="26"/>
      <c r="CR342" s="26"/>
      <c r="CS342" s="26"/>
      <c r="CT342" s="26"/>
      <c r="CU342" s="26"/>
      <c r="CV342" s="26"/>
      <c r="CW342" s="26"/>
      <c r="CX342" s="26"/>
      <c r="CY342" s="26"/>
      <c r="CZ342" s="26"/>
    </row>
    <row r="343" spans="1:104" x14ac:dyDescent="0.2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6"/>
      <c r="AB343" s="26"/>
      <c r="AC343" s="26"/>
      <c r="AD343" s="26"/>
      <c r="AE343" s="26"/>
      <c r="AF343" s="26"/>
      <c r="AG343" s="26"/>
      <c r="AH343" s="26"/>
      <c r="AI343" s="26"/>
      <c r="AJ343" s="26"/>
      <c r="AK343" s="26"/>
      <c r="AL343" s="26"/>
      <c r="AM343" s="26"/>
      <c r="AN343" s="26"/>
      <c r="AO343" s="26"/>
      <c r="AP343" s="26"/>
      <c r="AQ343" s="26"/>
      <c r="AR343" s="26"/>
      <c r="AS343" s="26"/>
      <c r="AT343" s="26"/>
      <c r="AU343" s="26"/>
      <c r="AV343" s="26"/>
      <c r="AW343" s="26"/>
      <c r="AX343" s="26"/>
      <c r="AY343" s="26"/>
      <c r="AZ343" s="26"/>
      <c r="BA343" s="26"/>
      <c r="BB343" s="26"/>
      <c r="BC343" s="26"/>
      <c r="BD343" s="26"/>
      <c r="BE343" s="26"/>
      <c r="BF343" s="26"/>
      <c r="BG343" s="26"/>
      <c r="BH343" s="26"/>
      <c r="BI343" s="26"/>
      <c r="BJ343" s="26"/>
      <c r="BK343" s="26"/>
      <c r="BL343" s="26"/>
      <c r="BM343" s="26"/>
      <c r="BN343" s="26"/>
      <c r="BO343" s="26"/>
      <c r="BP343" s="26"/>
      <c r="BQ343" s="26"/>
      <c r="BR343" s="26"/>
      <c r="BS343" s="26"/>
      <c r="BT343" s="26"/>
      <c r="BU343" s="26"/>
      <c r="BV343" s="26"/>
      <c r="BW343" s="26"/>
      <c r="BX343" s="26"/>
      <c r="BY343" s="26"/>
      <c r="BZ343" s="26"/>
      <c r="CA343" s="26"/>
      <c r="CB343" s="26"/>
      <c r="CC343" s="26"/>
      <c r="CD343" s="26"/>
      <c r="CE343" s="26"/>
      <c r="CF343" s="26"/>
      <c r="CG343" s="26"/>
      <c r="CH343" s="26"/>
      <c r="CI343" s="26"/>
      <c r="CJ343" s="26"/>
      <c r="CK343" s="26"/>
      <c r="CL343" s="26"/>
      <c r="CM343" s="26"/>
      <c r="CN343" s="26"/>
      <c r="CO343" s="26"/>
      <c r="CP343" s="26"/>
      <c r="CQ343" s="26"/>
      <c r="CR343" s="26"/>
      <c r="CS343" s="26"/>
      <c r="CT343" s="26"/>
      <c r="CU343" s="26"/>
      <c r="CV343" s="26"/>
      <c r="CW343" s="26"/>
      <c r="CX343" s="26"/>
      <c r="CY343" s="26"/>
      <c r="CZ343" s="26"/>
    </row>
    <row r="344" spans="1:104" x14ac:dyDescent="0.2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6"/>
      <c r="AB344" s="26"/>
      <c r="AC344" s="26"/>
      <c r="AD344" s="26"/>
      <c r="AE344" s="26"/>
      <c r="AF344" s="26"/>
      <c r="AG344" s="26"/>
      <c r="AH344" s="26"/>
      <c r="AI344" s="26"/>
      <c r="AJ344" s="26"/>
      <c r="AK344" s="26"/>
      <c r="AL344" s="26"/>
      <c r="AM344" s="26"/>
      <c r="AN344" s="26"/>
      <c r="AO344" s="26"/>
      <c r="AP344" s="26"/>
      <c r="AQ344" s="26"/>
      <c r="AR344" s="26"/>
      <c r="AS344" s="26"/>
      <c r="AT344" s="26"/>
      <c r="AU344" s="26"/>
      <c r="AV344" s="26"/>
      <c r="AW344" s="26"/>
      <c r="AX344" s="26"/>
      <c r="AY344" s="26"/>
      <c r="AZ344" s="26"/>
      <c r="BA344" s="26"/>
      <c r="BB344" s="26"/>
      <c r="BC344" s="26"/>
      <c r="BD344" s="26"/>
      <c r="BE344" s="26"/>
      <c r="BF344" s="26"/>
      <c r="BG344" s="26"/>
      <c r="BH344" s="26"/>
      <c r="BI344" s="26"/>
      <c r="BJ344" s="26"/>
      <c r="BK344" s="26"/>
      <c r="BL344" s="26"/>
      <c r="BM344" s="26"/>
      <c r="BN344" s="26"/>
      <c r="BO344" s="26"/>
      <c r="BP344" s="26"/>
      <c r="BQ344" s="26"/>
      <c r="BR344" s="26"/>
      <c r="BS344" s="26"/>
      <c r="BT344" s="26"/>
      <c r="BU344" s="26"/>
      <c r="BV344" s="26"/>
      <c r="BW344" s="26"/>
      <c r="BX344" s="26"/>
      <c r="BY344" s="26"/>
      <c r="BZ344" s="26"/>
      <c r="CA344" s="26"/>
      <c r="CB344" s="26"/>
      <c r="CC344" s="26"/>
      <c r="CD344" s="26"/>
      <c r="CE344" s="26"/>
      <c r="CF344" s="26"/>
      <c r="CG344" s="26"/>
      <c r="CH344" s="26"/>
      <c r="CI344" s="26"/>
      <c r="CJ344" s="26"/>
      <c r="CK344" s="26"/>
      <c r="CL344" s="26"/>
      <c r="CM344" s="26"/>
      <c r="CN344" s="26"/>
      <c r="CO344" s="26"/>
      <c r="CP344" s="26"/>
      <c r="CQ344" s="26"/>
      <c r="CR344" s="26"/>
      <c r="CS344" s="26"/>
      <c r="CT344" s="26"/>
      <c r="CU344" s="26"/>
      <c r="CV344" s="26"/>
      <c r="CW344" s="26"/>
      <c r="CX344" s="26"/>
      <c r="CY344" s="26"/>
      <c r="CZ344" s="26"/>
    </row>
    <row r="345" spans="1:104" x14ac:dyDescent="0.2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6"/>
      <c r="AB345" s="26"/>
      <c r="AC345" s="26"/>
      <c r="AD345" s="26"/>
      <c r="AE345" s="26"/>
      <c r="AF345" s="26"/>
      <c r="AG345" s="26"/>
      <c r="AH345" s="26"/>
      <c r="AI345" s="26"/>
      <c r="AJ345" s="26"/>
      <c r="AK345" s="26"/>
      <c r="AL345" s="26"/>
      <c r="AM345" s="26"/>
      <c r="AN345" s="26"/>
      <c r="AO345" s="26"/>
      <c r="AP345" s="26"/>
      <c r="AQ345" s="26"/>
      <c r="AR345" s="26"/>
      <c r="AS345" s="26"/>
      <c r="AT345" s="26"/>
      <c r="AU345" s="26"/>
      <c r="AV345" s="26"/>
      <c r="AW345" s="26"/>
      <c r="AX345" s="26"/>
      <c r="AY345" s="26"/>
      <c r="AZ345" s="26"/>
      <c r="BA345" s="26"/>
      <c r="BB345" s="26"/>
      <c r="BC345" s="26"/>
      <c r="BD345" s="26"/>
      <c r="BE345" s="26"/>
      <c r="BF345" s="26"/>
      <c r="BG345" s="26"/>
      <c r="BH345" s="26"/>
      <c r="BI345" s="26"/>
      <c r="BJ345" s="26"/>
      <c r="BK345" s="26"/>
      <c r="BL345" s="26"/>
      <c r="BM345" s="26"/>
      <c r="BN345" s="26"/>
      <c r="BO345" s="26"/>
      <c r="BP345" s="26"/>
      <c r="BQ345" s="26"/>
      <c r="BR345" s="26"/>
      <c r="BS345" s="26"/>
      <c r="BT345" s="26"/>
      <c r="BU345" s="26"/>
      <c r="BV345" s="26"/>
      <c r="BW345" s="26"/>
      <c r="BX345" s="26"/>
      <c r="BY345" s="26"/>
      <c r="BZ345" s="26"/>
      <c r="CA345" s="26"/>
      <c r="CB345" s="26"/>
      <c r="CC345" s="26"/>
      <c r="CD345" s="26"/>
      <c r="CE345" s="26"/>
      <c r="CF345" s="26"/>
      <c r="CG345" s="26"/>
      <c r="CH345" s="26"/>
      <c r="CI345" s="26"/>
      <c r="CJ345" s="26"/>
      <c r="CK345" s="26"/>
      <c r="CL345" s="26"/>
      <c r="CM345" s="26"/>
      <c r="CN345" s="26"/>
      <c r="CO345" s="26"/>
      <c r="CP345" s="26"/>
      <c r="CQ345" s="26"/>
      <c r="CR345" s="26"/>
      <c r="CS345" s="26"/>
      <c r="CT345" s="26"/>
      <c r="CU345" s="26"/>
      <c r="CV345" s="26"/>
      <c r="CW345" s="26"/>
      <c r="CX345" s="26"/>
      <c r="CY345" s="26"/>
      <c r="CZ345" s="26"/>
    </row>
    <row r="346" spans="1:104" x14ac:dyDescent="0.2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6"/>
      <c r="AB346" s="26"/>
      <c r="AC346" s="26"/>
      <c r="AD346" s="26"/>
      <c r="AE346" s="26"/>
      <c r="AF346" s="26"/>
      <c r="AG346" s="26"/>
      <c r="AH346" s="26"/>
      <c r="AI346" s="26"/>
      <c r="AJ346" s="26"/>
      <c r="AK346" s="26"/>
      <c r="AL346" s="26"/>
      <c r="AM346" s="26"/>
      <c r="AN346" s="26"/>
      <c r="AO346" s="26"/>
      <c r="AP346" s="26"/>
      <c r="AQ346" s="26"/>
      <c r="AR346" s="26"/>
      <c r="AS346" s="26"/>
      <c r="AT346" s="26"/>
      <c r="AU346" s="26"/>
      <c r="AV346" s="26"/>
      <c r="AW346" s="26"/>
      <c r="AX346" s="26"/>
      <c r="AY346" s="26"/>
      <c r="AZ346" s="26"/>
      <c r="BA346" s="26"/>
      <c r="BB346" s="26"/>
      <c r="BC346" s="26"/>
      <c r="BD346" s="26"/>
      <c r="BE346" s="26"/>
      <c r="BF346" s="26"/>
      <c r="BG346" s="26"/>
      <c r="BH346" s="26"/>
      <c r="BI346" s="26"/>
      <c r="BJ346" s="26"/>
      <c r="BK346" s="26"/>
      <c r="BL346" s="26"/>
      <c r="BM346" s="26"/>
      <c r="BN346" s="26"/>
      <c r="BO346" s="26"/>
      <c r="BP346" s="26"/>
      <c r="BQ346" s="26"/>
      <c r="BR346" s="26"/>
      <c r="BS346" s="26"/>
      <c r="BT346" s="26"/>
      <c r="BU346" s="26"/>
      <c r="BV346" s="26"/>
      <c r="BW346" s="26"/>
      <c r="BX346" s="26"/>
      <c r="BY346" s="26"/>
      <c r="BZ346" s="26"/>
      <c r="CA346" s="26"/>
      <c r="CB346" s="26"/>
      <c r="CC346" s="26"/>
      <c r="CD346" s="26"/>
      <c r="CE346" s="26"/>
      <c r="CF346" s="26"/>
      <c r="CG346" s="26"/>
      <c r="CH346" s="26"/>
      <c r="CI346" s="26"/>
      <c r="CJ346" s="26"/>
      <c r="CK346" s="26"/>
      <c r="CL346" s="26"/>
      <c r="CM346" s="26"/>
      <c r="CN346" s="26"/>
      <c r="CO346" s="26"/>
      <c r="CP346" s="26"/>
      <c r="CQ346" s="26"/>
      <c r="CR346" s="26"/>
      <c r="CS346" s="26"/>
      <c r="CT346" s="26"/>
      <c r="CU346" s="26"/>
      <c r="CV346" s="26"/>
      <c r="CW346" s="26"/>
      <c r="CX346" s="26"/>
      <c r="CY346" s="26"/>
      <c r="CZ346" s="26"/>
    </row>
    <row r="347" spans="1:104" x14ac:dyDescent="0.2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6"/>
      <c r="AB347" s="26"/>
      <c r="AC347" s="26"/>
      <c r="AD347" s="26"/>
      <c r="AE347" s="26"/>
      <c r="AF347" s="26"/>
      <c r="AG347" s="26"/>
      <c r="AH347" s="26"/>
      <c r="AI347" s="26"/>
      <c r="AJ347" s="26"/>
      <c r="AK347" s="26"/>
      <c r="AL347" s="26"/>
      <c r="AM347" s="26"/>
      <c r="AN347" s="26"/>
      <c r="AO347" s="26"/>
      <c r="AP347" s="26"/>
      <c r="AQ347" s="26"/>
      <c r="AR347" s="26"/>
      <c r="AS347" s="26"/>
      <c r="AT347" s="26"/>
      <c r="AU347" s="26"/>
      <c r="AV347" s="26"/>
      <c r="AW347" s="26"/>
      <c r="AX347" s="26"/>
      <c r="AY347" s="26"/>
      <c r="AZ347" s="26"/>
      <c r="BA347" s="26"/>
      <c r="BB347" s="26"/>
      <c r="BC347" s="26"/>
      <c r="BD347" s="26"/>
      <c r="BE347" s="26"/>
      <c r="BF347" s="26"/>
      <c r="BG347" s="26"/>
      <c r="BH347" s="26"/>
      <c r="BI347" s="26"/>
      <c r="BJ347" s="26"/>
      <c r="BK347" s="26"/>
      <c r="BL347" s="26"/>
      <c r="BM347" s="26"/>
      <c r="BN347" s="26"/>
      <c r="BO347" s="26"/>
      <c r="BP347" s="26"/>
      <c r="BQ347" s="26"/>
      <c r="BR347" s="26"/>
      <c r="BS347" s="26"/>
      <c r="BT347" s="26"/>
      <c r="BU347" s="26"/>
      <c r="BV347" s="26"/>
      <c r="BW347" s="26"/>
      <c r="BX347" s="26"/>
      <c r="BY347" s="26"/>
      <c r="BZ347" s="26"/>
      <c r="CA347" s="26"/>
      <c r="CB347" s="26"/>
      <c r="CC347" s="26"/>
      <c r="CD347" s="26"/>
      <c r="CE347" s="26"/>
      <c r="CF347" s="26"/>
      <c r="CG347" s="26"/>
      <c r="CH347" s="26"/>
      <c r="CI347" s="26"/>
      <c r="CJ347" s="26"/>
      <c r="CK347" s="26"/>
      <c r="CL347" s="26"/>
      <c r="CM347" s="26"/>
      <c r="CN347" s="26"/>
      <c r="CO347" s="26"/>
      <c r="CP347" s="26"/>
      <c r="CQ347" s="26"/>
      <c r="CR347" s="26"/>
      <c r="CS347" s="26"/>
      <c r="CT347" s="26"/>
      <c r="CU347" s="26"/>
      <c r="CV347" s="26"/>
      <c r="CW347" s="26"/>
      <c r="CX347" s="26"/>
      <c r="CY347" s="26"/>
      <c r="CZ347" s="26"/>
    </row>
    <row r="348" spans="1:104" x14ac:dyDescent="0.2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6"/>
      <c r="AB348" s="26"/>
      <c r="AC348" s="26"/>
      <c r="AD348" s="26"/>
      <c r="AE348" s="26"/>
      <c r="AF348" s="26"/>
      <c r="AG348" s="26"/>
      <c r="AH348" s="26"/>
      <c r="AI348" s="26"/>
      <c r="AJ348" s="26"/>
      <c r="AK348" s="26"/>
      <c r="AL348" s="26"/>
      <c r="AM348" s="26"/>
      <c r="AN348" s="26"/>
      <c r="AO348" s="26"/>
      <c r="AP348" s="26"/>
      <c r="AQ348" s="26"/>
      <c r="AR348" s="26"/>
      <c r="AS348" s="26"/>
      <c r="AT348" s="26"/>
      <c r="AU348" s="26"/>
      <c r="AV348" s="26"/>
      <c r="AW348" s="26"/>
      <c r="AX348" s="26"/>
      <c r="AY348" s="26"/>
      <c r="AZ348" s="26"/>
      <c r="BA348" s="26"/>
      <c r="BB348" s="26"/>
      <c r="BC348" s="26"/>
      <c r="BD348" s="26"/>
      <c r="BE348" s="26"/>
      <c r="BF348" s="26"/>
      <c r="BG348" s="26"/>
      <c r="BH348" s="26"/>
      <c r="BI348" s="26"/>
      <c r="BJ348" s="26"/>
      <c r="BK348" s="26"/>
      <c r="BL348" s="26"/>
      <c r="BM348" s="26"/>
      <c r="BN348" s="26"/>
      <c r="BO348" s="26"/>
      <c r="BP348" s="26"/>
      <c r="BQ348" s="26"/>
      <c r="BR348" s="26"/>
      <c r="BS348" s="26"/>
      <c r="BT348" s="26"/>
      <c r="BU348" s="26"/>
      <c r="BV348" s="26"/>
      <c r="BW348" s="26"/>
      <c r="BX348" s="26"/>
      <c r="BY348" s="26"/>
      <c r="BZ348" s="26"/>
      <c r="CA348" s="26"/>
      <c r="CB348" s="26"/>
      <c r="CC348" s="26"/>
      <c r="CD348" s="26"/>
      <c r="CE348" s="26"/>
      <c r="CF348" s="26"/>
      <c r="CG348" s="26"/>
      <c r="CH348" s="26"/>
      <c r="CI348" s="26"/>
      <c r="CJ348" s="26"/>
      <c r="CK348" s="26"/>
      <c r="CL348" s="26"/>
      <c r="CM348" s="26"/>
      <c r="CN348" s="26"/>
      <c r="CO348" s="26"/>
      <c r="CP348" s="26"/>
      <c r="CQ348" s="26"/>
      <c r="CR348" s="26"/>
      <c r="CS348" s="26"/>
      <c r="CT348" s="26"/>
      <c r="CU348" s="26"/>
      <c r="CV348" s="26"/>
      <c r="CW348" s="26"/>
      <c r="CX348" s="26"/>
      <c r="CY348" s="26"/>
      <c r="CZ348" s="26"/>
    </row>
    <row r="349" spans="1:104" x14ac:dyDescent="0.2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6"/>
      <c r="AB349" s="26"/>
      <c r="AC349" s="26"/>
      <c r="AD349" s="26"/>
      <c r="AE349" s="26"/>
      <c r="AF349" s="26"/>
      <c r="AG349" s="26"/>
      <c r="AH349" s="26"/>
      <c r="AI349" s="26"/>
      <c r="AJ349" s="26"/>
      <c r="AK349" s="26"/>
      <c r="AL349" s="26"/>
      <c r="AM349" s="26"/>
      <c r="AN349" s="26"/>
      <c r="AO349" s="26"/>
      <c r="AP349" s="26"/>
      <c r="AQ349" s="26"/>
      <c r="AR349" s="26"/>
      <c r="AS349" s="26"/>
      <c r="AT349" s="26"/>
      <c r="AU349" s="26"/>
      <c r="AV349" s="26"/>
      <c r="AW349" s="26"/>
      <c r="AX349" s="26"/>
      <c r="AY349" s="26"/>
      <c r="AZ349" s="26"/>
      <c r="BA349" s="26"/>
      <c r="BB349" s="26"/>
      <c r="BC349" s="26"/>
      <c r="BD349" s="26"/>
      <c r="BE349" s="26"/>
      <c r="BF349" s="26"/>
      <c r="BG349" s="26"/>
      <c r="BH349" s="26"/>
      <c r="BI349" s="26"/>
      <c r="BJ349" s="26"/>
      <c r="BK349" s="26"/>
      <c r="BL349" s="26"/>
      <c r="BM349" s="26"/>
      <c r="BN349" s="26"/>
      <c r="BO349" s="26"/>
      <c r="BP349" s="26"/>
      <c r="BQ349" s="26"/>
      <c r="BR349" s="26"/>
      <c r="BS349" s="26"/>
      <c r="BT349" s="26"/>
      <c r="BU349" s="26"/>
      <c r="BV349" s="26"/>
      <c r="BW349" s="26"/>
      <c r="BX349" s="26"/>
      <c r="BY349" s="26"/>
      <c r="BZ349" s="26"/>
      <c r="CA349" s="26"/>
      <c r="CB349" s="26"/>
      <c r="CC349" s="26"/>
      <c r="CD349" s="26"/>
      <c r="CE349" s="26"/>
      <c r="CF349" s="26"/>
      <c r="CG349" s="26"/>
      <c r="CH349" s="26"/>
      <c r="CI349" s="26"/>
      <c r="CJ349" s="26"/>
      <c r="CK349" s="26"/>
      <c r="CL349" s="26"/>
      <c r="CM349" s="26"/>
      <c r="CN349" s="26"/>
      <c r="CO349" s="26"/>
      <c r="CP349" s="26"/>
      <c r="CQ349" s="26"/>
      <c r="CR349" s="26"/>
      <c r="CS349" s="26"/>
      <c r="CT349" s="26"/>
      <c r="CU349" s="26"/>
      <c r="CV349" s="26"/>
      <c r="CW349" s="26"/>
      <c r="CX349" s="26"/>
      <c r="CY349" s="26"/>
      <c r="CZ349" s="26"/>
    </row>
    <row r="350" spans="1:104" x14ac:dyDescent="0.2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6"/>
      <c r="AB350" s="26"/>
      <c r="AC350" s="26"/>
      <c r="AD350" s="26"/>
      <c r="AE350" s="26"/>
      <c r="AF350" s="26"/>
      <c r="AG350" s="26"/>
      <c r="AH350" s="26"/>
      <c r="AI350" s="26"/>
      <c r="AJ350" s="26"/>
      <c r="AK350" s="26"/>
      <c r="AL350" s="26"/>
      <c r="AM350" s="26"/>
      <c r="AN350" s="26"/>
      <c r="AO350" s="26"/>
      <c r="AP350" s="26"/>
      <c r="AQ350" s="26"/>
      <c r="AR350" s="26"/>
      <c r="AS350" s="26"/>
      <c r="AT350" s="26"/>
      <c r="AU350" s="26"/>
      <c r="AV350" s="26"/>
      <c r="AW350" s="26"/>
      <c r="AX350" s="26"/>
      <c r="AY350" s="26"/>
      <c r="AZ350" s="26"/>
      <c r="BA350" s="26"/>
      <c r="BB350" s="26"/>
      <c r="BC350" s="26"/>
      <c r="BD350" s="26"/>
      <c r="BE350" s="26"/>
      <c r="BF350" s="26"/>
      <c r="BG350" s="26"/>
      <c r="BH350" s="26"/>
      <c r="BI350" s="26"/>
      <c r="BJ350" s="26"/>
      <c r="BK350" s="26"/>
      <c r="BL350" s="26"/>
      <c r="BM350" s="26"/>
      <c r="BN350" s="26"/>
      <c r="BO350" s="26"/>
      <c r="BP350" s="26"/>
      <c r="BQ350" s="26"/>
      <c r="BR350" s="26"/>
      <c r="BS350" s="26"/>
      <c r="BT350" s="26"/>
      <c r="BU350" s="26"/>
      <c r="BV350" s="26"/>
      <c r="BW350" s="26"/>
      <c r="BX350" s="26"/>
      <c r="BY350" s="26"/>
      <c r="BZ350" s="26"/>
      <c r="CA350" s="26"/>
      <c r="CB350" s="26"/>
      <c r="CC350" s="26"/>
      <c r="CD350" s="26"/>
      <c r="CE350" s="26"/>
      <c r="CF350" s="26"/>
      <c r="CG350" s="26"/>
      <c r="CH350" s="26"/>
      <c r="CI350" s="26"/>
      <c r="CJ350" s="26"/>
      <c r="CK350" s="26"/>
      <c r="CL350" s="26"/>
      <c r="CM350" s="26"/>
      <c r="CN350" s="26"/>
      <c r="CO350" s="26"/>
      <c r="CP350" s="26"/>
      <c r="CQ350" s="26"/>
      <c r="CR350" s="26"/>
      <c r="CS350" s="26"/>
      <c r="CT350" s="26"/>
      <c r="CU350" s="26"/>
      <c r="CV350" s="26"/>
      <c r="CW350" s="26"/>
      <c r="CX350" s="26"/>
      <c r="CY350" s="26"/>
      <c r="CZ350" s="26"/>
    </row>
    <row r="351" spans="1:104" x14ac:dyDescent="0.2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6"/>
      <c r="AB351" s="26"/>
      <c r="AC351" s="26"/>
      <c r="AD351" s="26"/>
      <c r="AE351" s="26"/>
      <c r="AF351" s="26"/>
      <c r="AG351" s="26"/>
      <c r="AH351" s="26"/>
      <c r="AI351" s="26"/>
      <c r="AJ351" s="26"/>
      <c r="AK351" s="26"/>
      <c r="AL351" s="26"/>
      <c r="AM351" s="26"/>
      <c r="AN351" s="26"/>
      <c r="AO351" s="26"/>
      <c r="AP351" s="26"/>
      <c r="AQ351" s="26"/>
      <c r="AR351" s="26"/>
      <c r="AS351" s="26"/>
      <c r="AT351" s="26"/>
      <c r="AU351" s="26"/>
      <c r="AV351" s="26"/>
      <c r="AW351" s="26"/>
      <c r="AX351" s="26"/>
      <c r="AY351" s="26"/>
      <c r="AZ351" s="26"/>
      <c r="BA351" s="26"/>
      <c r="BB351" s="26"/>
      <c r="BC351" s="26"/>
      <c r="BD351" s="26"/>
      <c r="BE351" s="26"/>
      <c r="BF351" s="26"/>
      <c r="BG351" s="26"/>
      <c r="BH351" s="26"/>
      <c r="BI351" s="26"/>
      <c r="BJ351" s="26"/>
      <c r="BK351" s="26"/>
      <c r="BL351" s="26"/>
      <c r="BM351" s="26"/>
      <c r="BN351" s="26"/>
      <c r="BO351" s="26"/>
      <c r="BP351" s="26"/>
      <c r="BQ351" s="26"/>
      <c r="BR351" s="26"/>
      <c r="BS351" s="26"/>
      <c r="BT351" s="26"/>
      <c r="BU351" s="26"/>
      <c r="BV351" s="26"/>
      <c r="BW351" s="26"/>
      <c r="BX351" s="26"/>
      <c r="BY351" s="26"/>
      <c r="BZ351" s="26"/>
      <c r="CA351" s="26"/>
      <c r="CB351" s="26"/>
      <c r="CC351" s="26"/>
      <c r="CD351" s="26"/>
      <c r="CE351" s="26"/>
      <c r="CF351" s="26"/>
      <c r="CG351" s="26"/>
      <c r="CH351" s="26"/>
      <c r="CI351" s="26"/>
      <c r="CJ351" s="26"/>
      <c r="CK351" s="26"/>
      <c r="CL351" s="26"/>
      <c r="CM351" s="26"/>
      <c r="CN351" s="26"/>
      <c r="CO351" s="26"/>
      <c r="CP351" s="26"/>
      <c r="CQ351" s="26"/>
      <c r="CR351" s="26"/>
      <c r="CS351" s="26"/>
      <c r="CT351" s="26"/>
      <c r="CU351" s="26"/>
      <c r="CV351" s="26"/>
      <c r="CW351" s="26"/>
      <c r="CX351" s="26"/>
      <c r="CY351" s="26"/>
      <c r="CZ351" s="26"/>
    </row>
    <row r="352" spans="1:104" x14ac:dyDescent="0.2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  <c r="BC352" s="26"/>
      <c r="BD352" s="26"/>
      <c r="BE352" s="26"/>
      <c r="BF352" s="26"/>
      <c r="BG352" s="26"/>
      <c r="BH352" s="26"/>
      <c r="BI352" s="26"/>
      <c r="BJ352" s="26"/>
      <c r="BK352" s="26"/>
      <c r="BL352" s="26"/>
      <c r="BM352" s="26"/>
      <c r="BN352" s="26"/>
      <c r="BO352" s="26"/>
      <c r="BP352" s="26"/>
      <c r="BQ352" s="26"/>
      <c r="BR352" s="26"/>
      <c r="BS352" s="26"/>
      <c r="BT352" s="26"/>
      <c r="BU352" s="26"/>
      <c r="BV352" s="26"/>
      <c r="BW352" s="26"/>
      <c r="BX352" s="26"/>
      <c r="BY352" s="26"/>
      <c r="BZ352" s="26"/>
      <c r="CA352" s="26"/>
      <c r="CB352" s="26"/>
      <c r="CC352" s="26"/>
      <c r="CD352" s="26"/>
      <c r="CE352" s="26"/>
      <c r="CF352" s="26"/>
      <c r="CG352" s="26"/>
      <c r="CH352" s="26"/>
      <c r="CI352" s="26"/>
      <c r="CJ352" s="26"/>
      <c r="CK352" s="26"/>
      <c r="CL352" s="26"/>
      <c r="CM352" s="26"/>
      <c r="CN352" s="26"/>
      <c r="CO352" s="26"/>
      <c r="CP352" s="26"/>
      <c r="CQ352" s="26"/>
      <c r="CR352" s="26"/>
      <c r="CS352" s="26"/>
      <c r="CT352" s="26"/>
      <c r="CU352" s="26"/>
      <c r="CV352" s="26"/>
      <c r="CW352" s="26"/>
      <c r="CX352" s="26"/>
      <c r="CY352" s="26"/>
      <c r="CZ352" s="26"/>
    </row>
    <row r="353" spans="1:104" x14ac:dyDescent="0.2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6"/>
      <c r="AB353" s="26"/>
      <c r="AC353" s="26"/>
      <c r="AD353" s="26"/>
      <c r="AE353" s="26"/>
      <c r="AF353" s="26"/>
      <c r="AG353" s="26"/>
      <c r="AH353" s="26"/>
      <c r="AI353" s="26"/>
      <c r="AJ353" s="26"/>
      <c r="AK353" s="26"/>
      <c r="AL353" s="26"/>
      <c r="AM353" s="26"/>
      <c r="AN353" s="26"/>
      <c r="AO353" s="26"/>
      <c r="AP353" s="26"/>
      <c r="AQ353" s="26"/>
      <c r="AR353" s="26"/>
      <c r="AS353" s="26"/>
      <c r="AT353" s="26"/>
      <c r="AU353" s="26"/>
      <c r="AV353" s="26"/>
      <c r="AW353" s="26"/>
      <c r="AX353" s="26"/>
      <c r="AY353" s="26"/>
      <c r="AZ353" s="26"/>
      <c r="BA353" s="26"/>
      <c r="BB353" s="26"/>
      <c r="BC353" s="26"/>
      <c r="BD353" s="26"/>
      <c r="BE353" s="26"/>
      <c r="BF353" s="26"/>
      <c r="BG353" s="26"/>
      <c r="BH353" s="26"/>
      <c r="BI353" s="26"/>
      <c r="BJ353" s="26"/>
      <c r="BK353" s="26"/>
      <c r="BL353" s="26"/>
      <c r="BM353" s="26"/>
      <c r="BN353" s="26"/>
      <c r="BO353" s="26"/>
      <c r="BP353" s="26"/>
      <c r="BQ353" s="26"/>
      <c r="BR353" s="26"/>
      <c r="BS353" s="26"/>
      <c r="BT353" s="26"/>
      <c r="BU353" s="26"/>
      <c r="BV353" s="26"/>
      <c r="BW353" s="26"/>
      <c r="BX353" s="26"/>
      <c r="BY353" s="26"/>
      <c r="BZ353" s="26"/>
      <c r="CA353" s="26"/>
      <c r="CB353" s="26"/>
      <c r="CC353" s="26"/>
      <c r="CD353" s="26"/>
      <c r="CE353" s="26"/>
      <c r="CF353" s="26"/>
      <c r="CG353" s="26"/>
      <c r="CH353" s="26"/>
      <c r="CI353" s="26"/>
      <c r="CJ353" s="26"/>
      <c r="CK353" s="26"/>
      <c r="CL353" s="26"/>
      <c r="CM353" s="26"/>
      <c r="CN353" s="26"/>
      <c r="CO353" s="26"/>
      <c r="CP353" s="26"/>
      <c r="CQ353" s="26"/>
      <c r="CR353" s="26"/>
      <c r="CS353" s="26"/>
      <c r="CT353" s="26"/>
      <c r="CU353" s="26"/>
      <c r="CV353" s="26"/>
      <c r="CW353" s="26"/>
      <c r="CX353" s="26"/>
      <c r="CY353" s="26"/>
      <c r="CZ353" s="26"/>
    </row>
    <row r="354" spans="1:104" x14ac:dyDescent="0.2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6"/>
      <c r="AB354" s="26"/>
      <c r="AC354" s="26"/>
      <c r="AD354" s="26"/>
      <c r="AE354" s="26"/>
      <c r="AF354" s="26"/>
      <c r="AG354" s="26"/>
      <c r="AH354" s="26"/>
      <c r="AI354" s="26"/>
      <c r="AJ354" s="26"/>
      <c r="AK354" s="26"/>
      <c r="AL354" s="26"/>
      <c r="AM354" s="26"/>
      <c r="AN354" s="26"/>
      <c r="AO354" s="26"/>
      <c r="AP354" s="26"/>
      <c r="AQ354" s="26"/>
      <c r="AR354" s="26"/>
      <c r="AS354" s="26"/>
      <c r="AT354" s="26"/>
      <c r="AU354" s="26"/>
      <c r="AV354" s="26"/>
      <c r="AW354" s="26"/>
      <c r="AX354" s="26"/>
      <c r="AY354" s="26"/>
      <c r="AZ354" s="26"/>
      <c r="BA354" s="26"/>
      <c r="BB354" s="26"/>
      <c r="BC354" s="26"/>
      <c r="BD354" s="26"/>
      <c r="BE354" s="26"/>
      <c r="BF354" s="26"/>
      <c r="BG354" s="26"/>
      <c r="BH354" s="26"/>
      <c r="BI354" s="26"/>
      <c r="BJ354" s="26"/>
      <c r="BK354" s="26"/>
      <c r="BL354" s="26"/>
      <c r="BM354" s="26"/>
      <c r="BN354" s="26"/>
      <c r="BO354" s="26"/>
      <c r="BP354" s="26"/>
      <c r="BQ354" s="26"/>
      <c r="BR354" s="26"/>
      <c r="BS354" s="26"/>
      <c r="BT354" s="26"/>
      <c r="BU354" s="26"/>
      <c r="BV354" s="26"/>
      <c r="BW354" s="26"/>
      <c r="BX354" s="26"/>
      <c r="BY354" s="26"/>
      <c r="BZ354" s="26"/>
      <c r="CA354" s="26"/>
      <c r="CB354" s="26"/>
      <c r="CC354" s="26"/>
      <c r="CD354" s="26"/>
      <c r="CE354" s="26"/>
      <c r="CF354" s="26"/>
      <c r="CG354" s="26"/>
      <c r="CH354" s="26"/>
      <c r="CI354" s="26"/>
      <c r="CJ354" s="26"/>
      <c r="CK354" s="26"/>
      <c r="CL354" s="26"/>
      <c r="CM354" s="26"/>
      <c r="CN354" s="26"/>
      <c r="CO354" s="26"/>
      <c r="CP354" s="26"/>
      <c r="CQ354" s="26"/>
      <c r="CR354" s="26"/>
      <c r="CS354" s="26"/>
      <c r="CT354" s="26"/>
      <c r="CU354" s="26"/>
      <c r="CV354" s="26"/>
      <c r="CW354" s="26"/>
      <c r="CX354" s="26"/>
      <c r="CY354" s="26"/>
      <c r="CZ354" s="26"/>
    </row>
    <row r="355" spans="1:104" x14ac:dyDescent="0.2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6"/>
      <c r="AB355" s="26"/>
      <c r="AC355" s="26"/>
      <c r="AD355" s="26"/>
      <c r="AE355" s="26"/>
      <c r="AF355" s="26"/>
      <c r="AG355" s="26"/>
      <c r="AH355" s="26"/>
      <c r="AI355" s="26"/>
      <c r="AJ355" s="26"/>
      <c r="AK355" s="26"/>
      <c r="AL355" s="26"/>
      <c r="AM355" s="26"/>
      <c r="AN355" s="26"/>
      <c r="AO355" s="26"/>
      <c r="AP355" s="26"/>
      <c r="AQ355" s="26"/>
      <c r="AR355" s="26"/>
      <c r="AS355" s="26"/>
      <c r="AT355" s="26"/>
      <c r="AU355" s="26"/>
      <c r="AV355" s="26"/>
      <c r="AW355" s="26"/>
      <c r="AX355" s="26"/>
      <c r="AY355" s="26"/>
      <c r="AZ355" s="26"/>
      <c r="BA355" s="26"/>
      <c r="BB355" s="26"/>
      <c r="BC355" s="26"/>
      <c r="BD355" s="26"/>
      <c r="BE355" s="26"/>
      <c r="BF355" s="26"/>
      <c r="BG355" s="26"/>
      <c r="BH355" s="26"/>
      <c r="BI355" s="26"/>
      <c r="BJ355" s="26"/>
      <c r="BK355" s="26"/>
      <c r="BL355" s="26"/>
      <c r="BM355" s="26"/>
      <c r="BN355" s="26"/>
      <c r="BO355" s="26"/>
      <c r="BP355" s="26"/>
      <c r="BQ355" s="26"/>
      <c r="BR355" s="26"/>
      <c r="BS355" s="26"/>
      <c r="BT355" s="26"/>
      <c r="BU355" s="26"/>
      <c r="BV355" s="26"/>
      <c r="BW355" s="26"/>
      <c r="BX355" s="26"/>
      <c r="BY355" s="26"/>
      <c r="BZ355" s="26"/>
      <c r="CA355" s="26"/>
      <c r="CB355" s="26"/>
      <c r="CC355" s="26"/>
      <c r="CD355" s="26"/>
      <c r="CE355" s="26"/>
      <c r="CF355" s="26"/>
      <c r="CG355" s="26"/>
      <c r="CH355" s="26"/>
      <c r="CI355" s="26"/>
      <c r="CJ355" s="26"/>
      <c r="CK355" s="26"/>
      <c r="CL355" s="26"/>
      <c r="CM355" s="26"/>
      <c r="CN355" s="26"/>
      <c r="CO355" s="26"/>
      <c r="CP355" s="26"/>
      <c r="CQ355" s="26"/>
      <c r="CR355" s="26"/>
      <c r="CS355" s="26"/>
      <c r="CT355" s="26"/>
      <c r="CU355" s="26"/>
      <c r="CV355" s="26"/>
      <c r="CW355" s="26"/>
      <c r="CX355" s="26"/>
      <c r="CY355" s="26"/>
      <c r="CZ355" s="26"/>
    </row>
    <row r="356" spans="1:104" x14ac:dyDescent="0.2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6"/>
      <c r="AB356" s="26"/>
      <c r="AC356" s="26"/>
      <c r="AD356" s="26"/>
      <c r="AE356" s="26"/>
      <c r="AF356" s="26"/>
      <c r="AG356" s="26"/>
      <c r="AH356" s="26"/>
      <c r="AI356" s="26"/>
      <c r="AJ356" s="26"/>
      <c r="AK356" s="26"/>
      <c r="AL356" s="26"/>
      <c r="AM356" s="26"/>
      <c r="AN356" s="26"/>
      <c r="AO356" s="26"/>
      <c r="AP356" s="26"/>
      <c r="AQ356" s="26"/>
      <c r="AR356" s="26"/>
      <c r="AS356" s="26"/>
      <c r="AT356" s="26"/>
      <c r="AU356" s="26"/>
      <c r="AV356" s="26"/>
      <c r="AW356" s="26"/>
      <c r="AX356" s="26"/>
      <c r="AY356" s="26"/>
      <c r="AZ356" s="26"/>
      <c r="BA356" s="26"/>
      <c r="BB356" s="26"/>
      <c r="BC356" s="26"/>
      <c r="BD356" s="26"/>
      <c r="BE356" s="26"/>
      <c r="BF356" s="26"/>
      <c r="BG356" s="26"/>
      <c r="BH356" s="26"/>
      <c r="BI356" s="26"/>
      <c r="BJ356" s="26"/>
      <c r="BK356" s="26"/>
      <c r="BL356" s="26"/>
      <c r="BM356" s="26"/>
      <c r="BN356" s="26"/>
      <c r="BO356" s="26"/>
      <c r="BP356" s="26"/>
      <c r="BQ356" s="26"/>
      <c r="BR356" s="26"/>
      <c r="BS356" s="26"/>
      <c r="BT356" s="26"/>
      <c r="BU356" s="26"/>
      <c r="BV356" s="26"/>
      <c r="BW356" s="26"/>
      <c r="BX356" s="26"/>
      <c r="BY356" s="26"/>
      <c r="BZ356" s="26"/>
      <c r="CA356" s="26"/>
      <c r="CB356" s="26"/>
      <c r="CC356" s="26"/>
      <c r="CD356" s="26"/>
      <c r="CE356" s="26"/>
      <c r="CF356" s="26"/>
      <c r="CG356" s="26"/>
      <c r="CH356" s="26"/>
      <c r="CI356" s="26"/>
      <c r="CJ356" s="26"/>
      <c r="CK356" s="26"/>
      <c r="CL356" s="26"/>
      <c r="CM356" s="26"/>
      <c r="CN356" s="26"/>
      <c r="CO356" s="26"/>
      <c r="CP356" s="26"/>
      <c r="CQ356" s="26"/>
      <c r="CR356" s="26"/>
      <c r="CS356" s="26"/>
      <c r="CT356" s="26"/>
      <c r="CU356" s="26"/>
      <c r="CV356" s="26"/>
      <c r="CW356" s="26"/>
      <c r="CX356" s="26"/>
      <c r="CY356" s="26"/>
      <c r="CZ356" s="26"/>
    </row>
    <row r="357" spans="1:104" x14ac:dyDescent="0.2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6"/>
      <c r="AB357" s="26"/>
      <c r="AC357" s="26"/>
      <c r="AD357" s="26"/>
      <c r="AE357" s="26"/>
      <c r="AF357" s="26"/>
      <c r="AG357" s="26"/>
      <c r="AH357" s="26"/>
      <c r="AI357" s="26"/>
      <c r="AJ357" s="26"/>
      <c r="AK357" s="26"/>
      <c r="AL357" s="26"/>
      <c r="AM357" s="26"/>
      <c r="AN357" s="26"/>
      <c r="AO357" s="26"/>
      <c r="AP357" s="26"/>
      <c r="AQ357" s="26"/>
      <c r="AR357" s="26"/>
      <c r="AS357" s="26"/>
      <c r="AT357" s="26"/>
      <c r="AU357" s="26"/>
      <c r="AV357" s="26"/>
      <c r="AW357" s="26"/>
      <c r="AX357" s="26"/>
      <c r="AY357" s="26"/>
      <c r="AZ357" s="26"/>
      <c r="BA357" s="26"/>
      <c r="BB357" s="26"/>
      <c r="BC357" s="26"/>
      <c r="BD357" s="26"/>
      <c r="BE357" s="26"/>
      <c r="BF357" s="26"/>
      <c r="BG357" s="26"/>
      <c r="BH357" s="26"/>
      <c r="BI357" s="26"/>
      <c r="BJ357" s="26"/>
      <c r="BK357" s="26"/>
      <c r="BL357" s="26"/>
      <c r="BM357" s="26"/>
      <c r="BN357" s="26"/>
      <c r="BO357" s="26"/>
      <c r="BP357" s="26"/>
      <c r="BQ357" s="26"/>
      <c r="BR357" s="26"/>
      <c r="BS357" s="26"/>
      <c r="BT357" s="26"/>
      <c r="BU357" s="26"/>
      <c r="BV357" s="26"/>
      <c r="BW357" s="26"/>
      <c r="BX357" s="26"/>
      <c r="BY357" s="26"/>
      <c r="BZ357" s="26"/>
      <c r="CA357" s="26"/>
      <c r="CB357" s="26"/>
      <c r="CC357" s="26"/>
      <c r="CD357" s="26"/>
      <c r="CE357" s="26"/>
      <c r="CF357" s="26"/>
      <c r="CG357" s="26"/>
      <c r="CH357" s="26"/>
      <c r="CI357" s="26"/>
      <c r="CJ357" s="26"/>
      <c r="CK357" s="26"/>
      <c r="CL357" s="26"/>
      <c r="CM357" s="26"/>
      <c r="CN357" s="26"/>
      <c r="CO357" s="26"/>
      <c r="CP357" s="26"/>
      <c r="CQ357" s="26"/>
      <c r="CR357" s="26"/>
      <c r="CS357" s="26"/>
      <c r="CT357" s="26"/>
      <c r="CU357" s="26"/>
      <c r="CV357" s="26"/>
      <c r="CW357" s="26"/>
      <c r="CX357" s="26"/>
      <c r="CY357" s="26"/>
      <c r="CZ357" s="26"/>
    </row>
    <row r="358" spans="1:104" x14ac:dyDescent="0.2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6"/>
      <c r="AB358" s="26"/>
      <c r="AC358" s="26"/>
      <c r="AD358" s="26"/>
      <c r="AE358" s="26"/>
      <c r="AF358" s="26"/>
      <c r="AG358" s="26"/>
      <c r="AH358" s="26"/>
      <c r="AI358" s="26"/>
      <c r="AJ358" s="26"/>
      <c r="AK358" s="26"/>
      <c r="AL358" s="26"/>
      <c r="AM358" s="26"/>
      <c r="AN358" s="26"/>
      <c r="AO358" s="26"/>
      <c r="AP358" s="26"/>
      <c r="AQ358" s="26"/>
      <c r="AR358" s="26"/>
      <c r="AS358" s="26"/>
      <c r="AT358" s="26"/>
      <c r="AU358" s="26"/>
      <c r="AV358" s="26"/>
      <c r="AW358" s="26"/>
      <c r="AX358" s="26"/>
      <c r="AY358" s="26"/>
      <c r="AZ358" s="26"/>
      <c r="BA358" s="26"/>
      <c r="BB358" s="26"/>
      <c r="BC358" s="26"/>
      <c r="BD358" s="26"/>
      <c r="BE358" s="26"/>
      <c r="BF358" s="26"/>
      <c r="BG358" s="26"/>
      <c r="BH358" s="26"/>
      <c r="BI358" s="26"/>
      <c r="BJ358" s="26"/>
      <c r="BK358" s="26"/>
      <c r="BL358" s="26"/>
      <c r="BM358" s="26"/>
      <c r="BN358" s="26"/>
      <c r="BO358" s="26"/>
      <c r="BP358" s="26"/>
      <c r="BQ358" s="26"/>
      <c r="BR358" s="26"/>
      <c r="BS358" s="26"/>
      <c r="BT358" s="26"/>
      <c r="BU358" s="26"/>
      <c r="BV358" s="26"/>
      <c r="BW358" s="26"/>
      <c r="BX358" s="26"/>
      <c r="BY358" s="26"/>
      <c r="BZ358" s="26"/>
      <c r="CA358" s="26"/>
      <c r="CB358" s="26"/>
      <c r="CC358" s="26"/>
      <c r="CD358" s="26"/>
      <c r="CE358" s="26"/>
      <c r="CF358" s="26"/>
      <c r="CG358" s="26"/>
      <c r="CH358" s="26"/>
      <c r="CI358" s="26"/>
      <c r="CJ358" s="26"/>
      <c r="CK358" s="26"/>
      <c r="CL358" s="26"/>
      <c r="CM358" s="26"/>
      <c r="CN358" s="26"/>
      <c r="CO358" s="26"/>
      <c r="CP358" s="26"/>
      <c r="CQ358" s="26"/>
      <c r="CR358" s="26"/>
      <c r="CS358" s="26"/>
      <c r="CT358" s="26"/>
      <c r="CU358" s="26"/>
      <c r="CV358" s="26"/>
      <c r="CW358" s="26"/>
      <c r="CX358" s="26"/>
      <c r="CY358" s="26"/>
      <c r="CZ358" s="26"/>
    </row>
    <row r="359" spans="1:104" x14ac:dyDescent="0.2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6"/>
      <c r="AB359" s="26"/>
      <c r="AC359" s="26"/>
      <c r="AD359" s="26"/>
      <c r="AE359" s="26"/>
      <c r="AF359" s="26"/>
      <c r="AG359" s="26"/>
      <c r="AH359" s="26"/>
      <c r="AI359" s="26"/>
      <c r="AJ359" s="26"/>
      <c r="AK359" s="26"/>
      <c r="AL359" s="26"/>
      <c r="AM359" s="26"/>
      <c r="AN359" s="26"/>
      <c r="AO359" s="26"/>
      <c r="AP359" s="26"/>
      <c r="AQ359" s="26"/>
      <c r="AR359" s="26"/>
      <c r="AS359" s="26"/>
      <c r="AT359" s="26"/>
      <c r="AU359" s="26"/>
      <c r="AV359" s="26"/>
      <c r="AW359" s="26"/>
      <c r="AX359" s="26"/>
      <c r="AY359" s="26"/>
      <c r="AZ359" s="26"/>
      <c r="BA359" s="26"/>
      <c r="BB359" s="26"/>
      <c r="BC359" s="26"/>
      <c r="BD359" s="26"/>
      <c r="BE359" s="26"/>
      <c r="BF359" s="26"/>
      <c r="BG359" s="26"/>
      <c r="BH359" s="26"/>
      <c r="BI359" s="26"/>
      <c r="BJ359" s="26"/>
      <c r="BK359" s="26"/>
      <c r="BL359" s="26"/>
      <c r="BM359" s="26"/>
      <c r="BN359" s="26"/>
      <c r="BO359" s="26"/>
      <c r="BP359" s="26"/>
      <c r="BQ359" s="26"/>
      <c r="BR359" s="26"/>
      <c r="BS359" s="26"/>
      <c r="BT359" s="26"/>
      <c r="BU359" s="26"/>
      <c r="BV359" s="26"/>
      <c r="BW359" s="26"/>
      <c r="BX359" s="26"/>
      <c r="BY359" s="26"/>
      <c r="BZ359" s="26"/>
      <c r="CA359" s="26"/>
      <c r="CB359" s="26"/>
      <c r="CC359" s="26"/>
      <c r="CD359" s="26"/>
      <c r="CE359" s="26"/>
      <c r="CF359" s="26"/>
      <c r="CG359" s="26"/>
      <c r="CH359" s="26"/>
      <c r="CI359" s="26"/>
      <c r="CJ359" s="26"/>
      <c r="CK359" s="26"/>
      <c r="CL359" s="26"/>
      <c r="CM359" s="26"/>
      <c r="CN359" s="26"/>
      <c r="CO359" s="26"/>
      <c r="CP359" s="26"/>
      <c r="CQ359" s="26"/>
      <c r="CR359" s="26"/>
      <c r="CS359" s="26"/>
      <c r="CT359" s="26"/>
      <c r="CU359" s="26"/>
      <c r="CV359" s="26"/>
      <c r="CW359" s="26"/>
      <c r="CX359" s="26"/>
      <c r="CY359" s="26"/>
      <c r="CZ359" s="26"/>
    </row>
    <row r="360" spans="1:104" x14ac:dyDescent="0.2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6"/>
      <c r="AB360" s="26"/>
      <c r="AC360" s="26"/>
      <c r="AD360" s="26"/>
      <c r="AE360" s="26"/>
      <c r="AF360" s="26"/>
      <c r="AG360" s="26"/>
      <c r="AH360" s="26"/>
      <c r="AI360" s="26"/>
      <c r="AJ360" s="26"/>
      <c r="AK360" s="26"/>
      <c r="AL360" s="26"/>
      <c r="AM360" s="26"/>
      <c r="AN360" s="26"/>
      <c r="AO360" s="26"/>
      <c r="AP360" s="26"/>
      <c r="AQ360" s="26"/>
      <c r="AR360" s="26"/>
      <c r="AS360" s="26"/>
      <c r="AT360" s="26"/>
      <c r="AU360" s="26"/>
      <c r="AV360" s="26"/>
      <c r="AW360" s="26"/>
      <c r="AX360" s="26"/>
      <c r="AY360" s="26"/>
      <c r="AZ360" s="26"/>
      <c r="BA360" s="26"/>
      <c r="BB360" s="26"/>
      <c r="BC360" s="26"/>
      <c r="BD360" s="26"/>
      <c r="BE360" s="26"/>
      <c r="BF360" s="26"/>
      <c r="BG360" s="26"/>
      <c r="BH360" s="26"/>
      <c r="BI360" s="26"/>
      <c r="BJ360" s="26"/>
      <c r="BK360" s="26"/>
      <c r="BL360" s="26"/>
      <c r="BM360" s="26"/>
      <c r="BN360" s="26"/>
      <c r="BO360" s="26"/>
      <c r="BP360" s="26"/>
      <c r="BQ360" s="26"/>
      <c r="BR360" s="26"/>
      <c r="BS360" s="26"/>
      <c r="BT360" s="26"/>
      <c r="BU360" s="26"/>
      <c r="BV360" s="26"/>
      <c r="BW360" s="26"/>
      <c r="BX360" s="26"/>
      <c r="BY360" s="26"/>
      <c r="BZ360" s="26"/>
      <c r="CA360" s="26"/>
      <c r="CB360" s="26"/>
      <c r="CC360" s="26"/>
      <c r="CD360" s="26"/>
      <c r="CE360" s="26"/>
      <c r="CF360" s="26"/>
      <c r="CG360" s="26"/>
      <c r="CH360" s="26"/>
      <c r="CI360" s="26"/>
      <c r="CJ360" s="26"/>
      <c r="CK360" s="26"/>
      <c r="CL360" s="26"/>
      <c r="CM360" s="26"/>
      <c r="CN360" s="26"/>
      <c r="CO360" s="26"/>
      <c r="CP360" s="26"/>
      <c r="CQ360" s="26"/>
      <c r="CR360" s="26"/>
      <c r="CS360" s="26"/>
      <c r="CT360" s="26"/>
      <c r="CU360" s="26"/>
      <c r="CV360" s="26"/>
      <c r="CW360" s="26"/>
      <c r="CX360" s="26"/>
      <c r="CY360" s="26"/>
      <c r="CZ360" s="26"/>
    </row>
    <row r="361" spans="1:104" x14ac:dyDescent="0.2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6"/>
      <c r="AB361" s="26"/>
      <c r="AC361" s="26"/>
      <c r="AD361" s="26"/>
      <c r="AE361" s="26"/>
      <c r="AF361" s="26"/>
      <c r="AG361" s="26"/>
      <c r="AH361" s="26"/>
      <c r="AI361" s="26"/>
      <c r="AJ361" s="26"/>
      <c r="AK361" s="26"/>
      <c r="AL361" s="26"/>
      <c r="AM361" s="26"/>
      <c r="AN361" s="26"/>
      <c r="AO361" s="26"/>
      <c r="AP361" s="26"/>
      <c r="AQ361" s="26"/>
      <c r="AR361" s="26"/>
      <c r="AS361" s="26"/>
      <c r="AT361" s="26"/>
      <c r="AU361" s="26"/>
      <c r="AV361" s="26"/>
      <c r="AW361" s="26"/>
      <c r="AX361" s="26"/>
      <c r="AY361" s="26"/>
      <c r="AZ361" s="26"/>
      <c r="BA361" s="26"/>
      <c r="BB361" s="26"/>
      <c r="BC361" s="26"/>
      <c r="BD361" s="26"/>
      <c r="BE361" s="26"/>
      <c r="BF361" s="26"/>
      <c r="BG361" s="26"/>
      <c r="BH361" s="26"/>
      <c r="BI361" s="26"/>
      <c r="BJ361" s="26"/>
      <c r="BK361" s="26"/>
      <c r="BL361" s="26"/>
      <c r="BM361" s="26"/>
      <c r="BN361" s="26"/>
      <c r="BO361" s="26"/>
      <c r="BP361" s="26"/>
      <c r="BQ361" s="26"/>
      <c r="BR361" s="26"/>
      <c r="BS361" s="26"/>
      <c r="BT361" s="26"/>
      <c r="BU361" s="26"/>
      <c r="BV361" s="26"/>
      <c r="BW361" s="26"/>
      <c r="BX361" s="26"/>
      <c r="BY361" s="26"/>
      <c r="BZ361" s="26"/>
      <c r="CA361" s="26"/>
      <c r="CB361" s="26"/>
      <c r="CC361" s="26"/>
      <c r="CD361" s="26"/>
      <c r="CE361" s="26"/>
      <c r="CF361" s="26"/>
      <c r="CG361" s="26"/>
      <c r="CH361" s="26"/>
      <c r="CI361" s="26"/>
      <c r="CJ361" s="26"/>
      <c r="CK361" s="26"/>
      <c r="CL361" s="26"/>
      <c r="CM361" s="26"/>
      <c r="CN361" s="26"/>
      <c r="CO361" s="26"/>
      <c r="CP361" s="26"/>
      <c r="CQ361" s="26"/>
      <c r="CR361" s="26"/>
      <c r="CS361" s="26"/>
      <c r="CT361" s="26"/>
      <c r="CU361" s="26"/>
      <c r="CV361" s="26"/>
      <c r="CW361" s="26"/>
      <c r="CX361" s="26"/>
      <c r="CY361" s="26"/>
      <c r="CZ361" s="26"/>
    </row>
    <row r="362" spans="1:104" x14ac:dyDescent="0.2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6"/>
      <c r="AB362" s="26"/>
      <c r="AC362" s="26"/>
      <c r="AD362" s="26"/>
      <c r="AE362" s="26"/>
      <c r="AF362" s="26"/>
      <c r="AG362" s="26"/>
      <c r="AH362" s="26"/>
      <c r="AI362" s="26"/>
      <c r="AJ362" s="26"/>
      <c r="AK362" s="26"/>
      <c r="AL362" s="26"/>
      <c r="AM362" s="26"/>
      <c r="AN362" s="26"/>
      <c r="AO362" s="26"/>
      <c r="AP362" s="26"/>
      <c r="AQ362" s="26"/>
      <c r="AR362" s="26"/>
      <c r="AS362" s="26"/>
      <c r="AT362" s="26"/>
      <c r="AU362" s="26"/>
      <c r="AV362" s="26"/>
      <c r="AW362" s="26"/>
      <c r="AX362" s="26"/>
      <c r="AY362" s="26"/>
      <c r="AZ362" s="26"/>
      <c r="BA362" s="26"/>
      <c r="BB362" s="26"/>
      <c r="BC362" s="26"/>
      <c r="BD362" s="26"/>
      <c r="BE362" s="26"/>
      <c r="BF362" s="26"/>
      <c r="BG362" s="26"/>
      <c r="BH362" s="26"/>
      <c r="BI362" s="26"/>
      <c r="BJ362" s="26"/>
      <c r="BK362" s="26"/>
      <c r="BL362" s="26"/>
      <c r="BM362" s="26"/>
      <c r="BN362" s="26"/>
      <c r="BO362" s="26"/>
      <c r="BP362" s="26"/>
      <c r="BQ362" s="26"/>
      <c r="BR362" s="26"/>
      <c r="BS362" s="26"/>
      <c r="BT362" s="26"/>
      <c r="BU362" s="26"/>
      <c r="BV362" s="26"/>
      <c r="BW362" s="26"/>
      <c r="BX362" s="26"/>
      <c r="BY362" s="26"/>
      <c r="BZ362" s="26"/>
      <c r="CA362" s="26"/>
      <c r="CB362" s="26"/>
      <c r="CC362" s="26"/>
      <c r="CD362" s="26"/>
      <c r="CE362" s="26"/>
      <c r="CF362" s="26"/>
      <c r="CG362" s="26"/>
      <c r="CH362" s="26"/>
      <c r="CI362" s="26"/>
      <c r="CJ362" s="26"/>
      <c r="CK362" s="26"/>
      <c r="CL362" s="26"/>
      <c r="CM362" s="26"/>
      <c r="CN362" s="26"/>
      <c r="CO362" s="26"/>
      <c r="CP362" s="26"/>
      <c r="CQ362" s="26"/>
      <c r="CR362" s="26"/>
      <c r="CS362" s="26"/>
      <c r="CT362" s="26"/>
      <c r="CU362" s="26"/>
      <c r="CV362" s="26"/>
      <c r="CW362" s="26"/>
      <c r="CX362" s="26"/>
      <c r="CY362" s="26"/>
      <c r="CZ362" s="26"/>
    </row>
    <row r="363" spans="1:104" x14ac:dyDescent="0.2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6"/>
      <c r="AB363" s="26"/>
      <c r="AC363" s="26"/>
      <c r="AD363" s="26"/>
      <c r="AE363" s="26"/>
      <c r="AF363" s="26"/>
      <c r="AG363" s="26"/>
      <c r="AH363" s="26"/>
      <c r="AI363" s="26"/>
      <c r="AJ363" s="26"/>
      <c r="AK363" s="26"/>
      <c r="AL363" s="26"/>
      <c r="AM363" s="26"/>
      <c r="AN363" s="26"/>
      <c r="AO363" s="26"/>
      <c r="AP363" s="26"/>
      <c r="AQ363" s="26"/>
      <c r="AR363" s="26"/>
      <c r="AS363" s="26"/>
      <c r="AT363" s="26"/>
      <c r="AU363" s="26"/>
      <c r="AV363" s="26"/>
      <c r="AW363" s="26"/>
      <c r="AX363" s="26"/>
      <c r="AY363" s="26"/>
      <c r="AZ363" s="26"/>
      <c r="BA363" s="26"/>
      <c r="BB363" s="26"/>
      <c r="BC363" s="26"/>
      <c r="BD363" s="26"/>
      <c r="BE363" s="26"/>
      <c r="BF363" s="26"/>
      <c r="BG363" s="26"/>
      <c r="BH363" s="26"/>
      <c r="BI363" s="26"/>
      <c r="BJ363" s="26"/>
      <c r="BK363" s="26"/>
      <c r="BL363" s="26"/>
      <c r="BM363" s="26"/>
      <c r="BN363" s="26"/>
      <c r="BO363" s="26"/>
      <c r="BP363" s="26"/>
      <c r="BQ363" s="26"/>
      <c r="BR363" s="26"/>
      <c r="BS363" s="26"/>
      <c r="BT363" s="26"/>
      <c r="BU363" s="26"/>
      <c r="BV363" s="26"/>
      <c r="BW363" s="26"/>
      <c r="BX363" s="26"/>
      <c r="BY363" s="26"/>
      <c r="BZ363" s="26"/>
      <c r="CA363" s="26"/>
      <c r="CB363" s="26"/>
      <c r="CC363" s="26"/>
      <c r="CD363" s="26"/>
      <c r="CE363" s="26"/>
      <c r="CF363" s="26"/>
      <c r="CG363" s="26"/>
      <c r="CH363" s="26"/>
      <c r="CI363" s="26"/>
      <c r="CJ363" s="26"/>
      <c r="CK363" s="26"/>
      <c r="CL363" s="26"/>
      <c r="CM363" s="26"/>
      <c r="CN363" s="26"/>
      <c r="CO363" s="26"/>
      <c r="CP363" s="26"/>
      <c r="CQ363" s="26"/>
      <c r="CR363" s="26"/>
      <c r="CS363" s="26"/>
      <c r="CT363" s="26"/>
      <c r="CU363" s="26"/>
      <c r="CV363" s="26"/>
      <c r="CW363" s="26"/>
      <c r="CX363" s="26"/>
      <c r="CY363" s="26"/>
      <c r="CZ363" s="26"/>
    </row>
    <row r="364" spans="1:104" x14ac:dyDescent="0.2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6"/>
      <c r="AB364" s="26"/>
      <c r="AC364" s="26"/>
      <c r="AD364" s="26"/>
      <c r="AE364" s="26"/>
      <c r="AF364" s="26"/>
      <c r="AG364" s="26"/>
      <c r="AH364" s="26"/>
      <c r="AI364" s="26"/>
      <c r="AJ364" s="26"/>
      <c r="AK364" s="26"/>
      <c r="AL364" s="26"/>
      <c r="AM364" s="26"/>
      <c r="AN364" s="26"/>
      <c r="AO364" s="26"/>
      <c r="AP364" s="26"/>
      <c r="AQ364" s="26"/>
      <c r="AR364" s="26"/>
      <c r="AS364" s="26"/>
      <c r="AT364" s="26"/>
      <c r="AU364" s="26"/>
      <c r="AV364" s="26"/>
      <c r="AW364" s="26"/>
      <c r="AX364" s="26"/>
      <c r="AY364" s="26"/>
      <c r="AZ364" s="26"/>
      <c r="BA364" s="26"/>
      <c r="BB364" s="26"/>
      <c r="BC364" s="26"/>
      <c r="BD364" s="26"/>
      <c r="BE364" s="26"/>
      <c r="BF364" s="26"/>
      <c r="BG364" s="26"/>
      <c r="BH364" s="26"/>
      <c r="BI364" s="26"/>
      <c r="BJ364" s="26"/>
      <c r="BK364" s="26"/>
      <c r="BL364" s="26"/>
      <c r="BM364" s="26"/>
      <c r="BN364" s="26"/>
      <c r="BO364" s="26"/>
      <c r="BP364" s="26"/>
      <c r="BQ364" s="26"/>
      <c r="BR364" s="26"/>
      <c r="BS364" s="26"/>
      <c r="BT364" s="26"/>
      <c r="BU364" s="26"/>
      <c r="BV364" s="26"/>
      <c r="BW364" s="26"/>
      <c r="BX364" s="26"/>
      <c r="BY364" s="26"/>
      <c r="BZ364" s="26"/>
      <c r="CA364" s="26"/>
      <c r="CB364" s="26"/>
      <c r="CC364" s="26"/>
      <c r="CD364" s="26"/>
      <c r="CE364" s="26"/>
      <c r="CF364" s="26"/>
      <c r="CG364" s="26"/>
      <c r="CH364" s="26"/>
      <c r="CI364" s="26"/>
      <c r="CJ364" s="26"/>
      <c r="CK364" s="26"/>
      <c r="CL364" s="26"/>
      <c r="CM364" s="26"/>
      <c r="CN364" s="26"/>
      <c r="CO364" s="26"/>
      <c r="CP364" s="26"/>
      <c r="CQ364" s="26"/>
      <c r="CR364" s="26"/>
      <c r="CS364" s="26"/>
      <c r="CT364" s="26"/>
      <c r="CU364" s="26"/>
      <c r="CV364" s="26"/>
      <c r="CW364" s="26"/>
      <c r="CX364" s="26"/>
      <c r="CY364" s="26"/>
      <c r="CZ364" s="26"/>
    </row>
    <row r="365" spans="1:104" x14ac:dyDescent="0.2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6"/>
      <c r="AB365" s="26"/>
      <c r="AC365" s="26"/>
      <c r="AD365" s="26"/>
      <c r="AE365" s="26"/>
      <c r="AF365" s="26"/>
      <c r="AG365" s="26"/>
      <c r="AH365" s="26"/>
      <c r="AI365" s="26"/>
      <c r="AJ365" s="26"/>
      <c r="AK365" s="26"/>
      <c r="AL365" s="26"/>
      <c r="AM365" s="26"/>
      <c r="AN365" s="26"/>
      <c r="AO365" s="26"/>
      <c r="AP365" s="26"/>
      <c r="AQ365" s="26"/>
      <c r="AR365" s="26"/>
      <c r="AS365" s="26"/>
      <c r="AT365" s="26"/>
      <c r="AU365" s="26"/>
      <c r="AV365" s="26"/>
      <c r="AW365" s="26"/>
      <c r="AX365" s="26"/>
      <c r="AY365" s="26"/>
      <c r="AZ365" s="26"/>
      <c r="BA365" s="26"/>
      <c r="BB365" s="26"/>
      <c r="BC365" s="26"/>
      <c r="BD365" s="26"/>
      <c r="BE365" s="26"/>
      <c r="BF365" s="26"/>
      <c r="BG365" s="26"/>
      <c r="BH365" s="26"/>
      <c r="BI365" s="26"/>
      <c r="BJ365" s="26"/>
      <c r="BK365" s="26"/>
      <c r="BL365" s="26"/>
      <c r="BM365" s="26"/>
      <c r="BN365" s="26"/>
      <c r="BO365" s="26"/>
      <c r="BP365" s="26"/>
      <c r="BQ365" s="26"/>
      <c r="BR365" s="26"/>
      <c r="BS365" s="26"/>
      <c r="BT365" s="26"/>
      <c r="BU365" s="26"/>
      <c r="BV365" s="26"/>
      <c r="BW365" s="26"/>
      <c r="BX365" s="26"/>
      <c r="BY365" s="26"/>
      <c r="BZ365" s="26"/>
      <c r="CA365" s="26"/>
      <c r="CB365" s="26"/>
      <c r="CC365" s="26"/>
      <c r="CD365" s="26"/>
      <c r="CE365" s="26"/>
      <c r="CF365" s="26"/>
      <c r="CG365" s="26"/>
      <c r="CH365" s="26"/>
      <c r="CI365" s="26"/>
      <c r="CJ365" s="26"/>
      <c r="CK365" s="26"/>
      <c r="CL365" s="26"/>
      <c r="CM365" s="26"/>
      <c r="CN365" s="26"/>
      <c r="CO365" s="26"/>
      <c r="CP365" s="26"/>
      <c r="CQ365" s="26"/>
      <c r="CR365" s="26"/>
      <c r="CS365" s="26"/>
      <c r="CT365" s="26"/>
      <c r="CU365" s="26"/>
      <c r="CV365" s="26"/>
      <c r="CW365" s="26"/>
      <c r="CX365" s="26"/>
      <c r="CY365" s="26"/>
      <c r="CZ365" s="26"/>
    </row>
    <row r="366" spans="1:104" x14ac:dyDescent="0.2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6"/>
      <c r="AB366" s="26"/>
      <c r="AC366" s="26"/>
      <c r="AD366" s="26"/>
      <c r="AE366" s="26"/>
      <c r="AF366" s="26"/>
      <c r="AG366" s="26"/>
      <c r="AH366" s="26"/>
      <c r="AI366" s="26"/>
      <c r="AJ366" s="26"/>
      <c r="AK366" s="26"/>
      <c r="AL366" s="26"/>
      <c r="AM366" s="26"/>
      <c r="AN366" s="26"/>
      <c r="AO366" s="26"/>
      <c r="AP366" s="26"/>
      <c r="AQ366" s="26"/>
      <c r="AR366" s="26"/>
      <c r="AS366" s="26"/>
      <c r="AT366" s="26"/>
      <c r="AU366" s="26"/>
      <c r="AV366" s="26"/>
      <c r="AW366" s="26"/>
      <c r="AX366" s="26"/>
      <c r="AY366" s="26"/>
      <c r="AZ366" s="26"/>
      <c r="BA366" s="26"/>
      <c r="BB366" s="26"/>
      <c r="BC366" s="26"/>
      <c r="BD366" s="26"/>
      <c r="BE366" s="26"/>
      <c r="BF366" s="26"/>
      <c r="BG366" s="26"/>
      <c r="BH366" s="26"/>
      <c r="BI366" s="26"/>
      <c r="BJ366" s="26"/>
      <c r="BK366" s="26"/>
      <c r="BL366" s="26"/>
      <c r="BM366" s="26"/>
      <c r="BN366" s="26"/>
      <c r="BO366" s="26"/>
      <c r="BP366" s="26"/>
      <c r="BQ366" s="26"/>
      <c r="BR366" s="26"/>
      <c r="BS366" s="26"/>
      <c r="BT366" s="26"/>
      <c r="BU366" s="26"/>
      <c r="BV366" s="26"/>
      <c r="BW366" s="26"/>
      <c r="BX366" s="26"/>
      <c r="BY366" s="26"/>
      <c r="BZ366" s="26"/>
      <c r="CA366" s="26"/>
      <c r="CB366" s="26"/>
      <c r="CC366" s="26"/>
      <c r="CD366" s="26"/>
      <c r="CE366" s="26"/>
      <c r="CF366" s="26"/>
      <c r="CG366" s="26"/>
      <c r="CH366" s="26"/>
      <c r="CI366" s="26"/>
      <c r="CJ366" s="26"/>
      <c r="CK366" s="26"/>
      <c r="CL366" s="26"/>
      <c r="CM366" s="26"/>
      <c r="CN366" s="26"/>
      <c r="CO366" s="26"/>
      <c r="CP366" s="26"/>
      <c r="CQ366" s="26"/>
      <c r="CR366" s="26"/>
      <c r="CS366" s="26"/>
      <c r="CT366" s="26"/>
      <c r="CU366" s="26"/>
      <c r="CV366" s="26"/>
      <c r="CW366" s="26"/>
      <c r="CX366" s="26"/>
      <c r="CY366" s="26"/>
      <c r="CZ366" s="26"/>
    </row>
    <row r="367" spans="1:104" x14ac:dyDescent="0.2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6"/>
      <c r="AB367" s="26"/>
      <c r="AC367" s="26"/>
      <c r="AD367" s="26"/>
      <c r="AE367" s="26"/>
      <c r="AF367" s="26"/>
      <c r="AG367" s="26"/>
      <c r="AH367" s="26"/>
      <c r="AI367" s="26"/>
      <c r="AJ367" s="26"/>
      <c r="AK367" s="26"/>
      <c r="AL367" s="26"/>
      <c r="AM367" s="26"/>
      <c r="AN367" s="26"/>
      <c r="AO367" s="26"/>
      <c r="AP367" s="26"/>
      <c r="AQ367" s="26"/>
      <c r="AR367" s="26"/>
      <c r="AS367" s="26"/>
      <c r="AT367" s="26"/>
      <c r="AU367" s="26"/>
      <c r="AV367" s="26"/>
      <c r="AW367" s="26"/>
      <c r="AX367" s="26"/>
      <c r="AY367" s="26"/>
      <c r="AZ367" s="26"/>
      <c r="BA367" s="26"/>
      <c r="BB367" s="26"/>
      <c r="BC367" s="26"/>
      <c r="BD367" s="26"/>
      <c r="BE367" s="26"/>
      <c r="BF367" s="26"/>
      <c r="BG367" s="26"/>
      <c r="BH367" s="26"/>
      <c r="BI367" s="26"/>
      <c r="BJ367" s="26"/>
      <c r="BK367" s="26"/>
      <c r="BL367" s="26"/>
      <c r="BM367" s="26"/>
      <c r="BN367" s="26"/>
      <c r="BO367" s="26"/>
      <c r="BP367" s="26"/>
      <c r="BQ367" s="26"/>
      <c r="BR367" s="26"/>
      <c r="BS367" s="26"/>
      <c r="BT367" s="26"/>
      <c r="BU367" s="26"/>
      <c r="BV367" s="26"/>
      <c r="BW367" s="26"/>
      <c r="BX367" s="26"/>
      <c r="BY367" s="26"/>
      <c r="BZ367" s="26"/>
      <c r="CA367" s="26"/>
      <c r="CB367" s="26"/>
      <c r="CC367" s="26"/>
      <c r="CD367" s="26"/>
      <c r="CE367" s="26"/>
      <c r="CF367" s="26"/>
      <c r="CG367" s="26"/>
      <c r="CH367" s="26"/>
      <c r="CI367" s="26"/>
      <c r="CJ367" s="26"/>
      <c r="CK367" s="26"/>
      <c r="CL367" s="26"/>
      <c r="CM367" s="26"/>
      <c r="CN367" s="26"/>
      <c r="CO367" s="26"/>
      <c r="CP367" s="26"/>
      <c r="CQ367" s="26"/>
      <c r="CR367" s="26"/>
      <c r="CS367" s="26"/>
      <c r="CT367" s="26"/>
      <c r="CU367" s="26"/>
      <c r="CV367" s="26"/>
      <c r="CW367" s="26"/>
      <c r="CX367" s="26"/>
      <c r="CY367" s="26"/>
      <c r="CZ367" s="26"/>
    </row>
    <row r="368" spans="1:104" x14ac:dyDescent="0.2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6"/>
      <c r="AB368" s="26"/>
      <c r="AC368" s="26"/>
      <c r="AD368" s="26"/>
      <c r="AE368" s="26"/>
      <c r="AF368" s="26"/>
      <c r="AG368" s="26"/>
      <c r="AH368" s="26"/>
      <c r="AI368" s="26"/>
      <c r="AJ368" s="26"/>
      <c r="AK368" s="26"/>
      <c r="AL368" s="26"/>
      <c r="AM368" s="26"/>
      <c r="AN368" s="26"/>
      <c r="AO368" s="26"/>
      <c r="AP368" s="26"/>
      <c r="AQ368" s="26"/>
      <c r="AR368" s="26"/>
      <c r="AS368" s="26"/>
      <c r="AT368" s="26"/>
      <c r="AU368" s="26"/>
      <c r="AV368" s="26"/>
      <c r="AW368" s="26"/>
      <c r="AX368" s="26"/>
      <c r="AY368" s="26"/>
      <c r="AZ368" s="26"/>
      <c r="BA368" s="26"/>
      <c r="BB368" s="26"/>
      <c r="BC368" s="26"/>
      <c r="BD368" s="26"/>
      <c r="BE368" s="26"/>
      <c r="BF368" s="26"/>
      <c r="BG368" s="26"/>
      <c r="BH368" s="26"/>
      <c r="BI368" s="26"/>
      <c r="BJ368" s="26"/>
      <c r="BK368" s="26"/>
      <c r="BL368" s="26"/>
      <c r="BM368" s="26"/>
      <c r="BN368" s="26"/>
      <c r="BO368" s="26"/>
      <c r="BP368" s="26"/>
      <c r="BQ368" s="26"/>
      <c r="BR368" s="26"/>
      <c r="BS368" s="26"/>
      <c r="BT368" s="26"/>
      <c r="BU368" s="26"/>
      <c r="BV368" s="26"/>
      <c r="BW368" s="26"/>
      <c r="BX368" s="26"/>
      <c r="BY368" s="26"/>
      <c r="BZ368" s="26"/>
      <c r="CA368" s="26"/>
      <c r="CB368" s="26"/>
      <c r="CC368" s="26"/>
      <c r="CD368" s="26"/>
      <c r="CE368" s="26"/>
      <c r="CF368" s="26"/>
      <c r="CG368" s="26"/>
      <c r="CH368" s="26"/>
      <c r="CI368" s="26"/>
      <c r="CJ368" s="26"/>
      <c r="CK368" s="26"/>
      <c r="CL368" s="26"/>
      <c r="CM368" s="26"/>
      <c r="CN368" s="26"/>
      <c r="CO368" s="26"/>
      <c r="CP368" s="26"/>
      <c r="CQ368" s="26"/>
      <c r="CR368" s="26"/>
      <c r="CS368" s="26"/>
      <c r="CT368" s="26"/>
      <c r="CU368" s="26"/>
      <c r="CV368" s="26"/>
      <c r="CW368" s="26"/>
      <c r="CX368" s="26"/>
      <c r="CY368" s="26"/>
      <c r="CZ368" s="26"/>
    </row>
    <row r="369" spans="1:104" x14ac:dyDescent="0.2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6"/>
      <c r="AB369" s="26"/>
      <c r="AC369" s="26"/>
      <c r="AD369" s="26"/>
      <c r="AE369" s="26"/>
      <c r="AF369" s="26"/>
      <c r="AG369" s="26"/>
      <c r="AH369" s="26"/>
      <c r="AI369" s="26"/>
      <c r="AJ369" s="26"/>
      <c r="AK369" s="26"/>
      <c r="AL369" s="26"/>
      <c r="AM369" s="26"/>
      <c r="AN369" s="26"/>
      <c r="AO369" s="26"/>
      <c r="AP369" s="26"/>
      <c r="AQ369" s="26"/>
      <c r="AR369" s="26"/>
      <c r="AS369" s="26"/>
      <c r="AT369" s="26"/>
      <c r="AU369" s="26"/>
      <c r="AV369" s="26"/>
      <c r="AW369" s="26"/>
      <c r="AX369" s="26"/>
      <c r="AY369" s="26"/>
      <c r="AZ369" s="26"/>
      <c r="BA369" s="26"/>
      <c r="BB369" s="26"/>
      <c r="BC369" s="26"/>
      <c r="BD369" s="26"/>
      <c r="BE369" s="26"/>
      <c r="BF369" s="26"/>
      <c r="BG369" s="26"/>
      <c r="BH369" s="26"/>
      <c r="BI369" s="26"/>
      <c r="BJ369" s="26"/>
      <c r="BK369" s="26"/>
      <c r="BL369" s="26"/>
      <c r="BM369" s="26"/>
      <c r="BN369" s="26"/>
      <c r="BO369" s="26"/>
      <c r="BP369" s="26"/>
      <c r="BQ369" s="26"/>
      <c r="BR369" s="26"/>
      <c r="BS369" s="26"/>
      <c r="BT369" s="26"/>
      <c r="BU369" s="26"/>
      <c r="BV369" s="26"/>
      <c r="BW369" s="26"/>
      <c r="BX369" s="26"/>
      <c r="BY369" s="26"/>
      <c r="BZ369" s="26"/>
      <c r="CA369" s="26"/>
      <c r="CB369" s="26"/>
      <c r="CC369" s="26"/>
      <c r="CD369" s="26"/>
      <c r="CE369" s="26"/>
      <c r="CF369" s="26"/>
      <c r="CG369" s="26"/>
      <c r="CH369" s="26"/>
      <c r="CI369" s="26"/>
      <c r="CJ369" s="26"/>
      <c r="CK369" s="26"/>
      <c r="CL369" s="26"/>
      <c r="CM369" s="26"/>
      <c r="CN369" s="26"/>
      <c r="CO369" s="26"/>
      <c r="CP369" s="26"/>
      <c r="CQ369" s="26"/>
      <c r="CR369" s="26"/>
      <c r="CS369" s="26"/>
      <c r="CT369" s="26"/>
      <c r="CU369" s="26"/>
      <c r="CV369" s="26"/>
      <c r="CW369" s="26"/>
      <c r="CX369" s="26"/>
      <c r="CY369" s="26"/>
      <c r="CZ369" s="26"/>
    </row>
    <row r="370" spans="1:104" x14ac:dyDescent="0.2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6"/>
      <c r="AB370" s="26"/>
      <c r="AC370" s="26"/>
      <c r="AD370" s="26"/>
      <c r="AE370" s="26"/>
      <c r="AF370" s="26"/>
      <c r="AG370" s="26"/>
      <c r="AH370" s="26"/>
      <c r="AI370" s="26"/>
      <c r="AJ370" s="26"/>
      <c r="AK370" s="26"/>
      <c r="AL370" s="26"/>
      <c r="AM370" s="26"/>
      <c r="AN370" s="26"/>
      <c r="AO370" s="26"/>
      <c r="AP370" s="26"/>
      <c r="AQ370" s="26"/>
      <c r="AR370" s="26"/>
      <c r="AS370" s="26"/>
      <c r="AT370" s="26"/>
      <c r="AU370" s="26"/>
      <c r="AV370" s="26"/>
      <c r="AW370" s="26"/>
      <c r="AX370" s="26"/>
      <c r="AY370" s="26"/>
      <c r="AZ370" s="26"/>
      <c r="BA370" s="26"/>
      <c r="BB370" s="26"/>
      <c r="BC370" s="26"/>
      <c r="BD370" s="26"/>
      <c r="BE370" s="26"/>
      <c r="BF370" s="26"/>
      <c r="BG370" s="26"/>
      <c r="BH370" s="26"/>
      <c r="BI370" s="26"/>
      <c r="BJ370" s="26"/>
      <c r="BK370" s="26"/>
      <c r="BL370" s="26"/>
      <c r="BM370" s="26"/>
      <c r="BN370" s="26"/>
      <c r="BO370" s="26"/>
      <c r="BP370" s="26"/>
      <c r="BQ370" s="26"/>
      <c r="BR370" s="26"/>
      <c r="BS370" s="26"/>
      <c r="BT370" s="26"/>
      <c r="BU370" s="26"/>
      <c r="BV370" s="26"/>
      <c r="BW370" s="26"/>
      <c r="BX370" s="26"/>
      <c r="BY370" s="26"/>
      <c r="BZ370" s="26"/>
      <c r="CA370" s="26"/>
      <c r="CB370" s="26"/>
      <c r="CC370" s="26"/>
      <c r="CD370" s="26"/>
      <c r="CE370" s="26"/>
      <c r="CF370" s="26"/>
      <c r="CG370" s="26"/>
      <c r="CH370" s="26"/>
      <c r="CI370" s="26"/>
      <c r="CJ370" s="26"/>
      <c r="CK370" s="26"/>
      <c r="CL370" s="26"/>
      <c r="CM370" s="26"/>
      <c r="CN370" s="26"/>
      <c r="CO370" s="26"/>
      <c r="CP370" s="26"/>
      <c r="CQ370" s="26"/>
      <c r="CR370" s="26"/>
      <c r="CS370" s="26"/>
      <c r="CT370" s="26"/>
      <c r="CU370" s="26"/>
      <c r="CV370" s="26"/>
      <c r="CW370" s="26"/>
      <c r="CX370" s="26"/>
      <c r="CY370" s="26"/>
      <c r="CZ370" s="26"/>
    </row>
    <row r="371" spans="1:104" x14ac:dyDescent="0.2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6"/>
      <c r="AB371" s="26"/>
      <c r="AC371" s="26"/>
      <c r="AD371" s="26"/>
      <c r="AE371" s="26"/>
      <c r="AF371" s="26"/>
      <c r="AG371" s="26"/>
      <c r="AH371" s="26"/>
      <c r="AI371" s="26"/>
      <c r="AJ371" s="26"/>
      <c r="AK371" s="26"/>
      <c r="AL371" s="26"/>
      <c r="AM371" s="26"/>
      <c r="AN371" s="26"/>
      <c r="AO371" s="26"/>
      <c r="AP371" s="26"/>
      <c r="AQ371" s="26"/>
      <c r="AR371" s="26"/>
      <c r="AS371" s="26"/>
      <c r="AT371" s="26"/>
      <c r="AU371" s="26"/>
      <c r="AV371" s="26"/>
      <c r="AW371" s="26"/>
      <c r="AX371" s="26"/>
      <c r="AY371" s="26"/>
      <c r="AZ371" s="26"/>
      <c r="BA371" s="26"/>
      <c r="BB371" s="26"/>
      <c r="BC371" s="26"/>
      <c r="BD371" s="26"/>
      <c r="BE371" s="26"/>
      <c r="BF371" s="26"/>
      <c r="BG371" s="26"/>
      <c r="BH371" s="26"/>
      <c r="BI371" s="26"/>
      <c r="BJ371" s="26"/>
      <c r="BK371" s="26"/>
      <c r="BL371" s="26"/>
      <c r="BM371" s="26"/>
      <c r="BN371" s="26"/>
      <c r="BO371" s="26"/>
      <c r="BP371" s="26"/>
      <c r="BQ371" s="26"/>
      <c r="BR371" s="26"/>
      <c r="BS371" s="26"/>
      <c r="BT371" s="26"/>
      <c r="BU371" s="26"/>
      <c r="BV371" s="26"/>
      <c r="BW371" s="26"/>
      <c r="BX371" s="26"/>
      <c r="BY371" s="26"/>
      <c r="BZ371" s="26"/>
      <c r="CA371" s="26"/>
      <c r="CB371" s="26"/>
      <c r="CC371" s="26"/>
      <c r="CD371" s="26"/>
      <c r="CE371" s="26"/>
      <c r="CF371" s="26"/>
      <c r="CG371" s="26"/>
      <c r="CH371" s="26"/>
      <c r="CI371" s="26"/>
      <c r="CJ371" s="26"/>
      <c r="CK371" s="26"/>
      <c r="CL371" s="26"/>
      <c r="CM371" s="26"/>
      <c r="CN371" s="26"/>
      <c r="CO371" s="26"/>
      <c r="CP371" s="26"/>
      <c r="CQ371" s="26"/>
      <c r="CR371" s="26"/>
      <c r="CS371" s="26"/>
      <c r="CT371" s="26"/>
      <c r="CU371" s="26"/>
      <c r="CV371" s="26"/>
      <c r="CW371" s="26"/>
      <c r="CX371" s="26"/>
      <c r="CY371" s="26"/>
      <c r="CZ371" s="26"/>
    </row>
    <row r="372" spans="1:104" x14ac:dyDescent="0.2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6"/>
      <c r="AB372" s="26"/>
      <c r="AC372" s="26"/>
      <c r="AD372" s="26"/>
      <c r="AE372" s="26"/>
      <c r="AF372" s="26"/>
      <c r="AG372" s="26"/>
      <c r="AH372" s="26"/>
      <c r="AI372" s="26"/>
      <c r="AJ372" s="26"/>
      <c r="AK372" s="26"/>
      <c r="AL372" s="26"/>
      <c r="AM372" s="26"/>
      <c r="AN372" s="26"/>
      <c r="AO372" s="26"/>
      <c r="AP372" s="26"/>
      <c r="AQ372" s="26"/>
      <c r="AR372" s="26"/>
      <c r="AS372" s="26"/>
      <c r="AT372" s="26"/>
      <c r="AU372" s="26"/>
      <c r="AV372" s="26"/>
      <c r="AW372" s="26"/>
      <c r="AX372" s="26"/>
      <c r="AY372" s="26"/>
      <c r="AZ372" s="26"/>
      <c r="BA372" s="26"/>
      <c r="BB372" s="26"/>
      <c r="BC372" s="26"/>
      <c r="BD372" s="26"/>
      <c r="BE372" s="26"/>
      <c r="BF372" s="26"/>
      <c r="BG372" s="26"/>
      <c r="BH372" s="26"/>
      <c r="BI372" s="26"/>
      <c r="BJ372" s="26"/>
      <c r="BK372" s="26"/>
      <c r="BL372" s="26"/>
      <c r="BM372" s="26"/>
      <c r="BN372" s="26"/>
      <c r="BO372" s="26"/>
      <c r="BP372" s="26"/>
      <c r="BQ372" s="26"/>
      <c r="BR372" s="26"/>
      <c r="BS372" s="26"/>
      <c r="BT372" s="26"/>
      <c r="BU372" s="26"/>
      <c r="BV372" s="26"/>
      <c r="BW372" s="26"/>
      <c r="BX372" s="26"/>
      <c r="BY372" s="26"/>
      <c r="BZ372" s="26"/>
      <c r="CA372" s="26"/>
      <c r="CB372" s="26"/>
      <c r="CC372" s="26"/>
      <c r="CD372" s="26"/>
      <c r="CE372" s="26"/>
      <c r="CF372" s="26"/>
      <c r="CG372" s="26"/>
      <c r="CH372" s="26"/>
      <c r="CI372" s="26"/>
      <c r="CJ372" s="26"/>
      <c r="CK372" s="26"/>
      <c r="CL372" s="26"/>
      <c r="CM372" s="26"/>
      <c r="CN372" s="26"/>
      <c r="CO372" s="26"/>
      <c r="CP372" s="26"/>
      <c r="CQ372" s="26"/>
      <c r="CR372" s="26"/>
      <c r="CS372" s="26"/>
      <c r="CT372" s="26"/>
      <c r="CU372" s="26"/>
      <c r="CV372" s="26"/>
      <c r="CW372" s="26"/>
      <c r="CX372" s="26"/>
      <c r="CY372" s="26"/>
      <c r="CZ372" s="26"/>
    </row>
    <row r="373" spans="1:104" x14ac:dyDescent="0.2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6"/>
      <c r="AB373" s="26"/>
      <c r="AC373" s="26"/>
      <c r="AD373" s="26"/>
      <c r="AE373" s="26"/>
      <c r="AF373" s="26"/>
      <c r="AG373" s="26"/>
      <c r="AH373" s="26"/>
      <c r="AI373" s="26"/>
      <c r="AJ373" s="26"/>
      <c r="AK373" s="26"/>
      <c r="AL373" s="26"/>
      <c r="AM373" s="26"/>
      <c r="AN373" s="26"/>
      <c r="AO373" s="26"/>
      <c r="AP373" s="26"/>
      <c r="AQ373" s="26"/>
      <c r="AR373" s="26"/>
      <c r="AS373" s="26"/>
      <c r="AT373" s="26"/>
      <c r="AU373" s="26"/>
      <c r="AV373" s="26"/>
      <c r="AW373" s="26"/>
      <c r="AX373" s="26"/>
      <c r="AY373" s="26"/>
      <c r="AZ373" s="26"/>
      <c r="BA373" s="26"/>
      <c r="BB373" s="26"/>
      <c r="BC373" s="26"/>
      <c r="BD373" s="26"/>
      <c r="BE373" s="26"/>
      <c r="BF373" s="26"/>
      <c r="BG373" s="26"/>
      <c r="BH373" s="26"/>
      <c r="BI373" s="26"/>
      <c r="BJ373" s="26"/>
      <c r="BK373" s="26"/>
      <c r="BL373" s="26"/>
      <c r="BM373" s="26"/>
      <c r="BN373" s="26"/>
      <c r="BO373" s="26"/>
      <c r="BP373" s="26"/>
      <c r="BQ373" s="26"/>
      <c r="BR373" s="26"/>
      <c r="BS373" s="26"/>
      <c r="BT373" s="26"/>
      <c r="BU373" s="26"/>
      <c r="BV373" s="26"/>
      <c r="BW373" s="26"/>
      <c r="BX373" s="26"/>
      <c r="BY373" s="26"/>
      <c r="BZ373" s="26"/>
      <c r="CA373" s="26"/>
      <c r="CB373" s="26"/>
      <c r="CC373" s="26"/>
      <c r="CD373" s="26"/>
      <c r="CE373" s="26"/>
      <c r="CF373" s="26"/>
      <c r="CG373" s="26"/>
      <c r="CH373" s="26"/>
      <c r="CI373" s="26"/>
      <c r="CJ373" s="26"/>
      <c r="CK373" s="26"/>
      <c r="CL373" s="26"/>
      <c r="CM373" s="26"/>
      <c r="CN373" s="26"/>
      <c r="CO373" s="26"/>
      <c r="CP373" s="26"/>
      <c r="CQ373" s="26"/>
      <c r="CR373" s="26"/>
      <c r="CS373" s="26"/>
      <c r="CT373" s="26"/>
      <c r="CU373" s="26"/>
      <c r="CV373" s="26"/>
      <c r="CW373" s="26"/>
      <c r="CX373" s="26"/>
      <c r="CY373" s="26"/>
      <c r="CZ373" s="26"/>
    </row>
    <row r="374" spans="1:104" x14ac:dyDescent="0.2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6"/>
      <c r="AB374" s="26"/>
      <c r="AC374" s="26"/>
      <c r="AD374" s="26"/>
      <c r="AE374" s="26"/>
      <c r="AF374" s="26"/>
      <c r="AG374" s="26"/>
      <c r="AH374" s="26"/>
      <c r="AI374" s="26"/>
      <c r="AJ374" s="26"/>
      <c r="AK374" s="26"/>
      <c r="AL374" s="26"/>
      <c r="AM374" s="26"/>
      <c r="AN374" s="26"/>
      <c r="AO374" s="26"/>
      <c r="AP374" s="26"/>
      <c r="AQ374" s="26"/>
      <c r="AR374" s="26"/>
      <c r="AS374" s="26"/>
      <c r="AT374" s="26"/>
      <c r="AU374" s="26"/>
      <c r="AV374" s="26"/>
      <c r="AW374" s="26"/>
      <c r="AX374" s="26"/>
      <c r="AY374" s="26"/>
      <c r="AZ374" s="26"/>
      <c r="BA374" s="26"/>
      <c r="BB374" s="26"/>
      <c r="BC374" s="26"/>
      <c r="BD374" s="26"/>
      <c r="BE374" s="26"/>
      <c r="BF374" s="26"/>
      <c r="BG374" s="26"/>
      <c r="BH374" s="26"/>
      <c r="BI374" s="26"/>
      <c r="BJ374" s="26"/>
      <c r="BK374" s="26"/>
      <c r="BL374" s="26"/>
      <c r="BM374" s="26"/>
      <c r="BN374" s="26"/>
      <c r="BO374" s="26"/>
      <c r="BP374" s="26"/>
      <c r="BQ374" s="26"/>
      <c r="BR374" s="26"/>
      <c r="BS374" s="26"/>
      <c r="BT374" s="26"/>
      <c r="BU374" s="26"/>
      <c r="BV374" s="26"/>
      <c r="BW374" s="26"/>
      <c r="BX374" s="26"/>
      <c r="BY374" s="26"/>
      <c r="BZ374" s="26"/>
      <c r="CA374" s="26"/>
      <c r="CB374" s="26"/>
      <c r="CC374" s="26"/>
      <c r="CD374" s="26"/>
      <c r="CE374" s="26"/>
      <c r="CF374" s="26"/>
      <c r="CG374" s="26"/>
      <c r="CH374" s="26"/>
      <c r="CI374" s="26"/>
      <c r="CJ374" s="26"/>
      <c r="CK374" s="26"/>
      <c r="CL374" s="26"/>
      <c r="CM374" s="26"/>
      <c r="CN374" s="26"/>
      <c r="CO374" s="26"/>
      <c r="CP374" s="26"/>
      <c r="CQ374" s="26"/>
      <c r="CR374" s="26"/>
      <c r="CS374" s="26"/>
      <c r="CT374" s="26"/>
      <c r="CU374" s="26"/>
      <c r="CV374" s="26"/>
      <c r="CW374" s="26"/>
      <c r="CX374" s="26"/>
      <c r="CY374" s="26"/>
      <c r="CZ374" s="26"/>
    </row>
    <row r="375" spans="1:104" x14ac:dyDescent="0.2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6"/>
      <c r="AB375" s="26"/>
      <c r="AC375" s="26"/>
      <c r="AD375" s="26"/>
      <c r="AE375" s="26"/>
      <c r="AF375" s="26"/>
      <c r="AG375" s="26"/>
      <c r="AH375" s="26"/>
      <c r="AI375" s="26"/>
      <c r="AJ375" s="26"/>
      <c r="AK375" s="26"/>
      <c r="AL375" s="26"/>
      <c r="AM375" s="26"/>
      <c r="AN375" s="26"/>
      <c r="AO375" s="26"/>
      <c r="AP375" s="26"/>
      <c r="AQ375" s="26"/>
      <c r="AR375" s="26"/>
      <c r="AS375" s="26"/>
      <c r="AT375" s="26"/>
      <c r="AU375" s="26"/>
      <c r="AV375" s="26"/>
      <c r="AW375" s="26"/>
      <c r="AX375" s="26"/>
      <c r="AY375" s="26"/>
      <c r="AZ375" s="26"/>
      <c r="BA375" s="26"/>
      <c r="BB375" s="26"/>
      <c r="BC375" s="26"/>
      <c r="BD375" s="26"/>
      <c r="BE375" s="26"/>
      <c r="BF375" s="26"/>
      <c r="BG375" s="26"/>
      <c r="BH375" s="26"/>
      <c r="BI375" s="26"/>
      <c r="BJ375" s="26"/>
      <c r="BK375" s="26"/>
      <c r="BL375" s="26"/>
      <c r="BM375" s="26"/>
      <c r="BN375" s="26"/>
      <c r="BO375" s="26"/>
      <c r="BP375" s="26"/>
      <c r="BQ375" s="26"/>
      <c r="BR375" s="26"/>
      <c r="BS375" s="26"/>
      <c r="BT375" s="26"/>
      <c r="BU375" s="26"/>
      <c r="BV375" s="26"/>
      <c r="BW375" s="26"/>
      <c r="BX375" s="26"/>
      <c r="BY375" s="26"/>
      <c r="BZ375" s="26"/>
      <c r="CA375" s="26"/>
      <c r="CB375" s="26"/>
      <c r="CC375" s="26"/>
      <c r="CD375" s="26"/>
      <c r="CE375" s="26"/>
      <c r="CF375" s="26"/>
      <c r="CG375" s="26"/>
      <c r="CH375" s="26"/>
      <c r="CI375" s="26"/>
      <c r="CJ375" s="26"/>
      <c r="CK375" s="26"/>
      <c r="CL375" s="26"/>
      <c r="CM375" s="26"/>
      <c r="CN375" s="26"/>
      <c r="CO375" s="26"/>
      <c r="CP375" s="26"/>
      <c r="CQ375" s="26"/>
      <c r="CR375" s="26"/>
      <c r="CS375" s="26"/>
      <c r="CT375" s="26"/>
      <c r="CU375" s="26"/>
      <c r="CV375" s="26"/>
      <c r="CW375" s="26"/>
      <c r="CX375" s="26"/>
      <c r="CY375" s="26"/>
      <c r="CZ375" s="26"/>
    </row>
    <row r="376" spans="1:104" x14ac:dyDescent="0.2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6"/>
      <c r="AB376" s="26"/>
      <c r="AC376" s="26"/>
      <c r="AD376" s="26"/>
      <c r="AE376" s="26"/>
      <c r="AF376" s="26"/>
      <c r="AG376" s="26"/>
      <c r="AH376" s="26"/>
      <c r="AI376" s="26"/>
      <c r="AJ376" s="26"/>
      <c r="AK376" s="26"/>
      <c r="AL376" s="26"/>
      <c r="AM376" s="26"/>
      <c r="AN376" s="26"/>
      <c r="AO376" s="26"/>
      <c r="AP376" s="26"/>
      <c r="AQ376" s="26"/>
      <c r="AR376" s="26"/>
      <c r="AS376" s="26"/>
      <c r="AT376" s="26"/>
      <c r="AU376" s="26"/>
      <c r="AV376" s="26"/>
      <c r="AW376" s="26"/>
      <c r="AX376" s="26"/>
      <c r="AY376" s="26"/>
      <c r="AZ376" s="26"/>
      <c r="BA376" s="26"/>
      <c r="BB376" s="26"/>
      <c r="BC376" s="26"/>
      <c r="BD376" s="26"/>
      <c r="BE376" s="26"/>
      <c r="BF376" s="26"/>
      <c r="BG376" s="26"/>
      <c r="BH376" s="26"/>
      <c r="BI376" s="26"/>
      <c r="BJ376" s="26"/>
      <c r="BK376" s="26"/>
      <c r="BL376" s="26"/>
      <c r="BM376" s="26"/>
      <c r="BN376" s="26"/>
      <c r="BO376" s="26"/>
      <c r="BP376" s="26"/>
      <c r="BQ376" s="26"/>
      <c r="BR376" s="26"/>
      <c r="BS376" s="26"/>
      <c r="BT376" s="26"/>
      <c r="BU376" s="26"/>
      <c r="BV376" s="26"/>
      <c r="BW376" s="26"/>
      <c r="BX376" s="26"/>
      <c r="BY376" s="26"/>
      <c r="BZ376" s="26"/>
      <c r="CA376" s="26"/>
      <c r="CB376" s="26"/>
      <c r="CC376" s="26"/>
      <c r="CD376" s="26"/>
      <c r="CE376" s="26"/>
      <c r="CF376" s="26"/>
      <c r="CG376" s="26"/>
      <c r="CH376" s="26"/>
      <c r="CI376" s="26"/>
      <c r="CJ376" s="26"/>
      <c r="CK376" s="26"/>
      <c r="CL376" s="26"/>
      <c r="CM376" s="26"/>
      <c r="CN376" s="26"/>
      <c r="CO376" s="26"/>
      <c r="CP376" s="26"/>
      <c r="CQ376" s="26"/>
      <c r="CR376" s="26"/>
      <c r="CS376" s="26"/>
      <c r="CT376" s="26"/>
      <c r="CU376" s="26"/>
      <c r="CV376" s="26"/>
      <c r="CW376" s="26"/>
      <c r="CX376" s="26"/>
      <c r="CY376" s="26"/>
      <c r="CZ376" s="26"/>
    </row>
    <row r="377" spans="1:104" x14ac:dyDescent="0.2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6"/>
      <c r="AB377" s="26"/>
      <c r="AC377" s="26"/>
      <c r="AD377" s="26"/>
      <c r="AE377" s="26"/>
      <c r="AF377" s="26"/>
      <c r="AG377" s="26"/>
      <c r="AH377" s="26"/>
      <c r="AI377" s="26"/>
      <c r="AJ377" s="26"/>
      <c r="AK377" s="26"/>
      <c r="AL377" s="26"/>
      <c r="AM377" s="26"/>
      <c r="AN377" s="26"/>
      <c r="AO377" s="26"/>
      <c r="AP377" s="26"/>
      <c r="AQ377" s="26"/>
      <c r="AR377" s="26"/>
      <c r="AS377" s="26"/>
      <c r="AT377" s="26"/>
      <c r="AU377" s="26"/>
      <c r="AV377" s="26"/>
      <c r="AW377" s="26"/>
      <c r="AX377" s="26"/>
      <c r="AY377" s="26"/>
      <c r="AZ377" s="26"/>
      <c r="BA377" s="26"/>
      <c r="BB377" s="26"/>
      <c r="BC377" s="26"/>
      <c r="BD377" s="26"/>
      <c r="BE377" s="26"/>
      <c r="BF377" s="26"/>
      <c r="BG377" s="26"/>
      <c r="BH377" s="26"/>
      <c r="BI377" s="26"/>
      <c r="BJ377" s="26"/>
      <c r="BK377" s="26"/>
      <c r="BL377" s="26"/>
      <c r="BM377" s="26"/>
      <c r="BN377" s="26"/>
      <c r="BO377" s="26"/>
      <c r="BP377" s="26"/>
      <c r="BQ377" s="26"/>
      <c r="BR377" s="26"/>
      <c r="BS377" s="26"/>
      <c r="BT377" s="26"/>
      <c r="BU377" s="26"/>
      <c r="BV377" s="26"/>
      <c r="BW377" s="26"/>
      <c r="BX377" s="26"/>
      <c r="BY377" s="26"/>
      <c r="BZ377" s="26"/>
      <c r="CA377" s="26"/>
      <c r="CB377" s="26"/>
      <c r="CC377" s="26"/>
      <c r="CD377" s="26"/>
      <c r="CE377" s="26"/>
      <c r="CF377" s="26"/>
      <c r="CG377" s="26"/>
      <c r="CH377" s="26"/>
      <c r="CI377" s="26"/>
      <c r="CJ377" s="26"/>
      <c r="CK377" s="26"/>
      <c r="CL377" s="26"/>
      <c r="CM377" s="26"/>
      <c r="CN377" s="26"/>
      <c r="CO377" s="26"/>
      <c r="CP377" s="26"/>
      <c r="CQ377" s="26"/>
      <c r="CR377" s="26"/>
      <c r="CS377" s="26"/>
      <c r="CT377" s="26"/>
      <c r="CU377" s="26"/>
      <c r="CV377" s="26"/>
      <c r="CW377" s="26"/>
      <c r="CX377" s="26"/>
      <c r="CY377" s="26"/>
      <c r="CZ377" s="26"/>
    </row>
    <row r="378" spans="1:104" x14ac:dyDescent="0.2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6"/>
      <c r="AB378" s="26"/>
      <c r="AC378" s="26"/>
      <c r="AD378" s="26"/>
      <c r="AE378" s="26"/>
      <c r="AF378" s="26"/>
      <c r="AG378" s="26"/>
      <c r="AH378" s="26"/>
      <c r="AI378" s="26"/>
      <c r="AJ378" s="26"/>
      <c r="AK378" s="26"/>
      <c r="AL378" s="26"/>
      <c r="AM378" s="26"/>
      <c r="AN378" s="26"/>
      <c r="AO378" s="26"/>
      <c r="AP378" s="26"/>
      <c r="AQ378" s="26"/>
      <c r="AR378" s="26"/>
      <c r="AS378" s="26"/>
      <c r="AT378" s="26"/>
      <c r="AU378" s="26"/>
      <c r="AV378" s="26"/>
      <c r="AW378" s="26"/>
      <c r="AX378" s="26"/>
      <c r="AY378" s="26"/>
      <c r="AZ378" s="26"/>
      <c r="BA378" s="26"/>
      <c r="BB378" s="26"/>
      <c r="BC378" s="26"/>
      <c r="BD378" s="26"/>
      <c r="BE378" s="26"/>
      <c r="BF378" s="26"/>
      <c r="BG378" s="26"/>
      <c r="BH378" s="26"/>
      <c r="BI378" s="26"/>
      <c r="BJ378" s="26"/>
      <c r="BK378" s="26"/>
      <c r="BL378" s="26"/>
      <c r="BM378" s="26"/>
      <c r="BN378" s="26"/>
      <c r="BO378" s="26"/>
      <c r="BP378" s="26"/>
      <c r="BQ378" s="26"/>
      <c r="BR378" s="26"/>
      <c r="BS378" s="26"/>
      <c r="BT378" s="26"/>
      <c r="BU378" s="26"/>
      <c r="BV378" s="26"/>
      <c r="BW378" s="26"/>
      <c r="BX378" s="26"/>
      <c r="BY378" s="26"/>
      <c r="BZ378" s="26"/>
      <c r="CA378" s="26"/>
      <c r="CB378" s="26"/>
      <c r="CC378" s="26"/>
      <c r="CD378" s="26"/>
      <c r="CE378" s="26"/>
      <c r="CF378" s="26"/>
      <c r="CG378" s="26"/>
      <c r="CH378" s="26"/>
      <c r="CI378" s="26"/>
      <c r="CJ378" s="26"/>
      <c r="CK378" s="26"/>
      <c r="CL378" s="26"/>
      <c r="CM378" s="26"/>
      <c r="CN378" s="26"/>
      <c r="CO378" s="26"/>
      <c r="CP378" s="26"/>
      <c r="CQ378" s="26"/>
      <c r="CR378" s="26"/>
      <c r="CS378" s="26"/>
      <c r="CT378" s="26"/>
      <c r="CU378" s="26"/>
      <c r="CV378" s="26"/>
      <c r="CW378" s="26"/>
      <c r="CX378" s="26"/>
      <c r="CY378" s="26"/>
      <c r="CZ378" s="26"/>
    </row>
    <row r="379" spans="1:104" x14ac:dyDescent="0.2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6"/>
      <c r="AB379" s="26"/>
      <c r="AC379" s="26"/>
      <c r="AD379" s="26"/>
      <c r="AE379" s="26"/>
      <c r="AF379" s="26"/>
      <c r="AG379" s="26"/>
      <c r="AH379" s="26"/>
      <c r="AI379" s="26"/>
      <c r="AJ379" s="26"/>
      <c r="AK379" s="26"/>
      <c r="AL379" s="26"/>
      <c r="AM379" s="26"/>
      <c r="AN379" s="26"/>
      <c r="AO379" s="26"/>
      <c r="AP379" s="26"/>
      <c r="AQ379" s="26"/>
      <c r="AR379" s="26"/>
      <c r="AS379" s="26"/>
      <c r="AT379" s="26"/>
      <c r="AU379" s="26"/>
      <c r="AV379" s="26"/>
      <c r="AW379" s="26"/>
      <c r="AX379" s="26"/>
      <c r="AY379" s="26"/>
      <c r="AZ379" s="26"/>
      <c r="BA379" s="26"/>
      <c r="BB379" s="26"/>
      <c r="BC379" s="26"/>
      <c r="BD379" s="26"/>
      <c r="BE379" s="26"/>
      <c r="BF379" s="26"/>
      <c r="BG379" s="26"/>
      <c r="BH379" s="26"/>
      <c r="BI379" s="26"/>
      <c r="BJ379" s="26"/>
      <c r="BK379" s="26"/>
      <c r="BL379" s="26"/>
      <c r="BM379" s="26"/>
      <c r="BN379" s="26"/>
      <c r="BO379" s="26"/>
      <c r="BP379" s="26"/>
      <c r="BQ379" s="26"/>
      <c r="BR379" s="26"/>
      <c r="BS379" s="26"/>
      <c r="BT379" s="26"/>
      <c r="BU379" s="26"/>
      <c r="BV379" s="26"/>
      <c r="BW379" s="26"/>
      <c r="BX379" s="26"/>
      <c r="BY379" s="26"/>
      <c r="BZ379" s="26"/>
      <c r="CA379" s="26"/>
      <c r="CB379" s="26"/>
      <c r="CC379" s="26"/>
      <c r="CD379" s="26"/>
      <c r="CE379" s="26"/>
      <c r="CF379" s="26"/>
      <c r="CG379" s="26"/>
      <c r="CH379" s="26"/>
      <c r="CI379" s="26"/>
      <c r="CJ379" s="26"/>
      <c r="CK379" s="26"/>
      <c r="CL379" s="26"/>
      <c r="CM379" s="26"/>
      <c r="CN379" s="26"/>
      <c r="CO379" s="26"/>
      <c r="CP379" s="26"/>
      <c r="CQ379" s="26"/>
      <c r="CR379" s="26"/>
      <c r="CS379" s="26"/>
      <c r="CT379" s="26"/>
      <c r="CU379" s="26"/>
      <c r="CV379" s="26"/>
      <c r="CW379" s="26"/>
      <c r="CX379" s="26"/>
      <c r="CY379" s="26"/>
      <c r="CZ379" s="26"/>
    </row>
    <row r="380" spans="1:104" x14ac:dyDescent="0.2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6"/>
      <c r="AB380" s="26"/>
      <c r="AC380" s="26"/>
      <c r="AD380" s="26"/>
      <c r="AE380" s="26"/>
      <c r="AF380" s="26"/>
      <c r="AG380" s="26"/>
      <c r="AH380" s="26"/>
      <c r="AI380" s="26"/>
      <c r="AJ380" s="26"/>
      <c r="AK380" s="26"/>
      <c r="AL380" s="26"/>
      <c r="AM380" s="26"/>
      <c r="AN380" s="26"/>
      <c r="AO380" s="26"/>
      <c r="AP380" s="26"/>
      <c r="AQ380" s="26"/>
      <c r="AR380" s="26"/>
      <c r="AS380" s="26"/>
      <c r="AT380" s="26"/>
      <c r="AU380" s="26"/>
      <c r="AV380" s="26"/>
      <c r="AW380" s="26"/>
      <c r="AX380" s="26"/>
      <c r="AY380" s="26"/>
      <c r="AZ380" s="26"/>
      <c r="BA380" s="26"/>
      <c r="BB380" s="26"/>
      <c r="BC380" s="26"/>
      <c r="BD380" s="26"/>
      <c r="BE380" s="26"/>
      <c r="BF380" s="26"/>
      <c r="BG380" s="26"/>
      <c r="BH380" s="26"/>
      <c r="BI380" s="26"/>
      <c r="BJ380" s="26"/>
      <c r="BK380" s="26"/>
      <c r="BL380" s="26"/>
      <c r="BM380" s="26"/>
      <c r="BN380" s="26"/>
      <c r="BO380" s="26"/>
      <c r="BP380" s="26"/>
      <c r="BQ380" s="26"/>
      <c r="BR380" s="26"/>
      <c r="BS380" s="26"/>
      <c r="BT380" s="26"/>
      <c r="BU380" s="26"/>
      <c r="BV380" s="26"/>
      <c r="BW380" s="26"/>
      <c r="BX380" s="26"/>
      <c r="BY380" s="26"/>
      <c r="BZ380" s="26"/>
      <c r="CA380" s="26"/>
      <c r="CB380" s="26"/>
      <c r="CC380" s="26"/>
      <c r="CD380" s="26"/>
      <c r="CE380" s="26"/>
      <c r="CF380" s="26"/>
      <c r="CG380" s="26"/>
      <c r="CH380" s="26"/>
      <c r="CI380" s="26"/>
      <c r="CJ380" s="26"/>
      <c r="CK380" s="26"/>
      <c r="CL380" s="26"/>
      <c r="CM380" s="26"/>
      <c r="CN380" s="26"/>
      <c r="CO380" s="26"/>
      <c r="CP380" s="26"/>
      <c r="CQ380" s="26"/>
      <c r="CR380" s="26"/>
      <c r="CS380" s="26"/>
      <c r="CT380" s="26"/>
      <c r="CU380" s="26"/>
      <c r="CV380" s="26"/>
      <c r="CW380" s="26"/>
      <c r="CX380" s="26"/>
      <c r="CY380" s="26"/>
      <c r="CZ380" s="26"/>
    </row>
    <row r="381" spans="1:104" x14ac:dyDescent="0.2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6"/>
      <c r="AB381" s="26"/>
      <c r="AC381" s="26"/>
      <c r="AD381" s="26"/>
      <c r="AE381" s="26"/>
      <c r="AF381" s="26"/>
      <c r="AG381" s="26"/>
      <c r="AH381" s="26"/>
      <c r="AI381" s="26"/>
      <c r="AJ381" s="26"/>
      <c r="AK381" s="26"/>
      <c r="AL381" s="26"/>
      <c r="AM381" s="26"/>
      <c r="AN381" s="26"/>
      <c r="AO381" s="26"/>
      <c r="AP381" s="26"/>
      <c r="AQ381" s="26"/>
      <c r="AR381" s="26"/>
      <c r="AS381" s="26"/>
      <c r="AT381" s="26"/>
      <c r="AU381" s="26"/>
      <c r="AV381" s="26"/>
      <c r="AW381" s="26"/>
      <c r="AX381" s="26"/>
      <c r="AY381" s="26"/>
      <c r="AZ381" s="26"/>
      <c r="BA381" s="26"/>
      <c r="BB381" s="26"/>
      <c r="BC381" s="26"/>
      <c r="BD381" s="26"/>
      <c r="BE381" s="26"/>
      <c r="BF381" s="26"/>
      <c r="BG381" s="26"/>
      <c r="BH381" s="26"/>
      <c r="BI381" s="26"/>
      <c r="BJ381" s="26"/>
      <c r="BK381" s="26"/>
      <c r="BL381" s="26"/>
      <c r="BM381" s="26"/>
      <c r="BN381" s="26"/>
      <c r="BO381" s="26"/>
      <c r="BP381" s="26"/>
      <c r="BQ381" s="26"/>
      <c r="BR381" s="26"/>
      <c r="BS381" s="26"/>
      <c r="BT381" s="26"/>
      <c r="BU381" s="26"/>
      <c r="BV381" s="26"/>
      <c r="BW381" s="26"/>
      <c r="BX381" s="26"/>
      <c r="BY381" s="26"/>
      <c r="BZ381" s="26"/>
      <c r="CA381" s="26"/>
      <c r="CB381" s="26"/>
      <c r="CC381" s="26"/>
      <c r="CD381" s="26"/>
      <c r="CE381" s="26"/>
      <c r="CF381" s="26"/>
      <c r="CG381" s="26"/>
      <c r="CH381" s="26"/>
      <c r="CI381" s="26"/>
      <c r="CJ381" s="26"/>
      <c r="CK381" s="26"/>
      <c r="CL381" s="26"/>
      <c r="CM381" s="26"/>
      <c r="CN381" s="26"/>
      <c r="CO381" s="26"/>
      <c r="CP381" s="26"/>
      <c r="CQ381" s="26"/>
      <c r="CR381" s="26"/>
      <c r="CS381" s="26"/>
      <c r="CT381" s="26"/>
      <c r="CU381" s="26"/>
      <c r="CV381" s="26"/>
      <c r="CW381" s="26"/>
      <c r="CX381" s="26"/>
      <c r="CY381" s="26"/>
      <c r="CZ381" s="26"/>
    </row>
    <row r="382" spans="1:104" x14ac:dyDescent="0.2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6"/>
      <c r="AB382" s="26"/>
      <c r="AC382" s="26"/>
      <c r="AD382" s="26"/>
      <c r="AE382" s="26"/>
      <c r="AF382" s="26"/>
      <c r="AG382" s="26"/>
      <c r="AH382" s="26"/>
      <c r="AI382" s="26"/>
      <c r="AJ382" s="26"/>
      <c r="AK382" s="26"/>
      <c r="AL382" s="26"/>
      <c r="AM382" s="26"/>
      <c r="AN382" s="26"/>
      <c r="AO382" s="26"/>
      <c r="AP382" s="26"/>
      <c r="AQ382" s="26"/>
      <c r="AR382" s="26"/>
      <c r="AS382" s="26"/>
      <c r="AT382" s="26"/>
      <c r="AU382" s="26"/>
      <c r="AV382" s="26"/>
      <c r="AW382" s="26"/>
      <c r="AX382" s="26"/>
      <c r="AY382" s="26"/>
      <c r="AZ382" s="26"/>
      <c r="BA382" s="26"/>
      <c r="BB382" s="26"/>
      <c r="BC382" s="26"/>
      <c r="BD382" s="26"/>
      <c r="BE382" s="26"/>
      <c r="BF382" s="26"/>
      <c r="BG382" s="26"/>
      <c r="BH382" s="26"/>
      <c r="BI382" s="26"/>
      <c r="BJ382" s="26"/>
      <c r="BK382" s="26"/>
      <c r="BL382" s="26"/>
      <c r="BM382" s="26"/>
      <c r="BN382" s="26"/>
      <c r="BO382" s="26"/>
      <c r="BP382" s="26"/>
      <c r="BQ382" s="26"/>
      <c r="BR382" s="26"/>
      <c r="BS382" s="26"/>
      <c r="BT382" s="26"/>
      <c r="BU382" s="26"/>
      <c r="BV382" s="26"/>
      <c r="BW382" s="26"/>
      <c r="BX382" s="26"/>
      <c r="BY382" s="26"/>
      <c r="BZ382" s="26"/>
      <c r="CA382" s="26"/>
      <c r="CB382" s="26"/>
      <c r="CC382" s="26"/>
      <c r="CD382" s="26"/>
      <c r="CE382" s="26"/>
      <c r="CF382" s="26"/>
      <c r="CG382" s="26"/>
      <c r="CH382" s="26"/>
      <c r="CI382" s="26"/>
      <c r="CJ382" s="26"/>
      <c r="CK382" s="26"/>
      <c r="CL382" s="26"/>
      <c r="CM382" s="26"/>
      <c r="CN382" s="26"/>
      <c r="CO382" s="26"/>
      <c r="CP382" s="26"/>
      <c r="CQ382" s="26"/>
      <c r="CR382" s="26"/>
      <c r="CS382" s="26"/>
      <c r="CT382" s="26"/>
      <c r="CU382" s="26"/>
      <c r="CV382" s="26"/>
      <c r="CW382" s="26"/>
      <c r="CX382" s="26"/>
      <c r="CY382" s="26"/>
      <c r="CZ382" s="26"/>
    </row>
    <row r="383" spans="1:104" x14ac:dyDescent="0.2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6"/>
      <c r="AB383" s="26"/>
      <c r="AC383" s="26"/>
      <c r="AD383" s="26"/>
      <c r="AE383" s="26"/>
      <c r="AF383" s="26"/>
      <c r="AG383" s="26"/>
      <c r="AH383" s="26"/>
      <c r="AI383" s="26"/>
      <c r="AJ383" s="26"/>
      <c r="AK383" s="26"/>
      <c r="AL383" s="26"/>
      <c r="AM383" s="26"/>
      <c r="AN383" s="26"/>
      <c r="AO383" s="26"/>
      <c r="AP383" s="26"/>
      <c r="AQ383" s="26"/>
      <c r="AR383" s="26"/>
      <c r="AS383" s="26"/>
      <c r="AT383" s="26"/>
      <c r="AU383" s="26"/>
      <c r="AV383" s="26"/>
      <c r="AW383" s="26"/>
      <c r="AX383" s="26"/>
      <c r="AY383" s="26"/>
      <c r="AZ383" s="26"/>
      <c r="BA383" s="26"/>
      <c r="BB383" s="26"/>
      <c r="BC383" s="26"/>
      <c r="BD383" s="26"/>
      <c r="BE383" s="26"/>
      <c r="BF383" s="26"/>
      <c r="BG383" s="26"/>
      <c r="BH383" s="26"/>
      <c r="BI383" s="26"/>
      <c r="BJ383" s="26"/>
      <c r="BK383" s="26"/>
      <c r="BL383" s="26"/>
      <c r="BM383" s="26"/>
      <c r="BN383" s="26"/>
      <c r="BO383" s="26"/>
      <c r="BP383" s="26"/>
      <c r="BQ383" s="26"/>
      <c r="BR383" s="26"/>
      <c r="BS383" s="26"/>
      <c r="BT383" s="26"/>
      <c r="BU383" s="26"/>
      <c r="BV383" s="26"/>
      <c r="BW383" s="26"/>
      <c r="BX383" s="26"/>
      <c r="BY383" s="26"/>
      <c r="BZ383" s="26"/>
      <c r="CA383" s="26"/>
      <c r="CB383" s="26"/>
      <c r="CC383" s="26"/>
      <c r="CD383" s="26"/>
      <c r="CE383" s="26"/>
      <c r="CF383" s="26"/>
      <c r="CG383" s="26"/>
      <c r="CH383" s="26"/>
      <c r="CI383" s="26"/>
      <c r="CJ383" s="26"/>
      <c r="CK383" s="26"/>
      <c r="CL383" s="26"/>
      <c r="CM383" s="26"/>
      <c r="CN383" s="26"/>
      <c r="CO383" s="26"/>
      <c r="CP383" s="26"/>
      <c r="CQ383" s="26"/>
      <c r="CR383" s="26"/>
      <c r="CS383" s="26"/>
      <c r="CT383" s="26"/>
      <c r="CU383" s="26"/>
      <c r="CV383" s="26"/>
      <c r="CW383" s="26"/>
      <c r="CX383" s="26"/>
      <c r="CY383" s="26"/>
      <c r="CZ383" s="26"/>
    </row>
    <row r="384" spans="1:104" x14ac:dyDescent="0.2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6"/>
      <c r="AB384" s="26"/>
      <c r="AC384" s="26"/>
      <c r="AD384" s="26"/>
      <c r="AE384" s="26"/>
      <c r="AF384" s="26"/>
      <c r="AG384" s="26"/>
      <c r="AH384" s="26"/>
      <c r="AI384" s="26"/>
      <c r="AJ384" s="26"/>
      <c r="AK384" s="26"/>
      <c r="AL384" s="26"/>
      <c r="AM384" s="26"/>
      <c r="AN384" s="26"/>
      <c r="AO384" s="26"/>
      <c r="AP384" s="26"/>
      <c r="AQ384" s="26"/>
      <c r="AR384" s="26"/>
      <c r="AS384" s="26"/>
      <c r="AT384" s="26"/>
      <c r="AU384" s="26"/>
      <c r="AV384" s="26"/>
      <c r="AW384" s="26"/>
      <c r="AX384" s="26"/>
      <c r="AY384" s="26"/>
      <c r="AZ384" s="26"/>
      <c r="BA384" s="26"/>
      <c r="BB384" s="26"/>
      <c r="BC384" s="26"/>
      <c r="BD384" s="26"/>
      <c r="BE384" s="26"/>
      <c r="BF384" s="26"/>
      <c r="BG384" s="26"/>
      <c r="BH384" s="26"/>
      <c r="BI384" s="26"/>
      <c r="BJ384" s="26"/>
      <c r="BK384" s="26"/>
      <c r="BL384" s="26"/>
      <c r="BM384" s="26"/>
      <c r="BN384" s="26"/>
      <c r="BO384" s="26"/>
      <c r="BP384" s="26"/>
      <c r="BQ384" s="26"/>
      <c r="BR384" s="26"/>
      <c r="BS384" s="26"/>
      <c r="BT384" s="26"/>
      <c r="BU384" s="26"/>
      <c r="BV384" s="26"/>
      <c r="BW384" s="26"/>
      <c r="BX384" s="26"/>
      <c r="BY384" s="26"/>
      <c r="BZ384" s="26"/>
      <c r="CA384" s="26"/>
      <c r="CB384" s="26"/>
      <c r="CC384" s="26"/>
      <c r="CD384" s="26"/>
      <c r="CE384" s="26"/>
      <c r="CF384" s="26"/>
      <c r="CG384" s="26"/>
      <c r="CH384" s="26"/>
      <c r="CI384" s="26"/>
      <c r="CJ384" s="26"/>
      <c r="CK384" s="26"/>
      <c r="CL384" s="26"/>
      <c r="CM384" s="26"/>
      <c r="CN384" s="26"/>
      <c r="CO384" s="26"/>
      <c r="CP384" s="26"/>
      <c r="CQ384" s="26"/>
      <c r="CR384" s="26"/>
      <c r="CS384" s="26"/>
      <c r="CT384" s="26"/>
      <c r="CU384" s="26"/>
      <c r="CV384" s="26"/>
      <c r="CW384" s="26"/>
      <c r="CX384" s="26"/>
      <c r="CY384" s="26"/>
      <c r="CZ384" s="26"/>
    </row>
    <row r="385" spans="1:104" x14ac:dyDescent="0.2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6"/>
      <c r="AB385" s="26"/>
      <c r="AC385" s="26"/>
      <c r="AD385" s="26"/>
      <c r="AE385" s="26"/>
      <c r="AF385" s="26"/>
      <c r="AG385" s="26"/>
      <c r="AH385" s="26"/>
      <c r="AI385" s="26"/>
      <c r="AJ385" s="26"/>
      <c r="AK385" s="26"/>
      <c r="AL385" s="26"/>
      <c r="AM385" s="26"/>
      <c r="AN385" s="26"/>
      <c r="AO385" s="26"/>
      <c r="AP385" s="26"/>
      <c r="AQ385" s="26"/>
      <c r="AR385" s="26"/>
      <c r="AS385" s="26"/>
      <c r="AT385" s="26"/>
      <c r="AU385" s="26"/>
      <c r="AV385" s="26"/>
      <c r="AW385" s="26"/>
      <c r="AX385" s="26"/>
      <c r="AY385" s="26"/>
      <c r="AZ385" s="26"/>
      <c r="BA385" s="26"/>
      <c r="BB385" s="26"/>
      <c r="BC385" s="26"/>
      <c r="BD385" s="26"/>
      <c r="BE385" s="26"/>
      <c r="BF385" s="26"/>
      <c r="BG385" s="26"/>
      <c r="BH385" s="26"/>
      <c r="BI385" s="26"/>
      <c r="BJ385" s="26"/>
      <c r="BK385" s="26"/>
      <c r="BL385" s="26"/>
      <c r="BM385" s="26"/>
      <c r="BN385" s="26"/>
      <c r="BO385" s="26"/>
      <c r="BP385" s="26"/>
      <c r="BQ385" s="26"/>
      <c r="BR385" s="26"/>
      <c r="BS385" s="26"/>
      <c r="BT385" s="26"/>
      <c r="BU385" s="26"/>
      <c r="BV385" s="26"/>
      <c r="BW385" s="26"/>
      <c r="BX385" s="26"/>
      <c r="BY385" s="26"/>
      <c r="BZ385" s="26"/>
      <c r="CA385" s="26"/>
      <c r="CB385" s="26"/>
      <c r="CC385" s="26"/>
      <c r="CD385" s="26"/>
      <c r="CE385" s="26"/>
      <c r="CF385" s="26"/>
      <c r="CG385" s="26"/>
      <c r="CH385" s="26"/>
      <c r="CI385" s="26"/>
      <c r="CJ385" s="26"/>
      <c r="CK385" s="26"/>
      <c r="CL385" s="26"/>
      <c r="CM385" s="26"/>
      <c r="CN385" s="26"/>
      <c r="CO385" s="26"/>
      <c r="CP385" s="26"/>
      <c r="CQ385" s="26"/>
      <c r="CR385" s="26"/>
      <c r="CS385" s="26"/>
      <c r="CT385" s="26"/>
      <c r="CU385" s="26"/>
      <c r="CV385" s="26"/>
      <c r="CW385" s="26"/>
      <c r="CX385" s="26"/>
      <c r="CY385" s="26"/>
      <c r="CZ385" s="26"/>
    </row>
    <row r="386" spans="1:104" x14ac:dyDescent="0.2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6"/>
      <c r="AB386" s="26"/>
      <c r="AC386" s="26"/>
      <c r="AD386" s="26"/>
      <c r="AE386" s="26"/>
      <c r="AF386" s="26"/>
      <c r="AG386" s="26"/>
      <c r="AH386" s="26"/>
      <c r="AI386" s="26"/>
      <c r="AJ386" s="26"/>
      <c r="AK386" s="26"/>
      <c r="AL386" s="26"/>
      <c r="AM386" s="26"/>
      <c r="AN386" s="26"/>
      <c r="AO386" s="26"/>
      <c r="AP386" s="26"/>
      <c r="AQ386" s="26"/>
      <c r="AR386" s="26"/>
      <c r="AS386" s="26"/>
      <c r="AT386" s="26"/>
      <c r="AU386" s="26"/>
      <c r="AV386" s="26"/>
      <c r="AW386" s="26"/>
      <c r="AX386" s="26"/>
      <c r="AY386" s="26"/>
      <c r="AZ386" s="26"/>
      <c r="BA386" s="26"/>
      <c r="BB386" s="26"/>
      <c r="BC386" s="26"/>
      <c r="BD386" s="26"/>
      <c r="BE386" s="26"/>
      <c r="BF386" s="26"/>
      <c r="BG386" s="26"/>
      <c r="BH386" s="26"/>
      <c r="BI386" s="26"/>
      <c r="BJ386" s="26"/>
      <c r="BK386" s="26"/>
      <c r="BL386" s="26"/>
      <c r="BM386" s="26"/>
      <c r="BN386" s="26"/>
      <c r="BO386" s="26"/>
      <c r="BP386" s="26"/>
      <c r="BQ386" s="26"/>
      <c r="BR386" s="26"/>
      <c r="BS386" s="26"/>
      <c r="BT386" s="26"/>
      <c r="BU386" s="26"/>
      <c r="BV386" s="26"/>
      <c r="BW386" s="26"/>
      <c r="BX386" s="26"/>
      <c r="BY386" s="26"/>
      <c r="BZ386" s="26"/>
      <c r="CA386" s="26"/>
      <c r="CB386" s="26"/>
      <c r="CC386" s="26"/>
      <c r="CD386" s="26"/>
      <c r="CE386" s="26"/>
      <c r="CF386" s="26"/>
      <c r="CG386" s="26"/>
      <c r="CH386" s="26"/>
      <c r="CI386" s="26"/>
      <c r="CJ386" s="26"/>
      <c r="CK386" s="26"/>
      <c r="CL386" s="26"/>
      <c r="CM386" s="26"/>
      <c r="CN386" s="26"/>
      <c r="CO386" s="26"/>
      <c r="CP386" s="26"/>
      <c r="CQ386" s="26"/>
      <c r="CR386" s="26"/>
      <c r="CS386" s="26"/>
      <c r="CT386" s="26"/>
      <c r="CU386" s="26"/>
      <c r="CV386" s="26"/>
      <c r="CW386" s="26"/>
      <c r="CX386" s="26"/>
      <c r="CY386" s="26"/>
      <c r="CZ386" s="26"/>
    </row>
    <row r="387" spans="1:104" x14ac:dyDescent="0.2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6"/>
      <c r="AB387" s="26"/>
      <c r="AC387" s="26"/>
      <c r="AD387" s="26"/>
      <c r="AE387" s="26"/>
      <c r="AF387" s="26"/>
      <c r="AG387" s="26"/>
      <c r="AH387" s="26"/>
      <c r="AI387" s="26"/>
      <c r="AJ387" s="26"/>
      <c r="AK387" s="26"/>
      <c r="AL387" s="26"/>
      <c r="AM387" s="26"/>
      <c r="AN387" s="26"/>
      <c r="AO387" s="26"/>
      <c r="AP387" s="26"/>
      <c r="AQ387" s="26"/>
      <c r="AR387" s="26"/>
      <c r="AS387" s="26"/>
      <c r="AT387" s="26"/>
      <c r="AU387" s="26"/>
      <c r="AV387" s="26"/>
      <c r="AW387" s="26"/>
      <c r="AX387" s="26"/>
      <c r="AY387" s="26"/>
      <c r="AZ387" s="26"/>
      <c r="BA387" s="26"/>
      <c r="BB387" s="26"/>
      <c r="BC387" s="26"/>
      <c r="BD387" s="26"/>
      <c r="BE387" s="26"/>
      <c r="BF387" s="26"/>
      <c r="BG387" s="26"/>
      <c r="BH387" s="26"/>
      <c r="BI387" s="26"/>
      <c r="BJ387" s="26"/>
      <c r="BK387" s="26"/>
      <c r="BL387" s="26"/>
      <c r="BM387" s="26"/>
      <c r="BN387" s="26"/>
      <c r="BO387" s="26"/>
      <c r="BP387" s="26"/>
      <c r="BQ387" s="26"/>
      <c r="BR387" s="26"/>
      <c r="BS387" s="26"/>
      <c r="BT387" s="26"/>
      <c r="BU387" s="26"/>
      <c r="BV387" s="26"/>
      <c r="BW387" s="26"/>
      <c r="BX387" s="26"/>
      <c r="BY387" s="26"/>
      <c r="BZ387" s="26"/>
      <c r="CA387" s="26"/>
      <c r="CB387" s="26"/>
      <c r="CC387" s="26"/>
      <c r="CD387" s="26"/>
      <c r="CE387" s="26"/>
      <c r="CF387" s="26"/>
      <c r="CG387" s="26"/>
      <c r="CH387" s="26"/>
      <c r="CI387" s="26"/>
      <c r="CJ387" s="26"/>
      <c r="CK387" s="26"/>
      <c r="CL387" s="26"/>
      <c r="CM387" s="26"/>
      <c r="CN387" s="26"/>
      <c r="CO387" s="26"/>
      <c r="CP387" s="26"/>
      <c r="CQ387" s="26"/>
      <c r="CR387" s="26"/>
      <c r="CS387" s="26"/>
      <c r="CT387" s="26"/>
      <c r="CU387" s="26"/>
      <c r="CV387" s="26"/>
      <c r="CW387" s="26"/>
      <c r="CX387" s="26"/>
      <c r="CY387" s="26"/>
      <c r="CZ387" s="26"/>
    </row>
    <row r="388" spans="1:104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6"/>
      <c r="AB388" s="26"/>
      <c r="AC388" s="26"/>
      <c r="AD388" s="26"/>
      <c r="AE388" s="26"/>
      <c r="AF388" s="26"/>
      <c r="AG388" s="26"/>
      <c r="AH388" s="26"/>
      <c r="AI388" s="26"/>
      <c r="AJ388" s="26"/>
      <c r="AK388" s="26"/>
      <c r="AL388" s="26"/>
      <c r="AM388" s="26"/>
      <c r="AN388" s="26"/>
      <c r="AO388" s="26"/>
      <c r="AP388" s="26"/>
      <c r="AQ388" s="26"/>
      <c r="AR388" s="26"/>
      <c r="AS388" s="26"/>
      <c r="AT388" s="26"/>
      <c r="AU388" s="26"/>
      <c r="AV388" s="26"/>
      <c r="AW388" s="26"/>
      <c r="AX388" s="26"/>
      <c r="AY388" s="26"/>
      <c r="AZ388" s="26"/>
      <c r="BA388" s="26"/>
      <c r="BB388" s="26"/>
      <c r="BC388" s="26"/>
      <c r="BD388" s="26"/>
      <c r="BE388" s="26"/>
      <c r="BF388" s="26"/>
      <c r="BG388" s="26"/>
      <c r="BH388" s="26"/>
      <c r="BI388" s="26"/>
      <c r="BJ388" s="26"/>
      <c r="BK388" s="26"/>
      <c r="BL388" s="26"/>
      <c r="BM388" s="26"/>
      <c r="BN388" s="26"/>
      <c r="BO388" s="26"/>
      <c r="BP388" s="26"/>
      <c r="BQ388" s="26"/>
      <c r="BR388" s="26"/>
      <c r="BS388" s="26"/>
      <c r="BT388" s="26"/>
      <c r="BU388" s="26"/>
      <c r="BV388" s="26"/>
      <c r="BW388" s="26"/>
      <c r="BX388" s="26"/>
      <c r="BY388" s="26"/>
      <c r="BZ388" s="26"/>
      <c r="CA388" s="26"/>
      <c r="CB388" s="26"/>
      <c r="CC388" s="26"/>
      <c r="CD388" s="26"/>
      <c r="CE388" s="26"/>
      <c r="CF388" s="26"/>
      <c r="CG388" s="26"/>
      <c r="CH388" s="26"/>
      <c r="CI388" s="26"/>
      <c r="CJ388" s="26"/>
      <c r="CK388" s="26"/>
      <c r="CL388" s="26"/>
      <c r="CM388" s="26"/>
      <c r="CN388" s="26"/>
      <c r="CO388" s="26"/>
      <c r="CP388" s="26"/>
      <c r="CQ388" s="26"/>
      <c r="CR388" s="26"/>
      <c r="CS388" s="26"/>
      <c r="CT388" s="26"/>
      <c r="CU388" s="26"/>
      <c r="CV388" s="26"/>
      <c r="CW388" s="26"/>
      <c r="CX388" s="26"/>
      <c r="CY388" s="26"/>
      <c r="CZ388" s="26"/>
    </row>
    <row r="389" spans="1:104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6"/>
      <c r="AB389" s="26"/>
      <c r="AC389" s="26"/>
      <c r="AD389" s="26"/>
      <c r="AE389" s="26"/>
      <c r="AF389" s="26"/>
      <c r="AG389" s="26"/>
      <c r="AH389" s="26"/>
      <c r="AI389" s="26"/>
      <c r="AJ389" s="26"/>
      <c r="AK389" s="26"/>
      <c r="AL389" s="26"/>
      <c r="AM389" s="26"/>
      <c r="AN389" s="26"/>
      <c r="AO389" s="26"/>
      <c r="AP389" s="26"/>
      <c r="AQ389" s="26"/>
      <c r="AR389" s="26"/>
      <c r="AS389" s="26"/>
      <c r="AT389" s="26"/>
      <c r="AU389" s="26"/>
      <c r="AV389" s="26"/>
      <c r="AW389" s="26"/>
      <c r="AX389" s="26"/>
      <c r="AY389" s="26"/>
      <c r="AZ389" s="26"/>
      <c r="BA389" s="26"/>
      <c r="BB389" s="26"/>
      <c r="BC389" s="26"/>
      <c r="BD389" s="26"/>
      <c r="BE389" s="26"/>
      <c r="BF389" s="26"/>
      <c r="BG389" s="26"/>
      <c r="BH389" s="26"/>
      <c r="BI389" s="26"/>
      <c r="BJ389" s="26"/>
      <c r="BK389" s="26"/>
      <c r="BL389" s="26"/>
      <c r="BM389" s="26"/>
      <c r="BN389" s="26"/>
      <c r="BO389" s="26"/>
      <c r="BP389" s="26"/>
      <c r="BQ389" s="26"/>
      <c r="BR389" s="26"/>
      <c r="BS389" s="26"/>
      <c r="BT389" s="26"/>
      <c r="BU389" s="26"/>
      <c r="BV389" s="26"/>
      <c r="BW389" s="26"/>
      <c r="BX389" s="26"/>
      <c r="BY389" s="26"/>
      <c r="BZ389" s="26"/>
      <c r="CA389" s="26"/>
      <c r="CB389" s="26"/>
      <c r="CC389" s="26"/>
      <c r="CD389" s="26"/>
      <c r="CE389" s="26"/>
      <c r="CF389" s="26"/>
      <c r="CG389" s="26"/>
      <c r="CH389" s="26"/>
      <c r="CI389" s="26"/>
      <c r="CJ389" s="26"/>
      <c r="CK389" s="26"/>
      <c r="CL389" s="26"/>
      <c r="CM389" s="26"/>
      <c r="CN389" s="26"/>
      <c r="CO389" s="26"/>
      <c r="CP389" s="26"/>
      <c r="CQ389" s="26"/>
      <c r="CR389" s="26"/>
      <c r="CS389" s="26"/>
      <c r="CT389" s="26"/>
      <c r="CU389" s="26"/>
      <c r="CV389" s="26"/>
      <c r="CW389" s="26"/>
      <c r="CX389" s="26"/>
      <c r="CY389" s="26"/>
      <c r="CZ389" s="26"/>
    </row>
    <row r="390" spans="1:104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6"/>
      <c r="AB390" s="26"/>
      <c r="AC390" s="26"/>
      <c r="AD390" s="26"/>
      <c r="AE390" s="26"/>
      <c r="AF390" s="26"/>
      <c r="AG390" s="26"/>
      <c r="AH390" s="26"/>
      <c r="AI390" s="26"/>
      <c r="AJ390" s="26"/>
      <c r="AK390" s="26"/>
      <c r="AL390" s="26"/>
      <c r="AM390" s="26"/>
      <c r="AN390" s="26"/>
      <c r="AO390" s="26"/>
      <c r="AP390" s="26"/>
      <c r="AQ390" s="26"/>
      <c r="AR390" s="26"/>
      <c r="AS390" s="26"/>
      <c r="AT390" s="26"/>
      <c r="AU390" s="26"/>
      <c r="AV390" s="26"/>
      <c r="AW390" s="26"/>
      <c r="AX390" s="26"/>
      <c r="AY390" s="26"/>
      <c r="AZ390" s="26"/>
      <c r="BA390" s="26"/>
      <c r="BB390" s="26"/>
      <c r="BC390" s="26"/>
      <c r="BD390" s="26"/>
      <c r="BE390" s="26"/>
      <c r="BF390" s="26"/>
      <c r="BG390" s="26"/>
      <c r="BH390" s="26"/>
      <c r="BI390" s="26"/>
      <c r="BJ390" s="26"/>
      <c r="BK390" s="26"/>
      <c r="BL390" s="26"/>
      <c r="BM390" s="26"/>
      <c r="BN390" s="26"/>
      <c r="BO390" s="26"/>
      <c r="BP390" s="26"/>
      <c r="BQ390" s="26"/>
      <c r="BR390" s="26"/>
      <c r="BS390" s="26"/>
      <c r="BT390" s="26"/>
      <c r="BU390" s="26"/>
      <c r="BV390" s="26"/>
      <c r="BW390" s="26"/>
      <c r="BX390" s="26"/>
      <c r="BY390" s="26"/>
      <c r="BZ390" s="26"/>
      <c r="CA390" s="26"/>
      <c r="CB390" s="26"/>
      <c r="CC390" s="26"/>
      <c r="CD390" s="26"/>
      <c r="CE390" s="26"/>
      <c r="CF390" s="26"/>
      <c r="CG390" s="26"/>
      <c r="CH390" s="26"/>
      <c r="CI390" s="26"/>
      <c r="CJ390" s="26"/>
      <c r="CK390" s="26"/>
      <c r="CL390" s="26"/>
      <c r="CM390" s="26"/>
      <c r="CN390" s="26"/>
      <c r="CO390" s="26"/>
      <c r="CP390" s="26"/>
      <c r="CQ390" s="26"/>
      <c r="CR390" s="26"/>
      <c r="CS390" s="26"/>
      <c r="CT390" s="26"/>
      <c r="CU390" s="26"/>
      <c r="CV390" s="26"/>
      <c r="CW390" s="26"/>
      <c r="CX390" s="26"/>
      <c r="CY390" s="26"/>
      <c r="CZ390" s="26"/>
    </row>
    <row r="391" spans="1:104" x14ac:dyDescent="0.2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6"/>
      <c r="AB391" s="26"/>
      <c r="AC391" s="26"/>
      <c r="AD391" s="26"/>
      <c r="AE391" s="26"/>
      <c r="AF391" s="26"/>
      <c r="AG391" s="26"/>
      <c r="AH391" s="26"/>
      <c r="AI391" s="26"/>
      <c r="AJ391" s="26"/>
      <c r="AK391" s="26"/>
      <c r="AL391" s="26"/>
      <c r="AM391" s="26"/>
      <c r="AN391" s="26"/>
      <c r="AO391" s="26"/>
      <c r="AP391" s="26"/>
      <c r="AQ391" s="26"/>
      <c r="AR391" s="26"/>
      <c r="AS391" s="26"/>
      <c r="AT391" s="26"/>
      <c r="AU391" s="26"/>
      <c r="AV391" s="26"/>
      <c r="AW391" s="26"/>
      <c r="AX391" s="26"/>
      <c r="AY391" s="26"/>
      <c r="AZ391" s="26"/>
      <c r="BA391" s="26"/>
      <c r="BB391" s="26"/>
      <c r="BC391" s="26"/>
      <c r="BD391" s="26"/>
      <c r="BE391" s="26"/>
      <c r="BF391" s="26"/>
      <c r="BG391" s="26"/>
      <c r="BH391" s="26"/>
      <c r="BI391" s="26"/>
      <c r="BJ391" s="26"/>
      <c r="BK391" s="26"/>
      <c r="BL391" s="26"/>
      <c r="BM391" s="26"/>
      <c r="BN391" s="26"/>
      <c r="BO391" s="26"/>
      <c r="BP391" s="26"/>
      <c r="BQ391" s="26"/>
      <c r="BR391" s="26"/>
      <c r="BS391" s="26"/>
      <c r="BT391" s="26"/>
      <c r="BU391" s="26"/>
      <c r="BV391" s="26"/>
      <c r="BW391" s="26"/>
      <c r="BX391" s="26"/>
      <c r="BY391" s="26"/>
      <c r="BZ391" s="26"/>
      <c r="CA391" s="26"/>
      <c r="CB391" s="26"/>
      <c r="CC391" s="26"/>
      <c r="CD391" s="26"/>
      <c r="CE391" s="26"/>
      <c r="CF391" s="26"/>
      <c r="CG391" s="26"/>
      <c r="CH391" s="26"/>
      <c r="CI391" s="26"/>
      <c r="CJ391" s="26"/>
      <c r="CK391" s="26"/>
      <c r="CL391" s="26"/>
      <c r="CM391" s="26"/>
      <c r="CN391" s="26"/>
      <c r="CO391" s="26"/>
      <c r="CP391" s="26"/>
      <c r="CQ391" s="26"/>
      <c r="CR391" s="26"/>
      <c r="CS391" s="26"/>
      <c r="CT391" s="26"/>
      <c r="CU391" s="26"/>
      <c r="CV391" s="26"/>
      <c r="CW391" s="26"/>
      <c r="CX391" s="26"/>
      <c r="CY391" s="26"/>
      <c r="CZ391" s="26"/>
    </row>
    <row r="392" spans="1:104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6"/>
      <c r="AB392" s="26"/>
      <c r="AC392" s="26"/>
      <c r="AD392" s="26"/>
      <c r="AE392" s="26"/>
      <c r="AF392" s="26"/>
      <c r="AG392" s="26"/>
      <c r="AH392" s="26"/>
      <c r="AI392" s="26"/>
      <c r="AJ392" s="26"/>
      <c r="AK392" s="26"/>
      <c r="AL392" s="26"/>
      <c r="AM392" s="26"/>
      <c r="AN392" s="26"/>
      <c r="AO392" s="26"/>
      <c r="AP392" s="26"/>
      <c r="AQ392" s="26"/>
      <c r="AR392" s="26"/>
      <c r="AS392" s="26"/>
      <c r="AT392" s="26"/>
      <c r="AU392" s="26"/>
      <c r="AV392" s="26"/>
      <c r="AW392" s="26"/>
      <c r="AX392" s="26"/>
      <c r="AY392" s="26"/>
      <c r="AZ392" s="26"/>
      <c r="BA392" s="26"/>
      <c r="BB392" s="26"/>
      <c r="BC392" s="26"/>
      <c r="BD392" s="26"/>
      <c r="BE392" s="26"/>
      <c r="BF392" s="26"/>
      <c r="BG392" s="26"/>
      <c r="BH392" s="26"/>
      <c r="BI392" s="26"/>
      <c r="BJ392" s="26"/>
      <c r="BK392" s="26"/>
      <c r="BL392" s="26"/>
      <c r="BM392" s="26"/>
      <c r="BN392" s="26"/>
      <c r="BO392" s="26"/>
      <c r="BP392" s="26"/>
      <c r="BQ392" s="26"/>
      <c r="BR392" s="26"/>
      <c r="BS392" s="26"/>
      <c r="BT392" s="26"/>
      <c r="BU392" s="26"/>
      <c r="BV392" s="26"/>
      <c r="BW392" s="26"/>
      <c r="BX392" s="26"/>
      <c r="BY392" s="26"/>
      <c r="BZ392" s="26"/>
      <c r="CA392" s="26"/>
      <c r="CB392" s="26"/>
      <c r="CC392" s="26"/>
      <c r="CD392" s="26"/>
      <c r="CE392" s="26"/>
      <c r="CF392" s="26"/>
      <c r="CG392" s="26"/>
      <c r="CH392" s="26"/>
      <c r="CI392" s="26"/>
      <c r="CJ392" s="26"/>
      <c r="CK392" s="26"/>
      <c r="CL392" s="26"/>
      <c r="CM392" s="26"/>
      <c r="CN392" s="26"/>
      <c r="CO392" s="26"/>
      <c r="CP392" s="26"/>
      <c r="CQ392" s="26"/>
      <c r="CR392" s="26"/>
      <c r="CS392" s="26"/>
      <c r="CT392" s="26"/>
      <c r="CU392" s="26"/>
      <c r="CV392" s="26"/>
      <c r="CW392" s="26"/>
      <c r="CX392" s="26"/>
      <c r="CY392" s="26"/>
      <c r="CZ392" s="26"/>
    </row>
    <row r="393" spans="1:104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6"/>
      <c r="AB393" s="26"/>
      <c r="AC393" s="26"/>
      <c r="AD393" s="26"/>
      <c r="AE393" s="26"/>
      <c r="AF393" s="26"/>
      <c r="AG393" s="26"/>
      <c r="AH393" s="26"/>
      <c r="AI393" s="26"/>
      <c r="AJ393" s="26"/>
      <c r="AK393" s="26"/>
      <c r="AL393" s="26"/>
      <c r="AM393" s="26"/>
      <c r="AN393" s="26"/>
      <c r="AO393" s="26"/>
      <c r="AP393" s="26"/>
      <c r="AQ393" s="26"/>
      <c r="AR393" s="26"/>
      <c r="AS393" s="26"/>
      <c r="AT393" s="26"/>
      <c r="AU393" s="26"/>
      <c r="AV393" s="26"/>
      <c r="AW393" s="26"/>
      <c r="AX393" s="26"/>
      <c r="AY393" s="26"/>
      <c r="AZ393" s="26"/>
      <c r="BA393" s="26"/>
      <c r="BB393" s="26"/>
      <c r="BC393" s="26"/>
      <c r="BD393" s="26"/>
      <c r="BE393" s="26"/>
      <c r="BF393" s="26"/>
      <c r="BG393" s="26"/>
      <c r="BH393" s="26"/>
      <c r="BI393" s="26"/>
      <c r="BJ393" s="26"/>
      <c r="BK393" s="26"/>
      <c r="BL393" s="26"/>
      <c r="BM393" s="26"/>
      <c r="BN393" s="26"/>
      <c r="BO393" s="26"/>
      <c r="BP393" s="26"/>
      <c r="BQ393" s="26"/>
      <c r="BR393" s="26"/>
      <c r="BS393" s="26"/>
      <c r="BT393" s="26"/>
      <c r="BU393" s="26"/>
      <c r="BV393" s="26"/>
      <c r="BW393" s="26"/>
      <c r="BX393" s="26"/>
      <c r="BY393" s="26"/>
      <c r="BZ393" s="26"/>
      <c r="CA393" s="26"/>
      <c r="CB393" s="26"/>
      <c r="CC393" s="26"/>
      <c r="CD393" s="26"/>
      <c r="CE393" s="26"/>
      <c r="CF393" s="26"/>
      <c r="CG393" s="26"/>
      <c r="CH393" s="26"/>
      <c r="CI393" s="26"/>
      <c r="CJ393" s="26"/>
      <c r="CK393" s="26"/>
      <c r="CL393" s="26"/>
      <c r="CM393" s="26"/>
      <c r="CN393" s="26"/>
      <c r="CO393" s="26"/>
      <c r="CP393" s="26"/>
      <c r="CQ393" s="26"/>
      <c r="CR393" s="26"/>
      <c r="CS393" s="26"/>
      <c r="CT393" s="26"/>
      <c r="CU393" s="26"/>
      <c r="CV393" s="26"/>
      <c r="CW393" s="26"/>
      <c r="CX393" s="26"/>
      <c r="CY393" s="26"/>
      <c r="CZ393" s="26"/>
    </row>
    <row r="394" spans="1:104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6"/>
      <c r="AB394" s="26"/>
      <c r="AC394" s="26"/>
      <c r="AD394" s="26"/>
      <c r="AE394" s="26"/>
      <c r="AF394" s="26"/>
      <c r="AG394" s="26"/>
      <c r="AH394" s="26"/>
      <c r="AI394" s="26"/>
      <c r="AJ394" s="26"/>
      <c r="AK394" s="26"/>
      <c r="AL394" s="26"/>
      <c r="AM394" s="26"/>
      <c r="AN394" s="26"/>
      <c r="AO394" s="26"/>
      <c r="AP394" s="26"/>
      <c r="AQ394" s="26"/>
      <c r="AR394" s="26"/>
      <c r="AS394" s="26"/>
      <c r="AT394" s="26"/>
      <c r="AU394" s="26"/>
      <c r="AV394" s="26"/>
      <c r="AW394" s="26"/>
      <c r="AX394" s="26"/>
      <c r="AY394" s="26"/>
      <c r="AZ394" s="26"/>
      <c r="BA394" s="26"/>
      <c r="BB394" s="26"/>
      <c r="BC394" s="26"/>
      <c r="BD394" s="26"/>
      <c r="BE394" s="26"/>
      <c r="BF394" s="26"/>
      <c r="BG394" s="26"/>
      <c r="BH394" s="26"/>
      <c r="BI394" s="26"/>
      <c r="BJ394" s="26"/>
      <c r="BK394" s="26"/>
      <c r="BL394" s="26"/>
      <c r="BM394" s="26"/>
      <c r="BN394" s="26"/>
      <c r="BO394" s="26"/>
      <c r="BP394" s="26"/>
      <c r="BQ394" s="26"/>
      <c r="BR394" s="26"/>
      <c r="BS394" s="26"/>
      <c r="BT394" s="26"/>
      <c r="BU394" s="26"/>
      <c r="BV394" s="26"/>
      <c r="BW394" s="26"/>
      <c r="BX394" s="26"/>
      <c r="BY394" s="26"/>
      <c r="BZ394" s="26"/>
      <c r="CA394" s="26"/>
      <c r="CB394" s="26"/>
      <c r="CC394" s="26"/>
      <c r="CD394" s="26"/>
      <c r="CE394" s="26"/>
      <c r="CF394" s="26"/>
      <c r="CG394" s="26"/>
      <c r="CH394" s="26"/>
      <c r="CI394" s="26"/>
      <c r="CJ394" s="26"/>
      <c r="CK394" s="26"/>
      <c r="CL394" s="26"/>
      <c r="CM394" s="26"/>
      <c r="CN394" s="26"/>
      <c r="CO394" s="26"/>
      <c r="CP394" s="26"/>
      <c r="CQ394" s="26"/>
      <c r="CR394" s="26"/>
      <c r="CS394" s="26"/>
      <c r="CT394" s="26"/>
      <c r="CU394" s="26"/>
      <c r="CV394" s="26"/>
      <c r="CW394" s="26"/>
      <c r="CX394" s="26"/>
      <c r="CY394" s="26"/>
      <c r="CZ394" s="26"/>
    </row>
    <row r="395" spans="1:104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6"/>
      <c r="AB395" s="26"/>
      <c r="AC395" s="26"/>
      <c r="AD395" s="26"/>
      <c r="AE395" s="26"/>
      <c r="AF395" s="26"/>
      <c r="AG395" s="26"/>
      <c r="AH395" s="26"/>
      <c r="AI395" s="26"/>
      <c r="AJ395" s="26"/>
      <c r="AK395" s="26"/>
      <c r="AL395" s="26"/>
      <c r="AM395" s="26"/>
      <c r="AN395" s="26"/>
      <c r="AO395" s="26"/>
      <c r="AP395" s="26"/>
      <c r="AQ395" s="26"/>
      <c r="AR395" s="26"/>
      <c r="AS395" s="26"/>
      <c r="AT395" s="26"/>
      <c r="AU395" s="26"/>
      <c r="AV395" s="26"/>
      <c r="AW395" s="26"/>
      <c r="AX395" s="26"/>
      <c r="AY395" s="26"/>
      <c r="AZ395" s="26"/>
      <c r="BA395" s="26"/>
      <c r="BB395" s="26"/>
      <c r="BC395" s="26"/>
      <c r="BD395" s="26"/>
      <c r="BE395" s="26"/>
      <c r="BF395" s="26"/>
      <c r="BG395" s="26"/>
      <c r="BH395" s="26"/>
      <c r="BI395" s="26"/>
      <c r="BJ395" s="26"/>
      <c r="BK395" s="26"/>
      <c r="BL395" s="26"/>
      <c r="BM395" s="26"/>
      <c r="BN395" s="26"/>
      <c r="BO395" s="26"/>
      <c r="BP395" s="26"/>
      <c r="BQ395" s="26"/>
      <c r="BR395" s="26"/>
      <c r="BS395" s="26"/>
      <c r="BT395" s="26"/>
      <c r="BU395" s="26"/>
      <c r="BV395" s="26"/>
      <c r="BW395" s="26"/>
      <c r="BX395" s="26"/>
      <c r="BY395" s="26"/>
      <c r="BZ395" s="26"/>
      <c r="CA395" s="26"/>
      <c r="CB395" s="26"/>
      <c r="CC395" s="26"/>
      <c r="CD395" s="26"/>
      <c r="CE395" s="26"/>
      <c r="CF395" s="26"/>
      <c r="CG395" s="26"/>
      <c r="CH395" s="26"/>
      <c r="CI395" s="26"/>
      <c r="CJ395" s="26"/>
      <c r="CK395" s="26"/>
      <c r="CL395" s="26"/>
      <c r="CM395" s="26"/>
      <c r="CN395" s="26"/>
      <c r="CO395" s="26"/>
      <c r="CP395" s="26"/>
      <c r="CQ395" s="26"/>
      <c r="CR395" s="26"/>
      <c r="CS395" s="26"/>
      <c r="CT395" s="26"/>
      <c r="CU395" s="26"/>
      <c r="CV395" s="26"/>
      <c r="CW395" s="26"/>
      <c r="CX395" s="26"/>
      <c r="CY395" s="26"/>
      <c r="CZ395" s="26"/>
    </row>
    <row r="396" spans="1:104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6"/>
      <c r="AB396" s="26"/>
      <c r="AC396" s="26"/>
      <c r="AD396" s="26"/>
      <c r="AE396" s="26"/>
      <c r="AF396" s="26"/>
      <c r="AG396" s="26"/>
      <c r="AH396" s="26"/>
      <c r="AI396" s="26"/>
      <c r="AJ396" s="26"/>
      <c r="AK396" s="26"/>
      <c r="AL396" s="26"/>
      <c r="AM396" s="26"/>
      <c r="AN396" s="26"/>
      <c r="AO396" s="26"/>
      <c r="AP396" s="26"/>
      <c r="AQ396" s="26"/>
      <c r="AR396" s="26"/>
      <c r="AS396" s="26"/>
      <c r="AT396" s="26"/>
      <c r="AU396" s="26"/>
      <c r="AV396" s="26"/>
      <c r="AW396" s="26"/>
      <c r="AX396" s="26"/>
      <c r="AY396" s="26"/>
      <c r="AZ396" s="26"/>
      <c r="BA396" s="26"/>
      <c r="BB396" s="26"/>
      <c r="BC396" s="26"/>
      <c r="BD396" s="26"/>
      <c r="BE396" s="26"/>
      <c r="BF396" s="26"/>
      <c r="BG396" s="26"/>
      <c r="BH396" s="26"/>
      <c r="BI396" s="26"/>
      <c r="BJ396" s="26"/>
      <c r="BK396" s="26"/>
      <c r="BL396" s="26"/>
      <c r="BM396" s="26"/>
      <c r="BN396" s="26"/>
      <c r="BO396" s="26"/>
      <c r="BP396" s="26"/>
      <c r="BQ396" s="26"/>
      <c r="BR396" s="26"/>
      <c r="BS396" s="26"/>
      <c r="BT396" s="26"/>
      <c r="BU396" s="26"/>
      <c r="BV396" s="26"/>
      <c r="BW396" s="26"/>
      <c r="BX396" s="26"/>
      <c r="BY396" s="26"/>
      <c r="BZ396" s="26"/>
      <c r="CA396" s="26"/>
      <c r="CB396" s="26"/>
      <c r="CC396" s="26"/>
      <c r="CD396" s="26"/>
      <c r="CE396" s="26"/>
      <c r="CF396" s="26"/>
      <c r="CG396" s="26"/>
      <c r="CH396" s="26"/>
      <c r="CI396" s="26"/>
      <c r="CJ396" s="26"/>
      <c r="CK396" s="26"/>
      <c r="CL396" s="26"/>
      <c r="CM396" s="26"/>
      <c r="CN396" s="26"/>
      <c r="CO396" s="26"/>
      <c r="CP396" s="26"/>
      <c r="CQ396" s="26"/>
      <c r="CR396" s="26"/>
      <c r="CS396" s="26"/>
      <c r="CT396" s="26"/>
      <c r="CU396" s="26"/>
      <c r="CV396" s="26"/>
      <c r="CW396" s="26"/>
      <c r="CX396" s="26"/>
      <c r="CY396" s="26"/>
      <c r="CZ396" s="26"/>
    </row>
    <row r="397" spans="1:104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6"/>
      <c r="AB397" s="26"/>
      <c r="AC397" s="26"/>
      <c r="AD397" s="26"/>
      <c r="AE397" s="26"/>
      <c r="AF397" s="26"/>
      <c r="AG397" s="26"/>
      <c r="AH397" s="26"/>
      <c r="AI397" s="26"/>
      <c r="AJ397" s="26"/>
      <c r="AK397" s="26"/>
      <c r="AL397" s="26"/>
      <c r="AM397" s="26"/>
      <c r="AN397" s="26"/>
      <c r="AO397" s="26"/>
      <c r="AP397" s="26"/>
      <c r="AQ397" s="26"/>
      <c r="AR397" s="26"/>
      <c r="AS397" s="26"/>
      <c r="AT397" s="26"/>
      <c r="AU397" s="26"/>
      <c r="AV397" s="26"/>
      <c r="AW397" s="26"/>
      <c r="AX397" s="26"/>
      <c r="AY397" s="26"/>
      <c r="AZ397" s="26"/>
      <c r="BA397" s="26"/>
      <c r="BB397" s="26"/>
      <c r="BC397" s="26"/>
      <c r="BD397" s="26"/>
      <c r="BE397" s="26"/>
      <c r="BF397" s="26"/>
      <c r="BG397" s="26"/>
      <c r="BH397" s="26"/>
      <c r="BI397" s="26"/>
      <c r="BJ397" s="26"/>
      <c r="BK397" s="26"/>
      <c r="BL397" s="26"/>
      <c r="BM397" s="26"/>
      <c r="BN397" s="26"/>
      <c r="BO397" s="26"/>
      <c r="BP397" s="26"/>
      <c r="BQ397" s="26"/>
      <c r="BR397" s="26"/>
      <c r="BS397" s="26"/>
      <c r="BT397" s="26"/>
      <c r="BU397" s="26"/>
      <c r="BV397" s="26"/>
      <c r="BW397" s="26"/>
      <c r="BX397" s="26"/>
      <c r="BY397" s="26"/>
      <c r="BZ397" s="26"/>
      <c r="CA397" s="26"/>
      <c r="CB397" s="26"/>
      <c r="CC397" s="26"/>
      <c r="CD397" s="26"/>
      <c r="CE397" s="26"/>
      <c r="CF397" s="26"/>
      <c r="CG397" s="26"/>
      <c r="CH397" s="26"/>
      <c r="CI397" s="26"/>
      <c r="CJ397" s="26"/>
      <c r="CK397" s="26"/>
      <c r="CL397" s="26"/>
      <c r="CM397" s="26"/>
      <c r="CN397" s="26"/>
      <c r="CO397" s="26"/>
      <c r="CP397" s="26"/>
      <c r="CQ397" s="26"/>
      <c r="CR397" s="26"/>
      <c r="CS397" s="26"/>
      <c r="CT397" s="26"/>
      <c r="CU397" s="26"/>
      <c r="CV397" s="26"/>
      <c r="CW397" s="26"/>
      <c r="CX397" s="26"/>
      <c r="CY397" s="26"/>
      <c r="CZ397" s="26"/>
    </row>
    <row r="398" spans="1:104" x14ac:dyDescent="0.2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6"/>
      <c r="AB398" s="26"/>
      <c r="AC398" s="26"/>
      <c r="AD398" s="26"/>
      <c r="AE398" s="26"/>
      <c r="AF398" s="26"/>
      <c r="AG398" s="26"/>
      <c r="AH398" s="26"/>
      <c r="AI398" s="26"/>
      <c r="AJ398" s="26"/>
      <c r="AK398" s="26"/>
      <c r="AL398" s="26"/>
      <c r="AM398" s="26"/>
      <c r="AN398" s="26"/>
      <c r="AO398" s="26"/>
      <c r="AP398" s="26"/>
      <c r="AQ398" s="26"/>
      <c r="AR398" s="26"/>
      <c r="AS398" s="26"/>
      <c r="AT398" s="26"/>
      <c r="AU398" s="26"/>
      <c r="AV398" s="26"/>
      <c r="AW398" s="26"/>
      <c r="AX398" s="26"/>
      <c r="AY398" s="26"/>
      <c r="AZ398" s="26"/>
      <c r="BA398" s="26"/>
      <c r="BB398" s="26"/>
      <c r="BC398" s="26"/>
      <c r="BD398" s="26"/>
      <c r="BE398" s="26"/>
      <c r="BF398" s="26"/>
      <c r="BG398" s="26"/>
      <c r="BH398" s="26"/>
      <c r="BI398" s="26"/>
      <c r="BJ398" s="26"/>
      <c r="BK398" s="26"/>
      <c r="BL398" s="26"/>
      <c r="BM398" s="26"/>
      <c r="BN398" s="26"/>
      <c r="BO398" s="26"/>
      <c r="BP398" s="26"/>
      <c r="BQ398" s="26"/>
      <c r="BR398" s="26"/>
      <c r="BS398" s="26"/>
      <c r="BT398" s="26"/>
      <c r="BU398" s="26"/>
      <c r="BV398" s="26"/>
      <c r="BW398" s="26"/>
      <c r="BX398" s="26"/>
      <c r="BY398" s="26"/>
      <c r="BZ398" s="26"/>
      <c r="CA398" s="26"/>
      <c r="CB398" s="26"/>
      <c r="CC398" s="26"/>
      <c r="CD398" s="26"/>
      <c r="CE398" s="26"/>
      <c r="CF398" s="26"/>
      <c r="CG398" s="26"/>
      <c r="CH398" s="26"/>
      <c r="CI398" s="26"/>
      <c r="CJ398" s="26"/>
      <c r="CK398" s="26"/>
      <c r="CL398" s="26"/>
      <c r="CM398" s="26"/>
      <c r="CN398" s="26"/>
      <c r="CO398" s="26"/>
      <c r="CP398" s="26"/>
      <c r="CQ398" s="26"/>
      <c r="CR398" s="26"/>
      <c r="CS398" s="26"/>
      <c r="CT398" s="26"/>
      <c r="CU398" s="26"/>
      <c r="CV398" s="26"/>
      <c r="CW398" s="26"/>
      <c r="CX398" s="26"/>
      <c r="CY398" s="26"/>
      <c r="CZ398" s="26"/>
    </row>
    <row r="399" spans="1:104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6"/>
      <c r="AB399" s="26"/>
      <c r="AC399" s="26"/>
      <c r="AD399" s="26"/>
      <c r="AE399" s="26"/>
      <c r="AF399" s="26"/>
      <c r="AG399" s="26"/>
      <c r="AH399" s="26"/>
      <c r="AI399" s="26"/>
      <c r="AJ399" s="26"/>
      <c r="AK399" s="26"/>
      <c r="AL399" s="26"/>
      <c r="AM399" s="26"/>
      <c r="AN399" s="26"/>
      <c r="AO399" s="26"/>
      <c r="AP399" s="26"/>
      <c r="AQ399" s="26"/>
      <c r="AR399" s="26"/>
      <c r="AS399" s="26"/>
      <c r="AT399" s="26"/>
      <c r="AU399" s="26"/>
      <c r="AV399" s="26"/>
      <c r="AW399" s="26"/>
      <c r="AX399" s="26"/>
      <c r="AY399" s="26"/>
      <c r="AZ399" s="26"/>
      <c r="BA399" s="26"/>
      <c r="BB399" s="26"/>
      <c r="BC399" s="26"/>
      <c r="BD399" s="26"/>
      <c r="BE399" s="26"/>
      <c r="BF399" s="26"/>
      <c r="BG399" s="26"/>
      <c r="BH399" s="26"/>
      <c r="BI399" s="26"/>
      <c r="BJ399" s="26"/>
      <c r="BK399" s="26"/>
      <c r="BL399" s="26"/>
      <c r="BM399" s="26"/>
      <c r="BN399" s="26"/>
      <c r="BO399" s="26"/>
      <c r="BP399" s="26"/>
      <c r="BQ399" s="26"/>
      <c r="BR399" s="26"/>
      <c r="BS399" s="26"/>
      <c r="BT399" s="26"/>
      <c r="BU399" s="26"/>
      <c r="BV399" s="26"/>
      <c r="BW399" s="26"/>
      <c r="BX399" s="26"/>
      <c r="BY399" s="26"/>
      <c r="BZ399" s="26"/>
      <c r="CA399" s="26"/>
      <c r="CB399" s="26"/>
      <c r="CC399" s="26"/>
      <c r="CD399" s="26"/>
      <c r="CE399" s="26"/>
      <c r="CF399" s="26"/>
      <c r="CG399" s="26"/>
      <c r="CH399" s="26"/>
      <c r="CI399" s="26"/>
      <c r="CJ399" s="26"/>
      <c r="CK399" s="26"/>
      <c r="CL399" s="26"/>
      <c r="CM399" s="26"/>
      <c r="CN399" s="26"/>
      <c r="CO399" s="26"/>
      <c r="CP399" s="26"/>
      <c r="CQ399" s="26"/>
      <c r="CR399" s="26"/>
      <c r="CS399" s="26"/>
      <c r="CT399" s="26"/>
      <c r="CU399" s="26"/>
      <c r="CV399" s="26"/>
      <c r="CW399" s="26"/>
      <c r="CX399" s="26"/>
      <c r="CY399" s="26"/>
      <c r="CZ399" s="26"/>
    </row>
    <row r="400" spans="1:104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6"/>
      <c r="AB400" s="26"/>
      <c r="AC400" s="26"/>
      <c r="AD400" s="26"/>
      <c r="AE400" s="26"/>
      <c r="AF400" s="26"/>
      <c r="AG400" s="26"/>
      <c r="AH400" s="26"/>
      <c r="AI400" s="26"/>
      <c r="AJ400" s="26"/>
      <c r="AK400" s="26"/>
      <c r="AL400" s="26"/>
      <c r="AM400" s="26"/>
      <c r="AN400" s="26"/>
      <c r="AO400" s="26"/>
      <c r="AP400" s="26"/>
      <c r="AQ400" s="26"/>
      <c r="AR400" s="26"/>
      <c r="AS400" s="26"/>
      <c r="AT400" s="26"/>
      <c r="AU400" s="26"/>
      <c r="AV400" s="26"/>
      <c r="AW400" s="26"/>
      <c r="AX400" s="26"/>
      <c r="AY400" s="26"/>
      <c r="AZ400" s="26"/>
      <c r="BA400" s="26"/>
      <c r="BB400" s="26"/>
      <c r="BC400" s="26"/>
      <c r="BD400" s="26"/>
      <c r="BE400" s="26"/>
      <c r="BF400" s="26"/>
      <c r="BG400" s="26"/>
      <c r="BH400" s="26"/>
      <c r="BI400" s="26"/>
      <c r="BJ400" s="26"/>
      <c r="BK400" s="26"/>
      <c r="BL400" s="26"/>
      <c r="BM400" s="26"/>
      <c r="BN400" s="26"/>
      <c r="BO400" s="26"/>
      <c r="BP400" s="26"/>
      <c r="BQ400" s="26"/>
      <c r="BR400" s="26"/>
      <c r="BS400" s="26"/>
      <c r="BT400" s="26"/>
      <c r="BU400" s="26"/>
      <c r="BV400" s="26"/>
      <c r="BW400" s="26"/>
      <c r="BX400" s="26"/>
      <c r="BY400" s="26"/>
      <c r="BZ400" s="26"/>
      <c r="CA400" s="26"/>
      <c r="CB400" s="26"/>
      <c r="CC400" s="26"/>
      <c r="CD400" s="26"/>
      <c r="CE400" s="26"/>
      <c r="CF400" s="26"/>
      <c r="CG400" s="26"/>
      <c r="CH400" s="26"/>
      <c r="CI400" s="26"/>
      <c r="CJ400" s="26"/>
      <c r="CK400" s="26"/>
      <c r="CL400" s="26"/>
      <c r="CM400" s="26"/>
      <c r="CN400" s="26"/>
      <c r="CO400" s="26"/>
      <c r="CP400" s="26"/>
      <c r="CQ400" s="26"/>
      <c r="CR400" s="26"/>
      <c r="CS400" s="26"/>
      <c r="CT400" s="26"/>
      <c r="CU400" s="26"/>
      <c r="CV400" s="26"/>
      <c r="CW400" s="26"/>
      <c r="CX400" s="26"/>
      <c r="CY400" s="26"/>
      <c r="CZ400" s="26"/>
    </row>
    <row r="401" spans="1:104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6"/>
      <c r="AB401" s="26"/>
      <c r="AC401" s="26"/>
      <c r="AD401" s="26"/>
      <c r="AE401" s="26"/>
      <c r="AF401" s="26"/>
      <c r="AG401" s="26"/>
      <c r="AH401" s="26"/>
      <c r="AI401" s="26"/>
      <c r="AJ401" s="26"/>
      <c r="AK401" s="26"/>
      <c r="AL401" s="26"/>
      <c r="AM401" s="26"/>
      <c r="AN401" s="26"/>
      <c r="AO401" s="26"/>
      <c r="AP401" s="26"/>
      <c r="AQ401" s="26"/>
      <c r="AR401" s="26"/>
      <c r="AS401" s="26"/>
      <c r="AT401" s="26"/>
      <c r="AU401" s="26"/>
      <c r="AV401" s="26"/>
      <c r="AW401" s="26"/>
      <c r="AX401" s="26"/>
      <c r="AY401" s="26"/>
      <c r="AZ401" s="26"/>
      <c r="BA401" s="26"/>
      <c r="BB401" s="26"/>
      <c r="BC401" s="26"/>
      <c r="BD401" s="26"/>
      <c r="BE401" s="26"/>
      <c r="BF401" s="26"/>
      <c r="BG401" s="26"/>
      <c r="BH401" s="26"/>
      <c r="BI401" s="26"/>
      <c r="BJ401" s="26"/>
      <c r="BK401" s="26"/>
      <c r="BL401" s="26"/>
      <c r="BM401" s="26"/>
      <c r="BN401" s="26"/>
      <c r="BO401" s="26"/>
      <c r="BP401" s="26"/>
      <c r="BQ401" s="26"/>
      <c r="BR401" s="26"/>
      <c r="BS401" s="26"/>
      <c r="BT401" s="26"/>
      <c r="BU401" s="26"/>
      <c r="BV401" s="26"/>
      <c r="BW401" s="26"/>
      <c r="BX401" s="26"/>
      <c r="BY401" s="26"/>
      <c r="BZ401" s="26"/>
      <c r="CA401" s="26"/>
      <c r="CB401" s="26"/>
      <c r="CC401" s="26"/>
      <c r="CD401" s="26"/>
      <c r="CE401" s="26"/>
      <c r="CF401" s="26"/>
      <c r="CG401" s="26"/>
      <c r="CH401" s="26"/>
      <c r="CI401" s="26"/>
      <c r="CJ401" s="26"/>
      <c r="CK401" s="26"/>
      <c r="CL401" s="26"/>
      <c r="CM401" s="26"/>
      <c r="CN401" s="26"/>
      <c r="CO401" s="26"/>
      <c r="CP401" s="26"/>
      <c r="CQ401" s="26"/>
      <c r="CR401" s="26"/>
      <c r="CS401" s="26"/>
      <c r="CT401" s="26"/>
      <c r="CU401" s="26"/>
      <c r="CV401" s="26"/>
      <c r="CW401" s="26"/>
      <c r="CX401" s="26"/>
      <c r="CY401" s="26"/>
      <c r="CZ401" s="26"/>
    </row>
    <row r="402" spans="1:104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6"/>
      <c r="AB402" s="26"/>
      <c r="AC402" s="26"/>
      <c r="AD402" s="26"/>
      <c r="AE402" s="26"/>
      <c r="AF402" s="26"/>
      <c r="AG402" s="26"/>
      <c r="AH402" s="26"/>
      <c r="AI402" s="26"/>
      <c r="AJ402" s="26"/>
      <c r="AK402" s="26"/>
      <c r="AL402" s="26"/>
      <c r="AM402" s="26"/>
      <c r="AN402" s="26"/>
      <c r="AO402" s="26"/>
      <c r="AP402" s="26"/>
      <c r="AQ402" s="26"/>
      <c r="AR402" s="26"/>
      <c r="AS402" s="26"/>
      <c r="AT402" s="26"/>
      <c r="AU402" s="26"/>
      <c r="AV402" s="26"/>
      <c r="AW402" s="26"/>
      <c r="AX402" s="26"/>
      <c r="AY402" s="26"/>
      <c r="AZ402" s="26"/>
      <c r="BA402" s="26"/>
      <c r="BB402" s="26"/>
      <c r="BC402" s="26"/>
      <c r="BD402" s="26"/>
      <c r="BE402" s="26"/>
      <c r="BF402" s="26"/>
      <c r="BG402" s="26"/>
      <c r="BH402" s="26"/>
      <c r="BI402" s="26"/>
      <c r="BJ402" s="26"/>
      <c r="BK402" s="26"/>
      <c r="BL402" s="26"/>
      <c r="BM402" s="26"/>
      <c r="BN402" s="26"/>
      <c r="BO402" s="26"/>
      <c r="BP402" s="26"/>
      <c r="BQ402" s="26"/>
      <c r="BR402" s="26"/>
      <c r="BS402" s="26"/>
      <c r="BT402" s="26"/>
      <c r="BU402" s="26"/>
      <c r="BV402" s="26"/>
      <c r="BW402" s="26"/>
      <c r="BX402" s="26"/>
      <c r="BY402" s="26"/>
      <c r="BZ402" s="26"/>
      <c r="CA402" s="26"/>
      <c r="CB402" s="26"/>
      <c r="CC402" s="26"/>
      <c r="CD402" s="26"/>
      <c r="CE402" s="26"/>
      <c r="CF402" s="26"/>
      <c r="CG402" s="26"/>
      <c r="CH402" s="26"/>
      <c r="CI402" s="26"/>
      <c r="CJ402" s="26"/>
      <c r="CK402" s="26"/>
      <c r="CL402" s="26"/>
      <c r="CM402" s="26"/>
      <c r="CN402" s="26"/>
      <c r="CO402" s="26"/>
      <c r="CP402" s="26"/>
      <c r="CQ402" s="26"/>
      <c r="CR402" s="26"/>
      <c r="CS402" s="26"/>
      <c r="CT402" s="26"/>
      <c r="CU402" s="26"/>
      <c r="CV402" s="26"/>
      <c r="CW402" s="26"/>
      <c r="CX402" s="26"/>
      <c r="CY402" s="26"/>
      <c r="CZ402" s="26"/>
    </row>
    <row r="403" spans="1:104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6"/>
      <c r="AB403" s="26"/>
      <c r="AC403" s="26"/>
      <c r="AD403" s="26"/>
      <c r="AE403" s="26"/>
      <c r="AF403" s="26"/>
      <c r="AG403" s="26"/>
      <c r="AH403" s="26"/>
      <c r="AI403" s="26"/>
      <c r="AJ403" s="26"/>
      <c r="AK403" s="26"/>
      <c r="AL403" s="26"/>
      <c r="AM403" s="26"/>
      <c r="AN403" s="26"/>
      <c r="AO403" s="26"/>
      <c r="AP403" s="26"/>
      <c r="AQ403" s="26"/>
      <c r="AR403" s="26"/>
      <c r="AS403" s="26"/>
      <c r="AT403" s="26"/>
      <c r="AU403" s="26"/>
      <c r="AV403" s="26"/>
      <c r="AW403" s="26"/>
      <c r="AX403" s="26"/>
      <c r="AY403" s="26"/>
      <c r="AZ403" s="26"/>
      <c r="BA403" s="26"/>
      <c r="BB403" s="26"/>
      <c r="BC403" s="26"/>
      <c r="BD403" s="26"/>
      <c r="BE403" s="26"/>
      <c r="BF403" s="26"/>
      <c r="BG403" s="26"/>
      <c r="BH403" s="26"/>
      <c r="BI403" s="26"/>
      <c r="BJ403" s="26"/>
      <c r="BK403" s="26"/>
      <c r="BL403" s="26"/>
      <c r="BM403" s="26"/>
      <c r="BN403" s="26"/>
      <c r="BO403" s="26"/>
      <c r="BP403" s="26"/>
      <c r="BQ403" s="26"/>
      <c r="BR403" s="26"/>
      <c r="BS403" s="26"/>
      <c r="BT403" s="26"/>
      <c r="BU403" s="26"/>
      <c r="BV403" s="26"/>
      <c r="BW403" s="26"/>
      <c r="BX403" s="26"/>
      <c r="BY403" s="26"/>
      <c r="BZ403" s="26"/>
      <c r="CA403" s="26"/>
      <c r="CB403" s="26"/>
      <c r="CC403" s="26"/>
      <c r="CD403" s="26"/>
      <c r="CE403" s="26"/>
      <c r="CF403" s="26"/>
      <c r="CG403" s="26"/>
      <c r="CH403" s="26"/>
      <c r="CI403" s="26"/>
      <c r="CJ403" s="26"/>
      <c r="CK403" s="26"/>
      <c r="CL403" s="26"/>
      <c r="CM403" s="26"/>
      <c r="CN403" s="26"/>
      <c r="CO403" s="26"/>
      <c r="CP403" s="26"/>
      <c r="CQ403" s="26"/>
      <c r="CR403" s="26"/>
      <c r="CS403" s="26"/>
      <c r="CT403" s="26"/>
      <c r="CU403" s="26"/>
      <c r="CV403" s="26"/>
      <c r="CW403" s="26"/>
      <c r="CX403" s="26"/>
      <c r="CY403" s="26"/>
      <c r="CZ403" s="26"/>
    </row>
    <row r="404" spans="1:104" x14ac:dyDescent="0.2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6"/>
      <c r="AB404" s="26"/>
      <c r="AC404" s="26"/>
      <c r="AD404" s="26"/>
      <c r="AE404" s="26"/>
      <c r="AF404" s="26"/>
      <c r="AG404" s="26"/>
      <c r="AH404" s="26"/>
      <c r="AI404" s="26"/>
      <c r="AJ404" s="26"/>
      <c r="AK404" s="26"/>
      <c r="AL404" s="26"/>
      <c r="AM404" s="26"/>
      <c r="AN404" s="26"/>
      <c r="AO404" s="26"/>
      <c r="AP404" s="26"/>
      <c r="AQ404" s="26"/>
      <c r="AR404" s="26"/>
      <c r="AS404" s="26"/>
      <c r="AT404" s="26"/>
      <c r="AU404" s="26"/>
      <c r="AV404" s="26"/>
      <c r="AW404" s="26"/>
      <c r="AX404" s="26"/>
      <c r="AY404" s="26"/>
      <c r="AZ404" s="26"/>
      <c r="BA404" s="26"/>
      <c r="BB404" s="26"/>
      <c r="BC404" s="26"/>
      <c r="BD404" s="26"/>
      <c r="BE404" s="26"/>
      <c r="BF404" s="26"/>
      <c r="BG404" s="26"/>
      <c r="BH404" s="26"/>
      <c r="BI404" s="26"/>
      <c r="BJ404" s="26"/>
      <c r="BK404" s="26"/>
      <c r="BL404" s="26"/>
      <c r="BM404" s="26"/>
      <c r="BN404" s="26"/>
      <c r="BO404" s="26"/>
      <c r="BP404" s="26"/>
      <c r="BQ404" s="26"/>
      <c r="BR404" s="26"/>
      <c r="BS404" s="26"/>
      <c r="BT404" s="26"/>
      <c r="BU404" s="26"/>
      <c r="BV404" s="26"/>
      <c r="BW404" s="26"/>
      <c r="BX404" s="26"/>
      <c r="BY404" s="26"/>
      <c r="BZ404" s="26"/>
      <c r="CA404" s="26"/>
      <c r="CB404" s="26"/>
      <c r="CC404" s="26"/>
      <c r="CD404" s="26"/>
      <c r="CE404" s="26"/>
      <c r="CF404" s="26"/>
      <c r="CG404" s="26"/>
      <c r="CH404" s="26"/>
      <c r="CI404" s="26"/>
      <c r="CJ404" s="26"/>
      <c r="CK404" s="26"/>
      <c r="CL404" s="26"/>
      <c r="CM404" s="26"/>
      <c r="CN404" s="26"/>
      <c r="CO404" s="26"/>
      <c r="CP404" s="26"/>
      <c r="CQ404" s="26"/>
      <c r="CR404" s="26"/>
      <c r="CS404" s="26"/>
      <c r="CT404" s="26"/>
      <c r="CU404" s="26"/>
      <c r="CV404" s="26"/>
      <c r="CW404" s="26"/>
      <c r="CX404" s="26"/>
      <c r="CY404" s="26"/>
      <c r="CZ404" s="26"/>
    </row>
    <row r="405" spans="1:104" x14ac:dyDescent="0.2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6"/>
      <c r="AB405" s="26"/>
      <c r="AC405" s="26"/>
      <c r="AD405" s="26"/>
      <c r="AE405" s="26"/>
      <c r="AF405" s="26"/>
      <c r="AG405" s="26"/>
      <c r="AH405" s="26"/>
      <c r="AI405" s="26"/>
      <c r="AJ405" s="26"/>
      <c r="AK405" s="26"/>
      <c r="AL405" s="26"/>
      <c r="AM405" s="26"/>
      <c r="AN405" s="26"/>
      <c r="AO405" s="26"/>
      <c r="AP405" s="26"/>
      <c r="AQ405" s="26"/>
      <c r="AR405" s="26"/>
      <c r="AS405" s="26"/>
      <c r="AT405" s="26"/>
      <c r="AU405" s="26"/>
      <c r="AV405" s="26"/>
      <c r="AW405" s="26"/>
      <c r="AX405" s="26"/>
      <c r="AY405" s="26"/>
      <c r="AZ405" s="26"/>
      <c r="BA405" s="26"/>
      <c r="BB405" s="26"/>
      <c r="BC405" s="26"/>
      <c r="BD405" s="26"/>
      <c r="BE405" s="26"/>
      <c r="BF405" s="26"/>
      <c r="BG405" s="26"/>
      <c r="BH405" s="26"/>
      <c r="BI405" s="26"/>
      <c r="BJ405" s="26"/>
      <c r="BK405" s="26"/>
      <c r="BL405" s="26"/>
      <c r="BM405" s="26"/>
      <c r="BN405" s="26"/>
      <c r="BO405" s="26"/>
      <c r="BP405" s="26"/>
      <c r="BQ405" s="26"/>
      <c r="BR405" s="26"/>
      <c r="BS405" s="26"/>
      <c r="BT405" s="26"/>
      <c r="BU405" s="26"/>
      <c r="BV405" s="26"/>
      <c r="BW405" s="26"/>
      <c r="BX405" s="26"/>
      <c r="BY405" s="26"/>
      <c r="BZ405" s="26"/>
      <c r="CA405" s="26"/>
      <c r="CB405" s="26"/>
      <c r="CC405" s="26"/>
      <c r="CD405" s="26"/>
      <c r="CE405" s="26"/>
      <c r="CF405" s="26"/>
      <c r="CG405" s="26"/>
      <c r="CH405" s="26"/>
      <c r="CI405" s="26"/>
      <c r="CJ405" s="26"/>
      <c r="CK405" s="26"/>
      <c r="CL405" s="26"/>
      <c r="CM405" s="26"/>
      <c r="CN405" s="26"/>
      <c r="CO405" s="26"/>
      <c r="CP405" s="26"/>
      <c r="CQ405" s="26"/>
      <c r="CR405" s="26"/>
      <c r="CS405" s="26"/>
      <c r="CT405" s="26"/>
      <c r="CU405" s="26"/>
      <c r="CV405" s="26"/>
      <c r="CW405" s="26"/>
      <c r="CX405" s="26"/>
      <c r="CY405" s="26"/>
      <c r="CZ405" s="26"/>
    </row>
    <row r="406" spans="1:104" x14ac:dyDescent="0.2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6"/>
      <c r="AB406" s="26"/>
      <c r="AC406" s="26"/>
      <c r="AD406" s="26"/>
      <c r="AE406" s="26"/>
      <c r="AF406" s="26"/>
      <c r="AG406" s="26"/>
      <c r="AH406" s="26"/>
      <c r="AI406" s="26"/>
      <c r="AJ406" s="26"/>
      <c r="AK406" s="26"/>
      <c r="AL406" s="26"/>
      <c r="AM406" s="26"/>
      <c r="AN406" s="26"/>
      <c r="AO406" s="26"/>
      <c r="AP406" s="26"/>
      <c r="AQ406" s="26"/>
      <c r="AR406" s="26"/>
      <c r="AS406" s="26"/>
      <c r="AT406" s="26"/>
      <c r="AU406" s="26"/>
      <c r="AV406" s="26"/>
      <c r="AW406" s="26"/>
      <c r="AX406" s="26"/>
      <c r="AY406" s="26"/>
      <c r="AZ406" s="26"/>
      <c r="BA406" s="26"/>
      <c r="BB406" s="26"/>
      <c r="BC406" s="26"/>
      <c r="BD406" s="26"/>
      <c r="BE406" s="26"/>
      <c r="BF406" s="26"/>
      <c r="BG406" s="26"/>
      <c r="BH406" s="26"/>
      <c r="BI406" s="26"/>
      <c r="BJ406" s="26"/>
      <c r="BK406" s="26"/>
      <c r="BL406" s="26"/>
      <c r="BM406" s="26"/>
      <c r="BN406" s="26"/>
      <c r="BO406" s="26"/>
      <c r="BP406" s="26"/>
      <c r="BQ406" s="26"/>
      <c r="BR406" s="26"/>
      <c r="BS406" s="26"/>
      <c r="BT406" s="26"/>
      <c r="BU406" s="26"/>
      <c r="BV406" s="26"/>
      <c r="BW406" s="26"/>
      <c r="BX406" s="26"/>
      <c r="BY406" s="26"/>
      <c r="BZ406" s="26"/>
      <c r="CA406" s="26"/>
      <c r="CB406" s="26"/>
      <c r="CC406" s="26"/>
      <c r="CD406" s="26"/>
      <c r="CE406" s="26"/>
      <c r="CF406" s="26"/>
      <c r="CG406" s="26"/>
      <c r="CH406" s="26"/>
      <c r="CI406" s="26"/>
      <c r="CJ406" s="26"/>
      <c r="CK406" s="26"/>
      <c r="CL406" s="26"/>
      <c r="CM406" s="26"/>
      <c r="CN406" s="26"/>
      <c r="CO406" s="26"/>
      <c r="CP406" s="26"/>
      <c r="CQ406" s="26"/>
      <c r="CR406" s="26"/>
      <c r="CS406" s="26"/>
      <c r="CT406" s="26"/>
      <c r="CU406" s="26"/>
      <c r="CV406" s="26"/>
      <c r="CW406" s="26"/>
      <c r="CX406" s="26"/>
      <c r="CY406" s="26"/>
      <c r="CZ406" s="26"/>
    </row>
    <row r="407" spans="1:104" x14ac:dyDescent="0.2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6"/>
      <c r="AB407" s="26"/>
      <c r="AC407" s="26"/>
      <c r="AD407" s="26"/>
      <c r="AE407" s="26"/>
      <c r="AF407" s="26"/>
      <c r="AG407" s="26"/>
      <c r="AH407" s="26"/>
      <c r="AI407" s="26"/>
      <c r="AJ407" s="26"/>
      <c r="AK407" s="26"/>
      <c r="AL407" s="26"/>
      <c r="AM407" s="26"/>
      <c r="AN407" s="26"/>
      <c r="AO407" s="26"/>
      <c r="AP407" s="26"/>
      <c r="AQ407" s="26"/>
      <c r="AR407" s="26"/>
      <c r="AS407" s="26"/>
      <c r="AT407" s="26"/>
      <c r="AU407" s="26"/>
      <c r="AV407" s="26"/>
      <c r="AW407" s="26"/>
      <c r="AX407" s="26"/>
      <c r="AY407" s="26"/>
      <c r="AZ407" s="26"/>
      <c r="BA407" s="26"/>
      <c r="BB407" s="26"/>
      <c r="BC407" s="26"/>
      <c r="BD407" s="26"/>
      <c r="BE407" s="26"/>
      <c r="BF407" s="26"/>
      <c r="BG407" s="26"/>
      <c r="BH407" s="26"/>
      <c r="BI407" s="26"/>
      <c r="BJ407" s="26"/>
      <c r="BK407" s="26"/>
      <c r="BL407" s="26"/>
      <c r="BM407" s="26"/>
      <c r="BN407" s="26"/>
      <c r="BO407" s="26"/>
      <c r="BP407" s="26"/>
      <c r="BQ407" s="26"/>
      <c r="BR407" s="26"/>
      <c r="BS407" s="26"/>
      <c r="BT407" s="26"/>
      <c r="BU407" s="26"/>
      <c r="BV407" s="26"/>
      <c r="BW407" s="26"/>
      <c r="BX407" s="26"/>
      <c r="BY407" s="26"/>
      <c r="BZ407" s="26"/>
      <c r="CA407" s="26"/>
      <c r="CB407" s="26"/>
      <c r="CC407" s="26"/>
      <c r="CD407" s="26"/>
      <c r="CE407" s="26"/>
      <c r="CF407" s="26"/>
      <c r="CG407" s="26"/>
      <c r="CH407" s="26"/>
      <c r="CI407" s="26"/>
      <c r="CJ407" s="26"/>
      <c r="CK407" s="26"/>
      <c r="CL407" s="26"/>
      <c r="CM407" s="26"/>
      <c r="CN407" s="26"/>
      <c r="CO407" s="26"/>
      <c r="CP407" s="26"/>
      <c r="CQ407" s="26"/>
      <c r="CR407" s="26"/>
      <c r="CS407" s="26"/>
      <c r="CT407" s="26"/>
      <c r="CU407" s="26"/>
      <c r="CV407" s="26"/>
      <c r="CW407" s="26"/>
      <c r="CX407" s="26"/>
      <c r="CY407" s="26"/>
      <c r="CZ407" s="26"/>
    </row>
    <row r="408" spans="1:104" x14ac:dyDescent="0.2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6"/>
      <c r="AB408" s="26"/>
      <c r="AC408" s="26"/>
      <c r="AD408" s="26"/>
      <c r="AE408" s="26"/>
      <c r="AF408" s="26"/>
      <c r="AG408" s="26"/>
      <c r="AH408" s="26"/>
      <c r="AI408" s="26"/>
      <c r="AJ408" s="26"/>
      <c r="AK408" s="26"/>
      <c r="AL408" s="26"/>
      <c r="AM408" s="26"/>
      <c r="AN408" s="26"/>
      <c r="AO408" s="26"/>
      <c r="AP408" s="26"/>
      <c r="AQ408" s="26"/>
      <c r="AR408" s="26"/>
      <c r="AS408" s="26"/>
      <c r="AT408" s="26"/>
      <c r="AU408" s="26"/>
      <c r="AV408" s="26"/>
      <c r="AW408" s="26"/>
      <c r="AX408" s="26"/>
      <c r="AY408" s="26"/>
      <c r="AZ408" s="26"/>
      <c r="BA408" s="26"/>
      <c r="BB408" s="26"/>
      <c r="BC408" s="26"/>
      <c r="BD408" s="26"/>
      <c r="BE408" s="26"/>
      <c r="BF408" s="26"/>
      <c r="BG408" s="26"/>
      <c r="BH408" s="26"/>
      <c r="BI408" s="26"/>
      <c r="BJ408" s="26"/>
      <c r="BK408" s="26"/>
      <c r="BL408" s="26"/>
      <c r="BM408" s="26"/>
      <c r="BN408" s="26"/>
      <c r="BO408" s="26"/>
      <c r="BP408" s="26"/>
      <c r="BQ408" s="26"/>
      <c r="BR408" s="26"/>
      <c r="BS408" s="26"/>
      <c r="BT408" s="26"/>
      <c r="BU408" s="26"/>
      <c r="BV408" s="26"/>
      <c r="BW408" s="26"/>
      <c r="BX408" s="26"/>
      <c r="BY408" s="26"/>
      <c r="BZ408" s="26"/>
      <c r="CA408" s="26"/>
      <c r="CB408" s="26"/>
      <c r="CC408" s="26"/>
      <c r="CD408" s="26"/>
      <c r="CE408" s="26"/>
      <c r="CF408" s="26"/>
      <c r="CG408" s="26"/>
      <c r="CH408" s="26"/>
      <c r="CI408" s="26"/>
      <c r="CJ408" s="26"/>
      <c r="CK408" s="26"/>
      <c r="CL408" s="26"/>
      <c r="CM408" s="26"/>
      <c r="CN408" s="26"/>
      <c r="CO408" s="26"/>
      <c r="CP408" s="26"/>
      <c r="CQ408" s="26"/>
      <c r="CR408" s="26"/>
      <c r="CS408" s="26"/>
      <c r="CT408" s="26"/>
      <c r="CU408" s="26"/>
      <c r="CV408" s="26"/>
      <c r="CW408" s="26"/>
      <c r="CX408" s="26"/>
      <c r="CY408" s="26"/>
      <c r="CZ408" s="26"/>
    </row>
    <row r="409" spans="1:104" x14ac:dyDescent="0.2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6"/>
      <c r="AB409" s="26"/>
      <c r="AC409" s="26"/>
      <c r="AD409" s="26"/>
      <c r="AE409" s="26"/>
      <c r="AF409" s="26"/>
      <c r="AG409" s="26"/>
      <c r="AH409" s="26"/>
      <c r="AI409" s="26"/>
      <c r="AJ409" s="26"/>
      <c r="AK409" s="26"/>
      <c r="AL409" s="26"/>
      <c r="AM409" s="26"/>
      <c r="AN409" s="26"/>
      <c r="AO409" s="26"/>
      <c r="AP409" s="26"/>
      <c r="AQ409" s="26"/>
      <c r="AR409" s="26"/>
      <c r="AS409" s="26"/>
      <c r="AT409" s="26"/>
      <c r="AU409" s="26"/>
      <c r="AV409" s="26"/>
      <c r="AW409" s="26"/>
      <c r="AX409" s="26"/>
      <c r="AY409" s="26"/>
      <c r="AZ409" s="26"/>
      <c r="BA409" s="26"/>
      <c r="BB409" s="26"/>
      <c r="BC409" s="26"/>
      <c r="BD409" s="26"/>
      <c r="BE409" s="26"/>
      <c r="BF409" s="26"/>
      <c r="BG409" s="26"/>
      <c r="BH409" s="26"/>
      <c r="BI409" s="26"/>
      <c r="BJ409" s="26"/>
      <c r="BK409" s="26"/>
      <c r="BL409" s="26"/>
      <c r="BM409" s="26"/>
      <c r="BN409" s="26"/>
      <c r="BO409" s="26"/>
      <c r="BP409" s="26"/>
      <c r="BQ409" s="26"/>
      <c r="BR409" s="26"/>
      <c r="BS409" s="26"/>
      <c r="BT409" s="26"/>
      <c r="BU409" s="26"/>
      <c r="BV409" s="26"/>
      <c r="BW409" s="26"/>
      <c r="BX409" s="26"/>
      <c r="BY409" s="26"/>
      <c r="BZ409" s="26"/>
      <c r="CA409" s="26"/>
      <c r="CB409" s="26"/>
      <c r="CC409" s="26"/>
      <c r="CD409" s="26"/>
      <c r="CE409" s="26"/>
      <c r="CF409" s="26"/>
      <c r="CG409" s="26"/>
      <c r="CH409" s="26"/>
      <c r="CI409" s="26"/>
      <c r="CJ409" s="26"/>
      <c r="CK409" s="26"/>
      <c r="CL409" s="26"/>
      <c r="CM409" s="26"/>
      <c r="CN409" s="26"/>
      <c r="CO409" s="26"/>
      <c r="CP409" s="26"/>
      <c r="CQ409" s="26"/>
      <c r="CR409" s="26"/>
      <c r="CS409" s="26"/>
      <c r="CT409" s="26"/>
      <c r="CU409" s="26"/>
      <c r="CV409" s="26"/>
      <c r="CW409" s="26"/>
      <c r="CX409" s="26"/>
      <c r="CY409" s="26"/>
      <c r="CZ409" s="26"/>
    </row>
    <row r="410" spans="1:104" x14ac:dyDescent="0.2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6"/>
      <c r="AB410" s="26"/>
      <c r="AC410" s="26"/>
      <c r="AD410" s="26"/>
      <c r="AE410" s="26"/>
      <c r="AF410" s="26"/>
      <c r="AG410" s="26"/>
      <c r="AH410" s="26"/>
      <c r="AI410" s="26"/>
      <c r="AJ410" s="26"/>
      <c r="AK410" s="26"/>
      <c r="AL410" s="26"/>
      <c r="AM410" s="26"/>
      <c r="AN410" s="26"/>
      <c r="AO410" s="26"/>
      <c r="AP410" s="26"/>
      <c r="AQ410" s="26"/>
      <c r="AR410" s="26"/>
      <c r="AS410" s="26"/>
      <c r="AT410" s="26"/>
      <c r="AU410" s="26"/>
      <c r="AV410" s="26"/>
      <c r="AW410" s="26"/>
      <c r="AX410" s="26"/>
      <c r="AY410" s="26"/>
      <c r="AZ410" s="26"/>
      <c r="BA410" s="26"/>
      <c r="BB410" s="26"/>
      <c r="BC410" s="26"/>
      <c r="BD410" s="26"/>
      <c r="BE410" s="26"/>
      <c r="BF410" s="26"/>
      <c r="BG410" s="26"/>
      <c r="BH410" s="26"/>
      <c r="BI410" s="26"/>
      <c r="BJ410" s="26"/>
      <c r="BK410" s="26"/>
      <c r="BL410" s="26"/>
      <c r="BM410" s="26"/>
      <c r="BN410" s="26"/>
      <c r="BO410" s="26"/>
      <c r="BP410" s="26"/>
      <c r="BQ410" s="26"/>
      <c r="BR410" s="26"/>
      <c r="BS410" s="26"/>
      <c r="BT410" s="26"/>
      <c r="BU410" s="26"/>
      <c r="BV410" s="26"/>
      <c r="BW410" s="26"/>
      <c r="BX410" s="26"/>
      <c r="BY410" s="26"/>
      <c r="BZ410" s="26"/>
      <c r="CA410" s="26"/>
      <c r="CB410" s="26"/>
      <c r="CC410" s="26"/>
      <c r="CD410" s="26"/>
      <c r="CE410" s="26"/>
      <c r="CF410" s="26"/>
      <c r="CG410" s="26"/>
      <c r="CH410" s="26"/>
      <c r="CI410" s="26"/>
      <c r="CJ410" s="26"/>
      <c r="CK410" s="26"/>
      <c r="CL410" s="26"/>
      <c r="CM410" s="26"/>
      <c r="CN410" s="26"/>
      <c r="CO410" s="26"/>
      <c r="CP410" s="26"/>
      <c r="CQ410" s="26"/>
      <c r="CR410" s="26"/>
      <c r="CS410" s="26"/>
      <c r="CT410" s="26"/>
      <c r="CU410" s="26"/>
      <c r="CV410" s="26"/>
      <c r="CW410" s="26"/>
      <c r="CX410" s="26"/>
      <c r="CY410" s="26"/>
      <c r="CZ410" s="26"/>
    </row>
    <row r="411" spans="1:104" x14ac:dyDescent="0.2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6"/>
      <c r="AB411" s="26"/>
      <c r="AC411" s="26"/>
      <c r="AD411" s="26"/>
      <c r="AE411" s="26"/>
      <c r="AF411" s="26"/>
      <c r="AG411" s="26"/>
      <c r="AH411" s="26"/>
      <c r="AI411" s="26"/>
      <c r="AJ411" s="26"/>
      <c r="AK411" s="26"/>
      <c r="AL411" s="26"/>
      <c r="AM411" s="26"/>
      <c r="AN411" s="26"/>
      <c r="AO411" s="26"/>
      <c r="AP411" s="26"/>
      <c r="AQ411" s="26"/>
      <c r="AR411" s="26"/>
      <c r="AS411" s="26"/>
      <c r="AT411" s="26"/>
      <c r="AU411" s="26"/>
      <c r="AV411" s="26"/>
      <c r="AW411" s="26"/>
      <c r="AX411" s="26"/>
      <c r="AY411" s="26"/>
      <c r="AZ411" s="26"/>
      <c r="BA411" s="26"/>
      <c r="BB411" s="26"/>
      <c r="BC411" s="26"/>
      <c r="BD411" s="26"/>
      <c r="BE411" s="26"/>
      <c r="BF411" s="26"/>
      <c r="BG411" s="26"/>
      <c r="BH411" s="26"/>
      <c r="BI411" s="26"/>
      <c r="BJ411" s="26"/>
      <c r="BK411" s="26"/>
      <c r="BL411" s="26"/>
      <c r="BM411" s="26"/>
      <c r="BN411" s="26"/>
      <c r="BO411" s="26"/>
      <c r="BP411" s="26"/>
      <c r="BQ411" s="26"/>
      <c r="BR411" s="26"/>
      <c r="BS411" s="26"/>
      <c r="BT411" s="26"/>
      <c r="BU411" s="26"/>
      <c r="BV411" s="26"/>
      <c r="BW411" s="26"/>
      <c r="BX411" s="26"/>
      <c r="BY411" s="26"/>
      <c r="BZ411" s="26"/>
      <c r="CA411" s="26"/>
      <c r="CB411" s="26"/>
      <c r="CC411" s="26"/>
      <c r="CD411" s="26"/>
      <c r="CE411" s="26"/>
      <c r="CF411" s="26"/>
      <c r="CG411" s="26"/>
      <c r="CH411" s="26"/>
      <c r="CI411" s="26"/>
      <c r="CJ411" s="26"/>
      <c r="CK411" s="26"/>
      <c r="CL411" s="26"/>
      <c r="CM411" s="26"/>
      <c r="CN411" s="26"/>
      <c r="CO411" s="26"/>
      <c r="CP411" s="26"/>
      <c r="CQ411" s="26"/>
      <c r="CR411" s="26"/>
      <c r="CS411" s="26"/>
      <c r="CT411" s="26"/>
      <c r="CU411" s="26"/>
      <c r="CV411" s="26"/>
      <c r="CW411" s="26"/>
      <c r="CX411" s="26"/>
      <c r="CY411" s="26"/>
      <c r="CZ411" s="26"/>
    </row>
    <row r="412" spans="1:104" x14ac:dyDescent="0.2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6"/>
      <c r="AB412" s="26"/>
      <c r="AC412" s="26"/>
      <c r="AD412" s="26"/>
      <c r="AE412" s="26"/>
      <c r="AF412" s="26"/>
      <c r="AG412" s="26"/>
      <c r="AH412" s="26"/>
      <c r="AI412" s="26"/>
      <c r="AJ412" s="26"/>
      <c r="AK412" s="26"/>
      <c r="AL412" s="26"/>
      <c r="AM412" s="26"/>
      <c r="AN412" s="26"/>
      <c r="AO412" s="26"/>
      <c r="AP412" s="26"/>
      <c r="AQ412" s="26"/>
      <c r="AR412" s="26"/>
      <c r="AS412" s="26"/>
      <c r="AT412" s="26"/>
      <c r="AU412" s="26"/>
      <c r="AV412" s="26"/>
      <c r="AW412" s="26"/>
      <c r="AX412" s="26"/>
      <c r="AY412" s="26"/>
      <c r="AZ412" s="26"/>
      <c r="BA412" s="26"/>
      <c r="BB412" s="26"/>
      <c r="BC412" s="26"/>
      <c r="BD412" s="26"/>
      <c r="BE412" s="26"/>
      <c r="BF412" s="26"/>
      <c r="BG412" s="26"/>
      <c r="BH412" s="26"/>
      <c r="BI412" s="26"/>
      <c r="BJ412" s="26"/>
      <c r="BK412" s="26"/>
      <c r="BL412" s="26"/>
      <c r="BM412" s="26"/>
      <c r="BN412" s="26"/>
      <c r="BO412" s="26"/>
      <c r="BP412" s="26"/>
      <c r="BQ412" s="26"/>
      <c r="BR412" s="26"/>
      <c r="BS412" s="26"/>
      <c r="BT412" s="26"/>
      <c r="BU412" s="26"/>
      <c r="BV412" s="26"/>
      <c r="BW412" s="26"/>
      <c r="BX412" s="26"/>
      <c r="BY412" s="26"/>
      <c r="BZ412" s="26"/>
      <c r="CA412" s="26"/>
      <c r="CB412" s="26"/>
      <c r="CC412" s="26"/>
      <c r="CD412" s="26"/>
      <c r="CE412" s="26"/>
      <c r="CF412" s="26"/>
      <c r="CG412" s="26"/>
      <c r="CH412" s="26"/>
      <c r="CI412" s="26"/>
      <c r="CJ412" s="26"/>
      <c r="CK412" s="26"/>
      <c r="CL412" s="26"/>
      <c r="CM412" s="26"/>
      <c r="CN412" s="26"/>
      <c r="CO412" s="26"/>
      <c r="CP412" s="26"/>
      <c r="CQ412" s="26"/>
      <c r="CR412" s="26"/>
      <c r="CS412" s="26"/>
      <c r="CT412" s="26"/>
      <c r="CU412" s="26"/>
      <c r="CV412" s="26"/>
      <c r="CW412" s="26"/>
      <c r="CX412" s="26"/>
      <c r="CY412" s="26"/>
      <c r="CZ412" s="26"/>
    </row>
    <row r="413" spans="1:104" x14ac:dyDescent="0.2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6"/>
      <c r="AB413" s="26"/>
      <c r="AC413" s="26"/>
      <c r="AD413" s="26"/>
      <c r="AE413" s="26"/>
      <c r="AF413" s="26"/>
      <c r="AG413" s="26"/>
      <c r="AH413" s="26"/>
      <c r="AI413" s="26"/>
      <c r="AJ413" s="26"/>
      <c r="AK413" s="26"/>
      <c r="AL413" s="26"/>
      <c r="AM413" s="26"/>
      <c r="AN413" s="26"/>
      <c r="AO413" s="26"/>
      <c r="AP413" s="26"/>
      <c r="AQ413" s="26"/>
      <c r="AR413" s="26"/>
      <c r="AS413" s="26"/>
      <c r="AT413" s="26"/>
      <c r="AU413" s="26"/>
      <c r="AV413" s="26"/>
      <c r="AW413" s="26"/>
      <c r="AX413" s="26"/>
      <c r="AY413" s="26"/>
      <c r="AZ413" s="26"/>
      <c r="BA413" s="26"/>
      <c r="BB413" s="26"/>
      <c r="BC413" s="26"/>
      <c r="BD413" s="26"/>
      <c r="BE413" s="26"/>
      <c r="BF413" s="26"/>
      <c r="BG413" s="26"/>
      <c r="BH413" s="26"/>
      <c r="BI413" s="26"/>
      <c r="BJ413" s="26"/>
      <c r="BK413" s="26"/>
      <c r="BL413" s="26"/>
      <c r="BM413" s="26"/>
      <c r="BN413" s="26"/>
      <c r="BO413" s="26"/>
      <c r="BP413" s="26"/>
      <c r="BQ413" s="26"/>
      <c r="BR413" s="26"/>
      <c r="BS413" s="26"/>
      <c r="BT413" s="26"/>
      <c r="BU413" s="26"/>
      <c r="BV413" s="26"/>
      <c r="BW413" s="26"/>
      <c r="BX413" s="26"/>
      <c r="BY413" s="26"/>
      <c r="BZ413" s="26"/>
      <c r="CA413" s="26"/>
      <c r="CB413" s="26"/>
      <c r="CC413" s="26"/>
      <c r="CD413" s="26"/>
      <c r="CE413" s="26"/>
      <c r="CF413" s="26"/>
      <c r="CG413" s="26"/>
      <c r="CH413" s="26"/>
      <c r="CI413" s="26"/>
      <c r="CJ413" s="26"/>
      <c r="CK413" s="26"/>
      <c r="CL413" s="26"/>
      <c r="CM413" s="26"/>
      <c r="CN413" s="26"/>
      <c r="CO413" s="26"/>
      <c r="CP413" s="26"/>
      <c r="CQ413" s="26"/>
      <c r="CR413" s="26"/>
      <c r="CS413" s="26"/>
      <c r="CT413" s="26"/>
      <c r="CU413" s="26"/>
      <c r="CV413" s="26"/>
      <c r="CW413" s="26"/>
      <c r="CX413" s="26"/>
      <c r="CY413" s="26"/>
      <c r="CZ413" s="26"/>
    </row>
    <row r="414" spans="1:104" x14ac:dyDescent="0.2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6"/>
      <c r="AB414" s="26"/>
      <c r="AC414" s="26"/>
      <c r="AD414" s="26"/>
      <c r="AE414" s="26"/>
      <c r="AF414" s="26"/>
      <c r="AG414" s="26"/>
      <c r="AH414" s="26"/>
      <c r="AI414" s="26"/>
      <c r="AJ414" s="26"/>
      <c r="AK414" s="26"/>
      <c r="AL414" s="26"/>
      <c r="AM414" s="26"/>
      <c r="AN414" s="26"/>
      <c r="AO414" s="26"/>
      <c r="AP414" s="26"/>
      <c r="AQ414" s="26"/>
      <c r="AR414" s="26"/>
      <c r="AS414" s="26"/>
      <c r="AT414" s="26"/>
      <c r="AU414" s="26"/>
      <c r="AV414" s="26"/>
      <c r="AW414" s="26"/>
      <c r="AX414" s="26"/>
      <c r="AY414" s="26"/>
      <c r="AZ414" s="26"/>
      <c r="BA414" s="26"/>
      <c r="BB414" s="26"/>
      <c r="BC414" s="26"/>
      <c r="BD414" s="26"/>
      <c r="BE414" s="26"/>
      <c r="BF414" s="26"/>
      <c r="BG414" s="26"/>
      <c r="BH414" s="26"/>
      <c r="BI414" s="26"/>
      <c r="BJ414" s="26"/>
      <c r="BK414" s="26"/>
      <c r="BL414" s="26"/>
      <c r="BM414" s="26"/>
      <c r="BN414" s="26"/>
      <c r="BO414" s="26"/>
      <c r="BP414" s="26"/>
      <c r="BQ414" s="26"/>
      <c r="BR414" s="26"/>
      <c r="BS414" s="26"/>
      <c r="BT414" s="26"/>
      <c r="BU414" s="26"/>
      <c r="BV414" s="26"/>
      <c r="BW414" s="26"/>
      <c r="BX414" s="26"/>
      <c r="BY414" s="26"/>
      <c r="BZ414" s="26"/>
      <c r="CA414" s="26"/>
      <c r="CB414" s="26"/>
      <c r="CC414" s="26"/>
      <c r="CD414" s="26"/>
      <c r="CE414" s="26"/>
      <c r="CF414" s="26"/>
      <c r="CG414" s="26"/>
      <c r="CH414" s="26"/>
      <c r="CI414" s="26"/>
      <c r="CJ414" s="26"/>
      <c r="CK414" s="26"/>
      <c r="CL414" s="26"/>
      <c r="CM414" s="26"/>
      <c r="CN414" s="26"/>
      <c r="CO414" s="26"/>
      <c r="CP414" s="26"/>
      <c r="CQ414" s="26"/>
      <c r="CR414" s="26"/>
      <c r="CS414" s="26"/>
      <c r="CT414" s="26"/>
      <c r="CU414" s="26"/>
      <c r="CV414" s="26"/>
      <c r="CW414" s="26"/>
      <c r="CX414" s="26"/>
      <c r="CY414" s="26"/>
      <c r="CZ414" s="26"/>
    </row>
    <row r="415" spans="1:104" x14ac:dyDescent="0.2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6"/>
      <c r="AB415" s="26"/>
      <c r="AC415" s="26"/>
      <c r="AD415" s="26"/>
      <c r="AE415" s="26"/>
      <c r="AF415" s="26"/>
      <c r="AG415" s="26"/>
      <c r="AH415" s="26"/>
      <c r="AI415" s="26"/>
      <c r="AJ415" s="26"/>
      <c r="AK415" s="26"/>
      <c r="AL415" s="26"/>
      <c r="AM415" s="26"/>
      <c r="AN415" s="26"/>
      <c r="AO415" s="26"/>
      <c r="AP415" s="26"/>
      <c r="AQ415" s="26"/>
      <c r="AR415" s="26"/>
      <c r="AS415" s="26"/>
      <c r="AT415" s="26"/>
      <c r="AU415" s="26"/>
      <c r="AV415" s="26"/>
      <c r="AW415" s="26"/>
      <c r="AX415" s="26"/>
      <c r="AY415" s="26"/>
      <c r="AZ415" s="26"/>
      <c r="BA415" s="26"/>
      <c r="BB415" s="26"/>
      <c r="BC415" s="26"/>
      <c r="BD415" s="26"/>
      <c r="BE415" s="26"/>
      <c r="BF415" s="26"/>
      <c r="BG415" s="26"/>
      <c r="BH415" s="26"/>
      <c r="BI415" s="26"/>
      <c r="BJ415" s="26"/>
      <c r="BK415" s="26"/>
      <c r="BL415" s="26"/>
      <c r="BM415" s="26"/>
      <c r="BN415" s="26"/>
      <c r="BO415" s="26"/>
      <c r="BP415" s="26"/>
      <c r="BQ415" s="26"/>
      <c r="BR415" s="26"/>
      <c r="BS415" s="26"/>
      <c r="BT415" s="26"/>
      <c r="BU415" s="26"/>
      <c r="BV415" s="26"/>
      <c r="BW415" s="26"/>
      <c r="BX415" s="26"/>
      <c r="BY415" s="26"/>
      <c r="BZ415" s="26"/>
      <c r="CA415" s="26"/>
      <c r="CB415" s="26"/>
      <c r="CC415" s="26"/>
      <c r="CD415" s="26"/>
      <c r="CE415" s="26"/>
      <c r="CF415" s="26"/>
      <c r="CG415" s="26"/>
      <c r="CH415" s="26"/>
      <c r="CI415" s="26"/>
      <c r="CJ415" s="26"/>
      <c r="CK415" s="26"/>
      <c r="CL415" s="26"/>
      <c r="CM415" s="26"/>
      <c r="CN415" s="26"/>
      <c r="CO415" s="26"/>
      <c r="CP415" s="26"/>
      <c r="CQ415" s="26"/>
      <c r="CR415" s="26"/>
      <c r="CS415" s="26"/>
      <c r="CT415" s="26"/>
      <c r="CU415" s="26"/>
      <c r="CV415" s="26"/>
      <c r="CW415" s="26"/>
      <c r="CX415" s="26"/>
      <c r="CY415" s="26"/>
      <c r="CZ415" s="26"/>
    </row>
    <row r="416" spans="1:104" x14ac:dyDescent="0.2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6"/>
      <c r="AB416" s="26"/>
      <c r="AC416" s="26"/>
      <c r="AD416" s="26"/>
      <c r="AE416" s="26"/>
      <c r="AF416" s="26"/>
      <c r="AG416" s="26"/>
      <c r="AH416" s="26"/>
      <c r="AI416" s="26"/>
      <c r="AJ416" s="26"/>
      <c r="AK416" s="26"/>
      <c r="AL416" s="26"/>
      <c r="AM416" s="26"/>
      <c r="AN416" s="26"/>
      <c r="AO416" s="26"/>
      <c r="AP416" s="26"/>
      <c r="AQ416" s="26"/>
      <c r="AR416" s="26"/>
      <c r="AS416" s="26"/>
      <c r="AT416" s="26"/>
      <c r="AU416" s="26"/>
      <c r="AV416" s="26"/>
      <c r="AW416" s="26"/>
      <c r="AX416" s="26"/>
      <c r="AY416" s="26"/>
      <c r="AZ416" s="26"/>
      <c r="BA416" s="26"/>
      <c r="BB416" s="26"/>
      <c r="BC416" s="26"/>
      <c r="BD416" s="26"/>
      <c r="BE416" s="26"/>
      <c r="BF416" s="26"/>
      <c r="BG416" s="26"/>
      <c r="BH416" s="26"/>
      <c r="BI416" s="26"/>
      <c r="BJ416" s="26"/>
      <c r="BK416" s="26"/>
      <c r="BL416" s="26"/>
      <c r="BM416" s="26"/>
      <c r="BN416" s="26"/>
      <c r="BO416" s="26"/>
      <c r="BP416" s="26"/>
      <c r="BQ416" s="26"/>
      <c r="BR416" s="26"/>
      <c r="BS416" s="26"/>
      <c r="BT416" s="26"/>
      <c r="BU416" s="26"/>
      <c r="BV416" s="26"/>
      <c r="BW416" s="26"/>
      <c r="BX416" s="26"/>
      <c r="BY416" s="26"/>
      <c r="BZ416" s="26"/>
      <c r="CA416" s="26"/>
      <c r="CB416" s="26"/>
      <c r="CC416" s="26"/>
      <c r="CD416" s="26"/>
      <c r="CE416" s="26"/>
      <c r="CF416" s="26"/>
      <c r="CG416" s="26"/>
      <c r="CH416" s="26"/>
      <c r="CI416" s="26"/>
      <c r="CJ416" s="26"/>
      <c r="CK416" s="26"/>
      <c r="CL416" s="26"/>
      <c r="CM416" s="26"/>
      <c r="CN416" s="26"/>
      <c r="CO416" s="26"/>
      <c r="CP416" s="26"/>
      <c r="CQ416" s="26"/>
      <c r="CR416" s="26"/>
      <c r="CS416" s="26"/>
      <c r="CT416" s="26"/>
      <c r="CU416" s="26"/>
      <c r="CV416" s="26"/>
      <c r="CW416" s="26"/>
      <c r="CX416" s="26"/>
      <c r="CY416" s="26"/>
      <c r="CZ416" s="26"/>
    </row>
    <row r="417" spans="1:104" x14ac:dyDescent="0.2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6"/>
      <c r="AB417" s="26"/>
      <c r="AC417" s="26"/>
      <c r="AD417" s="26"/>
      <c r="AE417" s="26"/>
      <c r="AF417" s="26"/>
      <c r="AG417" s="26"/>
      <c r="AH417" s="26"/>
      <c r="AI417" s="26"/>
      <c r="AJ417" s="26"/>
      <c r="AK417" s="26"/>
      <c r="AL417" s="26"/>
      <c r="AM417" s="26"/>
      <c r="AN417" s="26"/>
      <c r="AO417" s="26"/>
      <c r="AP417" s="26"/>
      <c r="AQ417" s="26"/>
      <c r="AR417" s="26"/>
      <c r="AS417" s="26"/>
      <c r="AT417" s="26"/>
      <c r="AU417" s="26"/>
      <c r="AV417" s="26"/>
      <c r="AW417" s="26"/>
      <c r="AX417" s="26"/>
      <c r="AY417" s="26"/>
      <c r="AZ417" s="26"/>
      <c r="BA417" s="26"/>
      <c r="BB417" s="26"/>
      <c r="BC417" s="26"/>
      <c r="BD417" s="26"/>
      <c r="BE417" s="26"/>
      <c r="BF417" s="26"/>
      <c r="BG417" s="26"/>
      <c r="BH417" s="26"/>
      <c r="BI417" s="26"/>
      <c r="BJ417" s="26"/>
      <c r="BK417" s="26"/>
      <c r="BL417" s="26"/>
      <c r="BM417" s="26"/>
      <c r="BN417" s="26"/>
      <c r="BO417" s="26"/>
      <c r="BP417" s="26"/>
      <c r="BQ417" s="26"/>
      <c r="BR417" s="26"/>
      <c r="BS417" s="26"/>
      <c r="BT417" s="26"/>
      <c r="BU417" s="26"/>
      <c r="BV417" s="26"/>
      <c r="BW417" s="26"/>
      <c r="BX417" s="26"/>
      <c r="BY417" s="26"/>
      <c r="BZ417" s="26"/>
      <c r="CA417" s="26"/>
      <c r="CB417" s="26"/>
      <c r="CC417" s="26"/>
      <c r="CD417" s="26"/>
      <c r="CE417" s="26"/>
      <c r="CF417" s="26"/>
      <c r="CG417" s="26"/>
      <c r="CH417" s="26"/>
      <c r="CI417" s="26"/>
      <c r="CJ417" s="26"/>
      <c r="CK417" s="26"/>
      <c r="CL417" s="26"/>
      <c r="CM417" s="26"/>
      <c r="CN417" s="26"/>
      <c r="CO417" s="26"/>
      <c r="CP417" s="26"/>
      <c r="CQ417" s="26"/>
      <c r="CR417" s="26"/>
      <c r="CS417" s="26"/>
      <c r="CT417" s="26"/>
      <c r="CU417" s="26"/>
      <c r="CV417" s="26"/>
      <c r="CW417" s="26"/>
      <c r="CX417" s="26"/>
      <c r="CY417" s="26"/>
      <c r="CZ417" s="26"/>
    </row>
    <row r="418" spans="1:104" x14ac:dyDescent="0.2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6"/>
      <c r="AB418" s="26"/>
      <c r="AC418" s="26"/>
      <c r="AD418" s="26"/>
      <c r="AE418" s="26"/>
      <c r="AF418" s="26"/>
      <c r="AG418" s="26"/>
      <c r="AH418" s="26"/>
      <c r="AI418" s="26"/>
      <c r="AJ418" s="26"/>
      <c r="AK418" s="26"/>
      <c r="AL418" s="26"/>
      <c r="AM418" s="26"/>
      <c r="AN418" s="26"/>
      <c r="AO418" s="26"/>
      <c r="AP418" s="26"/>
      <c r="AQ418" s="26"/>
      <c r="AR418" s="26"/>
      <c r="AS418" s="26"/>
      <c r="AT418" s="26"/>
      <c r="AU418" s="26"/>
      <c r="AV418" s="26"/>
      <c r="AW418" s="26"/>
      <c r="AX418" s="26"/>
      <c r="AY418" s="26"/>
      <c r="AZ418" s="26"/>
      <c r="BA418" s="26"/>
      <c r="BB418" s="26"/>
      <c r="BC418" s="26"/>
      <c r="BD418" s="26"/>
      <c r="BE418" s="26"/>
      <c r="BF418" s="26"/>
      <c r="BG418" s="26"/>
      <c r="BH418" s="26"/>
      <c r="BI418" s="26"/>
      <c r="BJ418" s="26"/>
      <c r="BK418" s="26"/>
      <c r="BL418" s="26"/>
      <c r="BM418" s="26"/>
      <c r="BN418" s="26"/>
      <c r="BO418" s="26"/>
      <c r="BP418" s="26"/>
      <c r="BQ418" s="26"/>
      <c r="BR418" s="26"/>
      <c r="BS418" s="26"/>
      <c r="BT418" s="26"/>
      <c r="BU418" s="26"/>
      <c r="BV418" s="26"/>
      <c r="BW418" s="26"/>
      <c r="BX418" s="26"/>
      <c r="BY418" s="26"/>
      <c r="BZ418" s="26"/>
      <c r="CA418" s="26"/>
      <c r="CB418" s="26"/>
      <c r="CC418" s="26"/>
      <c r="CD418" s="26"/>
      <c r="CE418" s="26"/>
      <c r="CF418" s="26"/>
      <c r="CG418" s="26"/>
      <c r="CH418" s="26"/>
      <c r="CI418" s="26"/>
      <c r="CJ418" s="26"/>
      <c r="CK418" s="26"/>
      <c r="CL418" s="26"/>
      <c r="CM418" s="26"/>
      <c r="CN418" s="26"/>
      <c r="CO418" s="26"/>
      <c r="CP418" s="26"/>
      <c r="CQ418" s="26"/>
      <c r="CR418" s="26"/>
      <c r="CS418" s="26"/>
      <c r="CT418" s="26"/>
      <c r="CU418" s="26"/>
      <c r="CV418" s="26"/>
      <c r="CW418" s="26"/>
      <c r="CX418" s="26"/>
      <c r="CY418" s="26"/>
      <c r="CZ418" s="26"/>
    </row>
    <row r="419" spans="1:104" x14ac:dyDescent="0.2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6"/>
      <c r="AB419" s="26"/>
      <c r="AC419" s="26"/>
      <c r="AD419" s="26"/>
      <c r="AE419" s="26"/>
      <c r="AF419" s="26"/>
      <c r="AG419" s="26"/>
      <c r="AH419" s="26"/>
      <c r="AI419" s="26"/>
      <c r="AJ419" s="26"/>
      <c r="AK419" s="26"/>
      <c r="AL419" s="26"/>
      <c r="AM419" s="26"/>
      <c r="AN419" s="26"/>
      <c r="AO419" s="26"/>
      <c r="AP419" s="26"/>
      <c r="AQ419" s="26"/>
      <c r="AR419" s="26"/>
      <c r="AS419" s="26"/>
      <c r="AT419" s="26"/>
      <c r="AU419" s="26"/>
      <c r="AV419" s="26"/>
      <c r="AW419" s="26"/>
      <c r="AX419" s="26"/>
      <c r="AY419" s="26"/>
      <c r="AZ419" s="26"/>
      <c r="BA419" s="26"/>
      <c r="BB419" s="26"/>
      <c r="BC419" s="26"/>
      <c r="BD419" s="26"/>
      <c r="BE419" s="26"/>
      <c r="BF419" s="26"/>
      <c r="BG419" s="26"/>
      <c r="BH419" s="26"/>
      <c r="BI419" s="26"/>
      <c r="BJ419" s="26"/>
      <c r="BK419" s="26"/>
      <c r="BL419" s="26"/>
      <c r="BM419" s="26"/>
      <c r="BN419" s="26"/>
      <c r="BO419" s="26"/>
      <c r="BP419" s="26"/>
      <c r="BQ419" s="26"/>
      <c r="BR419" s="26"/>
      <c r="BS419" s="26"/>
      <c r="BT419" s="26"/>
      <c r="BU419" s="26"/>
      <c r="BV419" s="26"/>
      <c r="BW419" s="26"/>
      <c r="BX419" s="26"/>
      <c r="BY419" s="26"/>
      <c r="BZ419" s="26"/>
      <c r="CA419" s="26"/>
      <c r="CB419" s="26"/>
      <c r="CC419" s="26"/>
      <c r="CD419" s="26"/>
      <c r="CE419" s="26"/>
      <c r="CF419" s="26"/>
      <c r="CG419" s="26"/>
      <c r="CH419" s="26"/>
      <c r="CI419" s="26"/>
      <c r="CJ419" s="26"/>
      <c r="CK419" s="26"/>
      <c r="CL419" s="26"/>
      <c r="CM419" s="26"/>
      <c r="CN419" s="26"/>
      <c r="CO419" s="26"/>
      <c r="CP419" s="26"/>
      <c r="CQ419" s="26"/>
      <c r="CR419" s="26"/>
      <c r="CS419" s="26"/>
      <c r="CT419" s="26"/>
      <c r="CU419" s="26"/>
      <c r="CV419" s="26"/>
      <c r="CW419" s="26"/>
      <c r="CX419" s="26"/>
      <c r="CY419" s="26"/>
      <c r="CZ419" s="26"/>
    </row>
    <row r="420" spans="1:104" x14ac:dyDescent="0.2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6"/>
      <c r="AB420" s="26"/>
      <c r="AC420" s="26"/>
      <c r="AD420" s="26"/>
      <c r="AE420" s="26"/>
      <c r="AF420" s="26"/>
      <c r="AG420" s="26"/>
      <c r="AH420" s="26"/>
      <c r="AI420" s="26"/>
      <c r="AJ420" s="26"/>
      <c r="AK420" s="26"/>
      <c r="AL420" s="26"/>
      <c r="AM420" s="26"/>
      <c r="AN420" s="26"/>
      <c r="AO420" s="26"/>
      <c r="AP420" s="26"/>
      <c r="AQ420" s="26"/>
      <c r="AR420" s="26"/>
      <c r="AS420" s="26"/>
      <c r="AT420" s="26"/>
      <c r="AU420" s="26"/>
      <c r="AV420" s="26"/>
      <c r="AW420" s="26"/>
      <c r="AX420" s="26"/>
      <c r="AY420" s="26"/>
      <c r="AZ420" s="26"/>
      <c r="BA420" s="26"/>
      <c r="BB420" s="26"/>
      <c r="BC420" s="26"/>
      <c r="BD420" s="26"/>
      <c r="BE420" s="26"/>
      <c r="BF420" s="26"/>
      <c r="BG420" s="26"/>
      <c r="BH420" s="26"/>
      <c r="BI420" s="26"/>
      <c r="BJ420" s="26"/>
      <c r="BK420" s="26"/>
      <c r="BL420" s="26"/>
      <c r="BM420" s="26"/>
      <c r="BN420" s="26"/>
      <c r="BO420" s="26"/>
      <c r="BP420" s="26"/>
      <c r="BQ420" s="26"/>
      <c r="BR420" s="26"/>
      <c r="BS420" s="26"/>
      <c r="BT420" s="26"/>
      <c r="BU420" s="26"/>
      <c r="BV420" s="26"/>
      <c r="BW420" s="26"/>
      <c r="BX420" s="26"/>
      <c r="BY420" s="26"/>
      <c r="BZ420" s="26"/>
      <c r="CA420" s="26"/>
      <c r="CB420" s="26"/>
      <c r="CC420" s="26"/>
      <c r="CD420" s="26"/>
      <c r="CE420" s="26"/>
      <c r="CF420" s="26"/>
      <c r="CG420" s="26"/>
      <c r="CH420" s="26"/>
      <c r="CI420" s="26"/>
      <c r="CJ420" s="26"/>
      <c r="CK420" s="26"/>
      <c r="CL420" s="26"/>
      <c r="CM420" s="26"/>
      <c r="CN420" s="26"/>
      <c r="CO420" s="26"/>
      <c r="CP420" s="26"/>
      <c r="CQ420" s="26"/>
      <c r="CR420" s="26"/>
      <c r="CS420" s="26"/>
      <c r="CT420" s="26"/>
      <c r="CU420" s="26"/>
      <c r="CV420" s="26"/>
      <c r="CW420" s="26"/>
      <c r="CX420" s="26"/>
      <c r="CY420" s="26"/>
      <c r="CZ420" s="26"/>
    </row>
    <row r="421" spans="1:104" x14ac:dyDescent="0.2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6"/>
      <c r="AB421" s="26"/>
      <c r="AC421" s="26"/>
      <c r="AD421" s="26"/>
      <c r="AE421" s="26"/>
      <c r="AF421" s="26"/>
      <c r="AG421" s="26"/>
      <c r="AH421" s="26"/>
      <c r="AI421" s="26"/>
      <c r="AJ421" s="26"/>
      <c r="AK421" s="26"/>
      <c r="AL421" s="26"/>
      <c r="AM421" s="26"/>
      <c r="AN421" s="26"/>
      <c r="AO421" s="26"/>
      <c r="AP421" s="26"/>
      <c r="AQ421" s="26"/>
      <c r="AR421" s="26"/>
      <c r="AS421" s="26"/>
      <c r="AT421" s="26"/>
      <c r="AU421" s="26"/>
      <c r="AV421" s="26"/>
      <c r="AW421" s="26"/>
      <c r="AX421" s="26"/>
      <c r="AY421" s="26"/>
      <c r="AZ421" s="26"/>
      <c r="BA421" s="26"/>
      <c r="BB421" s="26"/>
      <c r="BC421" s="26"/>
      <c r="BD421" s="26"/>
      <c r="BE421" s="26"/>
      <c r="BF421" s="26"/>
      <c r="BG421" s="26"/>
      <c r="BH421" s="26"/>
      <c r="BI421" s="26"/>
      <c r="BJ421" s="26"/>
      <c r="BK421" s="26"/>
      <c r="BL421" s="26"/>
      <c r="BM421" s="26"/>
      <c r="BN421" s="26"/>
      <c r="BO421" s="26"/>
      <c r="BP421" s="26"/>
      <c r="BQ421" s="26"/>
      <c r="BR421" s="26"/>
      <c r="BS421" s="26"/>
      <c r="BT421" s="26"/>
      <c r="BU421" s="26"/>
      <c r="BV421" s="26"/>
      <c r="BW421" s="26"/>
      <c r="BX421" s="26"/>
      <c r="BY421" s="26"/>
      <c r="BZ421" s="26"/>
      <c r="CA421" s="26"/>
      <c r="CB421" s="26"/>
      <c r="CC421" s="26"/>
      <c r="CD421" s="26"/>
      <c r="CE421" s="26"/>
      <c r="CF421" s="26"/>
      <c r="CG421" s="26"/>
      <c r="CH421" s="26"/>
      <c r="CI421" s="26"/>
      <c r="CJ421" s="26"/>
      <c r="CK421" s="26"/>
      <c r="CL421" s="26"/>
      <c r="CM421" s="26"/>
      <c r="CN421" s="26"/>
      <c r="CO421" s="26"/>
      <c r="CP421" s="26"/>
      <c r="CQ421" s="26"/>
      <c r="CR421" s="26"/>
      <c r="CS421" s="26"/>
      <c r="CT421" s="26"/>
      <c r="CU421" s="26"/>
      <c r="CV421" s="26"/>
      <c r="CW421" s="26"/>
      <c r="CX421" s="26"/>
      <c r="CY421" s="26"/>
      <c r="CZ421" s="26"/>
    </row>
    <row r="422" spans="1:104" x14ac:dyDescent="0.2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  <c r="BC422" s="26"/>
      <c r="BD422" s="26"/>
      <c r="BE422" s="26"/>
      <c r="BF422" s="26"/>
      <c r="BG422" s="26"/>
      <c r="BH422" s="26"/>
      <c r="BI422" s="26"/>
      <c r="BJ422" s="26"/>
      <c r="BK422" s="26"/>
      <c r="BL422" s="26"/>
      <c r="BM422" s="26"/>
      <c r="BN422" s="26"/>
      <c r="BO422" s="26"/>
      <c r="BP422" s="26"/>
      <c r="BQ422" s="26"/>
      <c r="BR422" s="26"/>
      <c r="BS422" s="26"/>
      <c r="BT422" s="26"/>
      <c r="BU422" s="26"/>
      <c r="BV422" s="26"/>
      <c r="BW422" s="26"/>
      <c r="BX422" s="26"/>
      <c r="BY422" s="26"/>
      <c r="BZ422" s="26"/>
      <c r="CA422" s="26"/>
      <c r="CB422" s="26"/>
      <c r="CC422" s="26"/>
      <c r="CD422" s="26"/>
      <c r="CE422" s="26"/>
      <c r="CF422" s="26"/>
      <c r="CG422" s="26"/>
      <c r="CH422" s="26"/>
      <c r="CI422" s="26"/>
      <c r="CJ422" s="26"/>
      <c r="CK422" s="26"/>
      <c r="CL422" s="26"/>
      <c r="CM422" s="26"/>
      <c r="CN422" s="26"/>
      <c r="CO422" s="26"/>
      <c r="CP422" s="26"/>
      <c r="CQ422" s="26"/>
      <c r="CR422" s="26"/>
      <c r="CS422" s="26"/>
      <c r="CT422" s="26"/>
      <c r="CU422" s="26"/>
      <c r="CV422" s="26"/>
      <c r="CW422" s="26"/>
      <c r="CX422" s="26"/>
      <c r="CY422" s="26"/>
      <c r="CZ422" s="26"/>
    </row>
    <row r="423" spans="1:104" x14ac:dyDescent="0.2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6"/>
      <c r="AB423" s="26"/>
      <c r="AC423" s="26"/>
      <c r="AD423" s="26"/>
      <c r="AE423" s="26"/>
      <c r="AF423" s="26"/>
      <c r="AG423" s="26"/>
      <c r="AH423" s="26"/>
      <c r="AI423" s="26"/>
      <c r="AJ423" s="26"/>
      <c r="AK423" s="26"/>
      <c r="AL423" s="26"/>
      <c r="AM423" s="26"/>
      <c r="AN423" s="26"/>
      <c r="AO423" s="26"/>
      <c r="AP423" s="26"/>
      <c r="AQ423" s="26"/>
      <c r="AR423" s="26"/>
      <c r="AS423" s="26"/>
      <c r="AT423" s="26"/>
      <c r="AU423" s="26"/>
      <c r="AV423" s="26"/>
      <c r="AW423" s="26"/>
      <c r="AX423" s="26"/>
      <c r="AY423" s="26"/>
      <c r="AZ423" s="26"/>
      <c r="BA423" s="26"/>
      <c r="BB423" s="26"/>
      <c r="BC423" s="26"/>
      <c r="BD423" s="26"/>
      <c r="BE423" s="26"/>
      <c r="BF423" s="26"/>
      <c r="BG423" s="26"/>
      <c r="BH423" s="26"/>
      <c r="BI423" s="26"/>
      <c r="BJ423" s="26"/>
      <c r="BK423" s="26"/>
      <c r="BL423" s="26"/>
      <c r="BM423" s="26"/>
      <c r="BN423" s="26"/>
      <c r="BO423" s="26"/>
      <c r="BP423" s="26"/>
      <c r="BQ423" s="26"/>
      <c r="BR423" s="26"/>
      <c r="BS423" s="26"/>
      <c r="BT423" s="26"/>
      <c r="BU423" s="26"/>
      <c r="BV423" s="26"/>
      <c r="BW423" s="26"/>
      <c r="BX423" s="26"/>
      <c r="BY423" s="26"/>
      <c r="BZ423" s="26"/>
      <c r="CA423" s="26"/>
      <c r="CB423" s="26"/>
      <c r="CC423" s="26"/>
      <c r="CD423" s="26"/>
      <c r="CE423" s="26"/>
      <c r="CF423" s="26"/>
      <c r="CG423" s="26"/>
      <c r="CH423" s="26"/>
      <c r="CI423" s="26"/>
      <c r="CJ423" s="26"/>
      <c r="CK423" s="26"/>
      <c r="CL423" s="26"/>
      <c r="CM423" s="26"/>
      <c r="CN423" s="26"/>
      <c r="CO423" s="26"/>
      <c r="CP423" s="26"/>
      <c r="CQ423" s="26"/>
      <c r="CR423" s="26"/>
      <c r="CS423" s="26"/>
      <c r="CT423" s="26"/>
      <c r="CU423" s="26"/>
      <c r="CV423" s="26"/>
      <c r="CW423" s="26"/>
      <c r="CX423" s="26"/>
      <c r="CY423" s="26"/>
      <c r="CZ423" s="26"/>
    </row>
    <row r="424" spans="1:104" x14ac:dyDescent="0.2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6"/>
      <c r="AB424" s="26"/>
      <c r="AC424" s="26"/>
      <c r="AD424" s="26"/>
      <c r="AE424" s="26"/>
      <c r="AF424" s="26"/>
      <c r="AG424" s="26"/>
      <c r="AH424" s="26"/>
      <c r="AI424" s="26"/>
      <c r="AJ424" s="26"/>
      <c r="AK424" s="26"/>
      <c r="AL424" s="26"/>
      <c r="AM424" s="26"/>
      <c r="AN424" s="26"/>
      <c r="AO424" s="26"/>
      <c r="AP424" s="26"/>
      <c r="AQ424" s="26"/>
      <c r="AR424" s="26"/>
      <c r="AS424" s="26"/>
      <c r="AT424" s="26"/>
      <c r="AU424" s="26"/>
      <c r="AV424" s="26"/>
      <c r="AW424" s="26"/>
      <c r="AX424" s="26"/>
      <c r="AY424" s="26"/>
      <c r="AZ424" s="26"/>
      <c r="BA424" s="26"/>
      <c r="BB424" s="26"/>
      <c r="BC424" s="26"/>
      <c r="BD424" s="26"/>
      <c r="BE424" s="26"/>
      <c r="BF424" s="26"/>
      <c r="BG424" s="26"/>
      <c r="BH424" s="26"/>
      <c r="BI424" s="26"/>
      <c r="BJ424" s="26"/>
      <c r="BK424" s="26"/>
      <c r="BL424" s="26"/>
      <c r="BM424" s="26"/>
      <c r="BN424" s="26"/>
      <c r="BO424" s="26"/>
      <c r="BP424" s="26"/>
      <c r="BQ424" s="26"/>
      <c r="BR424" s="26"/>
      <c r="BS424" s="26"/>
      <c r="BT424" s="26"/>
      <c r="BU424" s="26"/>
      <c r="BV424" s="26"/>
      <c r="BW424" s="26"/>
      <c r="BX424" s="26"/>
      <c r="BY424" s="26"/>
      <c r="BZ424" s="26"/>
      <c r="CA424" s="26"/>
      <c r="CB424" s="26"/>
      <c r="CC424" s="26"/>
      <c r="CD424" s="26"/>
      <c r="CE424" s="26"/>
      <c r="CF424" s="26"/>
      <c r="CG424" s="26"/>
      <c r="CH424" s="26"/>
      <c r="CI424" s="26"/>
      <c r="CJ424" s="26"/>
      <c r="CK424" s="26"/>
      <c r="CL424" s="26"/>
      <c r="CM424" s="26"/>
      <c r="CN424" s="26"/>
      <c r="CO424" s="26"/>
      <c r="CP424" s="26"/>
      <c r="CQ424" s="26"/>
      <c r="CR424" s="26"/>
      <c r="CS424" s="26"/>
      <c r="CT424" s="26"/>
      <c r="CU424" s="26"/>
      <c r="CV424" s="26"/>
      <c r="CW424" s="26"/>
      <c r="CX424" s="26"/>
      <c r="CY424" s="26"/>
      <c r="CZ424" s="26"/>
    </row>
    <row r="425" spans="1:104" x14ac:dyDescent="0.2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6"/>
      <c r="AB425" s="26"/>
      <c r="AC425" s="26"/>
      <c r="AD425" s="26"/>
      <c r="AE425" s="26"/>
      <c r="AF425" s="26"/>
      <c r="AG425" s="26"/>
      <c r="AH425" s="26"/>
      <c r="AI425" s="26"/>
      <c r="AJ425" s="26"/>
      <c r="AK425" s="26"/>
      <c r="AL425" s="26"/>
      <c r="AM425" s="26"/>
      <c r="AN425" s="26"/>
      <c r="AO425" s="26"/>
      <c r="AP425" s="26"/>
      <c r="AQ425" s="26"/>
      <c r="AR425" s="26"/>
      <c r="AS425" s="26"/>
      <c r="AT425" s="26"/>
      <c r="AU425" s="26"/>
      <c r="AV425" s="26"/>
      <c r="AW425" s="26"/>
      <c r="AX425" s="26"/>
      <c r="AY425" s="26"/>
      <c r="AZ425" s="26"/>
      <c r="BA425" s="26"/>
      <c r="BB425" s="26"/>
      <c r="BC425" s="26"/>
      <c r="BD425" s="26"/>
      <c r="BE425" s="26"/>
      <c r="BF425" s="26"/>
      <c r="BG425" s="26"/>
      <c r="BH425" s="26"/>
      <c r="BI425" s="26"/>
      <c r="BJ425" s="26"/>
      <c r="BK425" s="26"/>
      <c r="BL425" s="26"/>
      <c r="BM425" s="26"/>
      <c r="BN425" s="26"/>
      <c r="BO425" s="26"/>
      <c r="BP425" s="26"/>
      <c r="BQ425" s="26"/>
      <c r="BR425" s="26"/>
      <c r="BS425" s="26"/>
      <c r="BT425" s="26"/>
      <c r="BU425" s="26"/>
      <c r="BV425" s="26"/>
      <c r="BW425" s="26"/>
      <c r="BX425" s="26"/>
      <c r="BY425" s="26"/>
      <c r="BZ425" s="26"/>
      <c r="CA425" s="26"/>
      <c r="CB425" s="26"/>
      <c r="CC425" s="26"/>
      <c r="CD425" s="26"/>
      <c r="CE425" s="26"/>
      <c r="CF425" s="26"/>
      <c r="CG425" s="26"/>
      <c r="CH425" s="26"/>
      <c r="CI425" s="26"/>
      <c r="CJ425" s="26"/>
      <c r="CK425" s="26"/>
      <c r="CL425" s="26"/>
      <c r="CM425" s="26"/>
      <c r="CN425" s="26"/>
      <c r="CO425" s="26"/>
      <c r="CP425" s="26"/>
      <c r="CQ425" s="26"/>
      <c r="CR425" s="26"/>
      <c r="CS425" s="26"/>
      <c r="CT425" s="26"/>
      <c r="CU425" s="26"/>
      <c r="CV425" s="26"/>
      <c r="CW425" s="26"/>
      <c r="CX425" s="26"/>
      <c r="CY425" s="26"/>
      <c r="CZ425" s="26"/>
    </row>
    <row r="426" spans="1:104" x14ac:dyDescent="0.2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6"/>
      <c r="AB426" s="26"/>
      <c r="AC426" s="26"/>
      <c r="AD426" s="26"/>
      <c r="AE426" s="26"/>
      <c r="AF426" s="26"/>
      <c r="AG426" s="26"/>
      <c r="AH426" s="26"/>
      <c r="AI426" s="26"/>
      <c r="AJ426" s="26"/>
      <c r="AK426" s="26"/>
      <c r="AL426" s="26"/>
      <c r="AM426" s="26"/>
      <c r="AN426" s="26"/>
      <c r="AO426" s="26"/>
      <c r="AP426" s="26"/>
      <c r="AQ426" s="26"/>
      <c r="AR426" s="26"/>
      <c r="AS426" s="26"/>
      <c r="AT426" s="26"/>
      <c r="AU426" s="26"/>
      <c r="AV426" s="26"/>
      <c r="AW426" s="26"/>
      <c r="AX426" s="26"/>
      <c r="AY426" s="26"/>
      <c r="AZ426" s="26"/>
      <c r="BA426" s="26"/>
      <c r="BB426" s="26"/>
      <c r="BC426" s="26"/>
      <c r="BD426" s="26"/>
      <c r="BE426" s="26"/>
      <c r="BF426" s="26"/>
      <c r="BG426" s="26"/>
      <c r="BH426" s="26"/>
      <c r="BI426" s="26"/>
      <c r="BJ426" s="26"/>
      <c r="BK426" s="26"/>
      <c r="BL426" s="26"/>
      <c r="BM426" s="26"/>
      <c r="BN426" s="26"/>
      <c r="BO426" s="26"/>
      <c r="BP426" s="26"/>
      <c r="BQ426" s="26"/>
      <c r="BR426" s="26"/>
      <c r="BS426" s="26"/>
      <c r="BT426" s="26"/>
      <c r="BU426" s="26"/>
      <c r="BV426" s="26"/>
      <c r="BW426" s="26"/>
      <c r="BX426" s="26"/>
      <c r="BY426" s="26"/>
      <c r="BZ426" s="26"/>
      <c r="CA426" s="26"/>
      <c r="CB426" s="26"/>
      <c r="CC426" s="26"/>
      <c r="CD426" s="26"/>
      <c r="CE426" s="26"/>
      <c r="CF426" s="26"/>
      <c r="CG426" s="26"/>
      <c r="CH426" s="26"/>
      <c r="CI426" s="26"/>
      <c r="CJ426" s="26"/>
      <c r="CK426" s="26"/>
      <c r="CL426" s="26"/>
      <c r="CM426" s="26"/>
      <c r="CN426" s="26"/>
      <c r="CO426" s="26"/>
      <c r="CP426" s="26"/>
      <c r="CQ426" s="26"/>
      <c r="CR426" s="26"/>
      <c r="CS426" s="26"/>
      <c r="CT426" s="26"/>
      <c r="CU426" s="26"/>
      <c r="CV426" s="26"/>
      <c r="CW426" s="26"/>
      <c r="CX426" s="26"/>
      <c r="CY426" s="26"/>
      <c r="CZ426" s="26"/>
    </row>
    <row r="427" spans="1:104" x14ac:dyDescent="0.2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6"/>
      <c r="AB427" s="26"/>
      <c r="AC427" s="26"/>
      <c r="AD427" s="26"/>
      <c r="AE427" s="26"/>
      <c r="AF427" s="26"/>
      <c r="AG427" s="26"/>
      <c r="AH427" s="26"/>
      <c r="AI427" s="26"/>
      <c r="AJ427" s="26"/>
      <c r="AK427" s="26"/>
      <c r="AL427" s="26"/>
      <c r="AM427" s="26"/>
      <c r="AN427" s="26"/>
      <c r="AO427" s="26"/>
      <c r="AP427" s="26"/>
      <c r="AQ427" s="26"/>
      <c r="AR427" s="26"/>
      <c r="AS427" s="26"/>
      <c r="AT427" s="26"/>
      <c r="AU427" s="26"/>
      <c r="AV427" s="26"/>
      <c r="AW427" s="26"/>
      <c r="AX427" s="26"/>
      <c r="AY427" s="26"/>
      <c r="AZ427" s="26"/>
      <c r="BA427" s="26"/>
      <c r="BB427" s="26"/>
      <c r="BC427" s="26"/>
      <c r="BD427" s="26"/>
      <c r="BE427" s="26"/>
      <c r="BF427" s="26"/>
      <c r="BG427" s="26"/>
      <c r="BH427" s="26"/>
      <c r="BI427" s="26"/>
      <c r="BJ427" s="26"/>
      <c r="BK427" s="26"/>
      <c r="BL427" s="26"/>
      <c r="BM427" s="26"/>
      <c r="BN427" s="26"/>
      <c r="BO427" s="26"/>
      <c r="BP427" s="26"/>
      <c r="BQ427" s="26"/>
      <c r="BR427" s="26"/>
      <c r="BS427" s="26"/>
      <c r="BT427" s="26"/>
      <c r="BU427" s="26"/>
      <c r="BV427" s="26"/>
      <c r="BW427" s="26"/>
      <c r="BX427" s="26"/>
      <c r="BY427" s="26"/>
      <c r="BZ427" s="26"/>
      <c r="CA427" s="26"/>
      <c r="CB427" s="26"/>
      <c r="CC427" s="26"/>
      <c r="CD427" s="26"/>
      <c r="CE427" s="26"/>
      <c r="CF427" s="26"/>
      <c r="CG427" s="26"/>
      <c r="CH427" s="26"/>
      <c r="CI427" s="26"/>
      <c r="CJ427" s="26"/>
      <c r="CK427" s="26"/>
      <c r="CL427" s="26"/>
      <c r="CM427" s="26"/>
      <c r="CN427" s="26"/>
      <c r="CO427" s="26"/>
      <c r="CP427" s="26"/>
      <c r="CQ427" s="26"/>
      <c r="CR427" s="26"/>
      <c r="CS427" s="26"/>
      <c r="CT427" s="26"/>
      <c r="CU427" s="26"/>
      <c r="CV427" s="26"/>
      <c r="CW427" s="26"/>
      <c r="CX427" s="26"/>
      <c r="CY427" s="26"/>
      <c r="CZ427" s="26"/>
    </row>
    <row r="428" spans="1:104" x14ac:dyDescent="0.2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6"/>
      <c r="AB428" s="26"/>
      <c r="AC428" s="26"/>
      <c r="AD428" s="26"/>
      <c r="AE428" s="26"/>
      <c r="AF428" s="26"/>
      <c r="AG428" s="26"/>
      <c r="AH428" s="26"/>
      <c r="AI428" s="26"/>
      <c r="AJ428" s="26"/>
      <c r="AK428" s="26"/>
      <c r="AL428" s="26"/>
      <c r="AM428" s="26"/>
      <c r="AN428" s="26"/>
      <c r="AO428" s="26"/>
      <c r="AP428" s="26"/>
      <c r="AQ428" s="26"/>
      <c r="AR428" s="26"/>
      <c r="AS428" s="26"/>
      <c r="AT428" s="26"/>
      <c r="AU428" s="26"/>
      <c r="AV428" s="26"/>
      <c r="AW428" s="26"/>
      <c r="AX428" s="26"/>
      <c r="AY428" s="26"/>
      <c r="AZ428" s="26"/>
      <c r="BA428" s="26"/>
      <c r="BB428" s="26"/>
      <c r="BC428" s="26"/>
      <c r="BD428" s="26"/>
      <c r="BE428" s="26"/>
      <c r="BF428" s="26"/>
      <c r="BG428" s="26"/>
      <c r="BH428" s="26"/>
      <c r="BI428" s="26"/>
      <c r="BJ428" s="26"/>
      <c r="BK428" s="26"/>
      <c r="BL428" s="26"/>
      <c r="BM428" s="26"/>
      <c r="BN428" s="26"/>
      <c r="BO428" s="26"/>
      <c r="BP428" s="26"/>
      <c r="BQ428" s="26"/>
      <c r="BR428" s="26"/>
      <c r="BS428" s="26"/>
      <c r="BT428" s="26"/>
      <c r="BU428" s="26"/>
      <c r="BV428" s="26"/>
      <c r="BW428" s="26"/>
      <c r="BX428" s="26"/>
      <c r="BY428" s="26"/>
      <c r="BZ428" s="26"/>
      <c r="CA428" s="26"/>
      <c r="CB428" s="26"/>
      <c r="CC428" s="26"/>
      <c r="CD428" s="26"/>
      <c r="CE428" s="26"/>
      <c r="CF428" s="26"/>
      <c r="CG428" s="26"/>
      <c r="CH428" s="26"/>
      <c r="CI428" s="26"/>
      <c r="CJ428" s="26"/>
      <c r="CK428" s="26"/>
      <c r="CL428" s="26"/>
      <c r="CM428" s="26"/>
      <c r="CN428" s="26"/>
      <c r="CO428" s="26"/>
      <c r="CP428" s="26"/>
      <c r="CQ428" s="26"/>
      <c r="CR428" s="26"/>
      <c r="CS428" s="26"/>
      <c r="CT428" s="26"/>
      <c r="CU428" s="26"/>
      <c r="CV428" s="26"/>
      <c r="CW428" s="26"/>
      <c r="CX428" s="26"/>
      <c r="CY428" s="26"/>
      <c r="CZ428" s="26"/>
    </row>
    <row r="429" spans="1:104" x14ac:dyDescent="0.2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6"/>
      <c r="AB429" s="26"/>
      <c r="AC429" s="26"/>
      <c r="AD429" s="26"/>
      <c r="AE429" s="26"/>
      <c r="AF429" s="26"/>
      <c r="AG429" s="26"/>
      <c r="AH429" s="26"/>
      <c r="AI429" s="26"/>
      <c r="AJ429" s="26"/>
      <c r="AK429" s="26"/>
      <c r="AL429" s="26"/>
      <c r="AM429" s="26"/>
      <c r="AN429" s="26"/>
      <c r="AO429" s="26"/>
      <c r="AP429" s="26"/>
      <c r="AQ429" s="26"/>
      <c r="AR429" s="26"/>
      <c r="AS429" s="26"/>
      <c r="AT429" s="26"/>
      <c r="AU429" s="26"/>
      <c r="AV429" s="26"/>
      <c r="AW429" s="26"/>
      <c r="AX429" s="26"/>
      <c r="AY429" s="26"/>
      <c r="AZ429" s="26"/>
      <c r="BA429" s="26"/>
      <c r="BB429" s="26"/>
      <c r="BC429" s="26"/>
      <c r="BD429" s="26"/>
      <c r="BE429" s="26"/>
      <c r="BF429" s="26"/>
      <c r="BG429" s="26"/>
      <c r="BH429" s="26"/>
      <c r="BI429" s="26"/>
      <c r="BJ429" s="26"/>
      <c r="BK429" s="26"/>
      <c r="BL429" s="26"/>
      <c r="BM429" s="26"/>
      <c r="BN429" s="26"/>
      <c r="BO429" s="26"/>
      <c r="BP429" s="26"/>
      <c r="BQ429" s="26"/>
      <c r="BR429" s="26"/>
      <c r="BS429" s="26"/>
      <c r="BT429" s="26"/>
      <c r="BU429" s="26"/>
      <c r="BV429" s="26"/>
      <c r="BW429" s="26"/>
      <c r="BX429" s="26"/>
      <c r="BY429" s="26"/>
      <c r="BZ429" s="26"/>
      <c r="CA429" s="26"/>
      <c r="CB429" s="26"/>
      <c r="CC429" s="26"/>
      <c r="CD429" s="26"/>
      <c r="CE429" s="26"/>
      <c r="CF429" s="26"/>
      <c r="CG429" s="26"/>
      <c r="CH429" s="26"/>
      <c r="CI429" s="26"/>
      <c r="CJ429" s="26"/>
      <c r="CK429" s="26"/>
      <c r="CL429" s="26"/>
      <c r="CM429" s="26"/>
      <c r="CN429" s="26"/>
      <c r="CO429" s="26"/>
      <c r="CP429" s="26"/>
      <c r="CQ429" s="26"/>
      <c r="CR429" s="26"/>
      <c r="CS429" s="26"/>
      <c r="CT429" s="26"/>
      <c r="CU429" s="26"/>
      <c r="CV429" s="26"/>
      <c r="CW429" s="26"/>
      <c r="CX429" s="26"/>
      <c r="CY429" s="26"/>
      <c r="CZ429" s="26"/>
    </row>
    <row r="430" spans="1:104" x14ac:dyDescent="0.2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6"/>
      <c r="AB430" s="26"/>
      <c r="AC430" s="26"/>
      <c r="AD430" s="26"/>
      <c r="AE430" s="26"/>
      <c r="AF430" s="26"/>
      <c r="AG430" s="26"/>
      <c r="AH430" s="26"/>
      <c r="AI430" s="26"/>
      <c r="AJ430" s="26"/>
      <c r="AK430" s="26"/>
      <c r="AL430" s="26"/>
      <c r="AM430" s="26"/>
      <c r="AN430" s="26"/>
      <c r="AO430" s="26"/>
      <c r="AP430" s="26"/>
      <c r="AQ430" s="26"/>
      <c r="AR430" s="26"/>
      <c r="AS430" s="26"/>
      <c r="AT430" s="26"/>
      <c r="AU430" s="26"/>
      <c r="AV430" s="26"/>
      <c r="AW430" s="26"/>
      <c r="AX430" s="26"/>
      <c r="AY430" s="26"/>
      <c r="AZ430" s="26"/>
      <c r="BA430" s="26"/>
      <c r="BB430" s="26"/>
      <c r="BC430" s="26"/>
      <c r="BD430" s="26"/>
      <c r="BE430" s="26"/>
      <c r="BF430" s="26"/>
      <c r="BG430" s="26"/>
      <c r="BH430" s="26"/>
      <c r="BI430" s="26"/>
      <c r="BJ430" s="26"/>
      <c r="BK430" s="26"/>
      <c r="BL430" s="26"/>
      <c r="BM430" s="26"/>
      <c r="BN430" s="26"/>
      <c r="BO430" s="26"/>
      <c r="BP430" s="26"/>
      <c r="BQ430" s="26"/>
      <c r="BR430" s="26"/>
      <c r="BS430" s="26"/>
      <c r="BT430" s="26"/>
      <c r="BU430" s="26"/>
      <c r="BV430" s="26"/>
      <c r="BW430" s="26"/>
      <c r="BX430" s="26"/>
      <c r="BY430" s="26"/>
      <c r="BZ430" s="26"/>
      <c r="CA430" s="26"/>
      <c r="CB430" s="26"/>
      <c r="CC430" s="26"/>
      <c r="CD430" s="26"/>
      <c r="CE430" s="26"/>
      <c r="CF430" s="26"/>
      <c r="CG430" s="26"/>
      <c r="CH430" s="26"/>
      <c r="CI430" s="26"/>
      <c r="CJ430" s="26"/>
      <c r="CK430" s="26"/>
      <c r="CL430" s="26"/>
      <c r="CM430" s="26"/>
      <c r="CN430" s="26"/>
      <c r="CO430" s="26"/>
      <c r="CP430" s="26"/>
      <c r="CQ430" s="26"/>
      <c r="CR430" s="26"/>
      <c r="CS430" s="26"/>
      <c r="CT430" s="26"/>
      <c r="CU430" s="26"/>
      <c r="CV430" s="26"/>
      <c r="CW430" s="26"/>
      <c r="CX430" s="26"/>
      <c r="CY430" s="26"/>
      <c r="CZ430" s="26"/>
    </row>
    <row r="431" spans="1:104" x14ac:dyDescent="0.2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6"/>
      <c r="AB431" s="26"/>
      <c r="AC431" s="26"/>
      <c r="AD431" s="26"/>
      <c r="AE431" s="26"/>
      <c r="AF431" s="26"/>
      <c r="AG431" s="26"/>
      <c r="AH431" s="26"/>
      <c r="AI431" s="26"/>
      <c r="AJ431" s="26"/>
      <c r="AK431" s="26"/>
      <c r="AL431" s="26"/>
      <c r="AM431" s="26"/>
      <c r="AN431" s="26"/>
      <c r="AO431" s="26"/>
      <c r="AP431" s="26"/>
      <c r="AQ431" s="26"/>
      <c r="AR431" s="26"/>
      <c r="AS431" s="26"/>
      <c r="AT431" s="26"/>
      <c r="AU431" s="26"/>
      <c r="AV431" s="26"/>
      <c r="AW431" s="26"/>
      <c r="AX431" s="26"/>
      <c r="AY431" s="26"/>
      <c r="AZ431" s="26"/>
      <c r="BA431" s="26"/>
      <c r="BB431" s="26"/>
      <c r="BC431" s="26"/>
      <c r="BD431" s="26"/>
      <c r="BE431" s="26"/>
      <c r="BF431" s="26"/>
      <c r="BG431" s="26"/>
      <c r="BH431" s="26"/>
      <c r="BI431" s="26"/>
      <c r="BJ431" s="26"/>
      <c r="BK431" s="26"/>
      <c r="BL431" s="26"/>
      <c r="BM431" s="26"/>
      <c r="BN431" s="26"/>
      <c r="BO431" s="26"/>
      <c r="BP431" s="26"/>
      <c r="BQ431" s="26"/>
      <c r="BR431" s="26"/>
      <c r="BS431" s="26"/>
      <c r="BT431" s="26"/>
      <c r="BU431" s="26"/>
      <c r="BV431" s="26"/>
      <c r="BW431" s="26"/>
      <c r="BX431" s="26"/>
      <c r="BY431" s="26"/>
      <c r="BZ431" s="26"/>
      <c r="CA431" s="26"/>
      <c r="CB431" s="26"/>
      <c r="CC431" s="26"/>
      <c r="CD431" s="26"/>
      <c r="CE431" s="26"/>
      <c r="CF431" s="26"/>
      <c r="CG431" s="26"/>
      <c r="CH431" s="26"/>
      <c r="CI431" s="26"/>
      <c r="CJ431" s="26"/>
      <c r="CK431" s="26"/>
      <c r="CL431" s="26"/>
      <c r="CM431" s="26"/>
      <c r="CN431" s="26"/>
      <c r="CO431" s="26"/>
      <c r="CP431" s="26"/>
      <c r="CQ431" s="26"/>
      <c r="CR431" s="26"/>
      <c r="CS431" s="26"/>
      <c r="CT431" s="26"/>
      <c r="CU431" s="26"/>
      <c r="CV431" s="26"/>
      <c r="CW431" s="26"/>
      <c r="CX431" s="26"/>
      <c r="CY431" s="26"/>
      <c r="CZ431" s="26"/>
    </row>
    <row r="432" spans="1:104" x14ac:dyDescent="0.2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6"/>
      <c r="AB432" s="26"/>
      <c r="AC432" s="26"/>
      <c r="AD432" s="26"/>
      <c r="AE432" s="26"/>
      <c r="AF432" s="26"/>
      <c r="AG432" s="26"/>
      <c r="AH432" s="26"/>
      <c r="AI432" s="26"/>
      <c r="AJ432" s="26"/>
      <c r="AK432" s="26"/>
      <c r="AL432" s="26"/>
      <c r="AM432" s="26"/>
      <c r="AN432" s="26"/>
      <c r="AO432" s="26"/>
      <c r="AP432" s="26"/>
      <c r="AQ432" s="26"/>
      <c r="AR432" s="26"/>
      <c r="AS432" s="26"/>
      <c r="AT432" s="26"/>
      <c r="AU432" s="26"/>
      <c r="AV432" s="26"/>
      <c r="AW432" s="26"/>
      <c r="AX432" s="26"/>
      <c r="AY432" s="26"/>
      <c r="AZ432" s="26"/>
      <c r="BA432" s="26"/>
      <c r="BB432" s="26"/>
      <c r="BC432" s="26"/>
      <c r="BD432" s="26"/>
      <c r="BE432" s="26"/>
      <c r="BF432" s="26"/>
      <c r="BG432" s="26"/>
      <c r="BH432" s="26"/>
      <c r="BI432" s="26"/>
      <c r="BJ432" s="26"/>
      <c r="BK432" s="26"/>
      <c r="BL432" s="26"/>
      <c r="BM432" s="26"/>
      <c r="BN432" s="26"/>
      <c r="BO432" s="26"/>
      <c r="BP432" s="26"/>
      <c r="BQ432" s="26"/>
      <c r="BR432" s="26"/>
      <c r="BS432" s="26"/>
      <c r="BT432" s="26"/>
      <c r="BU432" s="26"/>
      <c r="BV432" s="26"/>
      <c r="BW432" s="26"/>
      <c r="BX432" s="26"/>
      <c r="BY432" s="26"/>
      <c r="BZ432" s="26"/>
      <c r="CA432" s="26"/>
      <c r="CB432" s="26"/>
      <c r="CC432" s="26"/>
      <c r="CD432" s="26"/>
      <c r="CE432" s="26"/>
      <c r="CF432" s="26"/>
      <c r="CG432" s="26"/>
      <c r="CH432" s="26"/>
      <c r="CI432" s="26"/>
      <c r="CJ432" s="26"/>
      <c r="CK432" s="26"/>
      <c r="CL432" s="26"/>
      <c r="CM432" s="26"/>
      <c r="CN432" s="26"/>
      <c r="CO432" s="26"/>
      <c r="CP432" s="26"/>
      <c r="CQ432" s="26"/>
      <c r="CR432" s="26"/>
      <c r="CS432" s="26"/>
      <c r="CT432" s="26"/>
      <c r="CU432" s="26"/>
      <c r="CV432" s="26"/>
      <c r="CW432" s="26"/>
      <c r="CX432" s="26"/>
      <c r="CY432" s="26"/>
      <c r="CZ432" s="26"/>
    </row>
    <row r="433" spans="1:104" x14ac:dyDescent="0.2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6"/>
      <c r="AB433" s="26"/>
      <c r="AC433" s="26"/>
      <c r="AD433" s="26"/>
      <c r="AE433" s="26"/>
      <c r="AF433" s="26"/>
      <c r="AG433" s="26"/>
      <c r="AH433" s="26"/>
      <c r="AI433" s="26"/>
      <c r="AJ433" s="26"/>
      <c r="AK433" s="26"/>
      <c r="AL433" s="26"/>
      <c r="AM433" s="26"/>
      <c r="AN433" s="26"/>
      <c r="AO433" s="26"/>
      <c r="AP433" s="26"/>
      <c r="AQ433" s="26"/>
      <c r="AR433" s="26"/>
      <c r="AS433" s="26"/>
      <c r="AT433" s="26"/>
      <c r="AU433" s="26"/>
      <c r="AV433" s="26"/>
      <c r="AW433" s="26"/>
      <c r="AX433" s="26"/>
      <c r="AY433" s="26"/>
      <c r="AZ433" s="26"/>
      <c r="BA433" s="26"/>
      <c r="BB433" s="26"/>
      <c r="BC433" s="26"/>
      <c r="BD433" s="26"/>
      <c r="BE433" s="26"/>
      <c r="BF433" s="26"/>
      <c r="BG433" s="26"/>
      <c r="BH433" s="26"/>
      <c r="BI433" s="26"/>
      <c r="BJ433" s="26"/>
      <c r="BK433" s="26"/>
      <c r="BL433" s="26"/>
      <c r="BM433" s="26"/>
      <c r="BN433" s="26"/>
      <c r="BO433" s="26"/>
      <c r="BP433" s="26"/>
      <c r="BQ433" s="26"/>
      <c r="BR433" s="26"/>
      <c r="BS433" s="26"/>
      <c r="BT433" s="26"/>
      <c r="BU433" s="26"/>
      <c r="BV433" s="26"/>
      <c r="BW433" s="26"/>
      <c r="BX433" s="26"/>
      <c r="BY433" s="26"/>
      <c r="BZ433" s="26"/>
      <c r="CA433" s="26"/>
      <c r="CB433" s="26"/>
      <c r="CC433" s="26"/>
      <c r="CD433" s="26"/>
      <c r="CE433" s="26"/>
      <c r="CF433" s="26"/>
      <c r="CG433" s="26"/>
      <c r="CH433" s="26"/>
      <c r="CI433" s="26"/>
      <c r="CJ433" s="26"/>
      <c r="CK433" s="26"/>
      <c r="CL433" s="26"/>
      <c r="CM433" s="26"/>
      <c r="CN433" s="26"/>
      <c r="CO433" s="26"/>
      <c r="CP433" s="26"/>
      <c r="CQ433" s="26"/>
      <c r="CR433" s="26"/>
      <c r="CS433" s="26"/>
      <c r="CT433" s="26"/>
      <c r="CU433" s="26"/>
      <c r="CV433" s="26"/>
      <c r="CW433" s="26"/>
      <c r="CX433" s="26"/>
      <c r="CY433" s="26"/>
      <c r="CZ433" s="26"/>
    </row>
    <row r="434" spans="1:104" x14ac:dyDescent="0.2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6"/>
      <c r="AB434" s="26"/>
      <c r="AC434" s="26"/>
      <c r="AD434" s="26"/>
      <c r="AE434" s="26"/>
      <c r="AF434" s="26"/>
      <c r="AG434" s="26"/>
      <c r="AH434" s="26"/>
      <c r="AI434" s="26"/>
      <c r="AJ434" s="26"/>
      <c r="AK434" s="26"/>
      <c r="AL434" s="26"/>
      <c r="AM434" s="26"/>
      <c r="AN434" s="26"/>
      <c r="AO434" s="26"/>
      <c r="AP434" s="26"/>
      <c r="AQ434" s="26"/>
      <c r="AR434" s="26"/>
      <c r="AS434" s="26"/>
      <c r="AT434" s="26"/>
      <c r="AU434" s="26"/>
      <c r="AV434" s="26"/>
      <c r="AW434" s="26"/>
      <c r="AX434" s="26"/>
      <c r="AY434" s="26"/>
      <c r="AZ434" s="26"/>
      <c r="BA434" s="26"/>
      <c r="BB434" s="26"/>
      <c r="BC434" s="26"/>
      <c r="BD434" s="26"/>
      <c r="BE434" s="26"/>
      <c r="BF434" s="26"/>
      <c r="BG434" s="26"/>
      <c r="BH434" s="26"/>
      <c r="BI434" s="26"/>
      <c r="BJ434" s="26"/>
      <c r="BK434" s="26"/>
      <c r="BL434" s="26"/>
      <c r="BM434" s="26"/>
      <c r="BN434" s="26"/>
      <c r="BO434" s="26"/>
      <c r="BP434" s="26"/>
      <c r="BQ434" s="26"/>
      <c r="BR434" s="26"/>
      <c r="BS434" s="26"/>
      <c r="BT434" s="26"/>
      <c r="BU434" s="26"/>
      <c r="BV434" s="26"/>
      <c r="BW434" s="26"/>
      <c r="BX434" s="26"/>
      <c r="BY434" s="26"/>
      <c r="BZ434" s="26"/>
      <c r="CA434" s="26"/>
      <c r="CB434" s="26"/>
      <c r="CC434" s="26"/>
      <c r="CD434" s="26"/>
      <c r="CE434" s="26"/>
      <c r="CF434" s="26"/>
      <c r="CG434" s="26"/>
      <c r="CH434" s="26"/>
      <c r="CI434" s="26"/>
      <c r="CJ434" s="26"/>
      <c r="CK434" s="26"/>
      <c r="CL434" s="26"/>
      <c r="CM434" s="26"/>
      <c r="CN434" s="26"/>
      <c r="CO434" s="26"/>
      <c r="CP434" s="26"/>
      <c r="CQ434" s="26"/>
      <c r="CR434" s="26"/>
      <c r="CS434" s="26"/>
      <c r="CT434" s="26"/>
      <c r="CU434" s="26"/>
      <c r="CV434" s="26"/>
      <c r="CW434" s="26"/>
      <c r="CX434" s="26"/>
      <c r="CY434" s="26"/>
      <c r="CZ434" s="26"/>
    </row>
    <row r="435" spans="1:104" x14ac:dyDescent="0.2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6"/>
      <c r="AB435" s="26"/>
      <c r="AC435" s="26"/>
      <c r="AD435" s="26"/>
      <c r="AE435" s="26"/>
      <c r="AF435" s="26"/>
      <c r="AG435" s="26"/>
      <c r="AH435" s="26"/>
      <c r="AI435" s="26"/>
      <c r="AJ435" s="26"/>
      <c r="AK435" s="26"/>
      <c r="AL435" s="26"/>
      <c r="AM435" s="26"/>
      <c r="AN435" s="26"/>
      <c r="AO435" s="26"/>
      <c r="AP435" s="26"/>
      <c r="AQ435" s="26"/>
      <c r="AR435" s="26"/>
      <c r="AS435" s="26"/>
      <c r="AT435" s="26"/>
      <c r="AU435" s="26"/>
      <c r="AV435" s="26"/>
      <c r="AW435" s="26"/>
      <c r="AX435" s="26"/>
      <c r="AY435" s="26"/>
      <c r="AZ435" s="26"/>
      <c r="BA435" s="26"/>
      <c r="BB435" s="26"/>
      <c r="BC435" s="26"/>
      <c r="BD435" s="26"/>
      <c r="BE435" s="26"/>
      <c r="BF435" s="26"/>
      <c r="BG435" s="26"/>
      <c r="BH435" s="26"/>
      <c r="BI435" s="26"/>
      <c r="BJ435" s="26"/>
      <c r="BK435" s="26"/>
      <c r="BL435" s="26"/>
      <c r="BM435" s="26"/>
      <c r="BN435" s="26"/>
      <c r="BO435" s="26"/>
      <c r="BP435" s="26"/>
      <c r="BQ435" s="26"/>
      <c r="BR435" s="26"/>
      <c r="BS435" s="26"/>
      <c r="BT435" s="26"/>
      <c r="BU435" s="26"/>
      <c r="BV435" s="26"/>
      <c r="BW435" s="26"/>
      <c r="BX435" s="26"/>
      <c r="BY435" s="26"/>
      <c r="BZ435" s="26"/>
      <c r="CA435" s="26"/>
      <c r="CB435" s="26"/>
      <c r="CC435" s="26"/>
      <c r="CD435" s="26"/>
      <c r="CE435" s="26"/>
      <c r="CF435" s="26"/>
      <c r="CG435" s="26"/>
      <c r="CH435" s="26"/>
      <c r="CI435" s="26"/>
      <c r="CJ435" s="26"/>
      <c r="CK435" s="26"/>
      <c r="CL435" s="26"/>
      <c r="CM435" s="26"/>
      <c r="CN435" s="26"/>
      <c r="CO435" s="26"/>
      <c r="CP435" s="26"/>
      <c r="CQ435" s="26"/>
      <c r="CR435" s="26"/>
      <c r="CS435" s="26"/>
      <c r="CT435" s="26"/>
      <c r="CU435" s="26"/>
      <c r="CV435" s="26"/>
      <c r="CW435" s="26"/>
      <c r="CX435" s="26"/>
      <c r="CY435" s="26"/>
      <c r="CZ435" s="26"/>
    </row>
    <row r="436" spans="1:104" x14ac:dyDescent="0.2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6"/>
      <c r="AB436" s="26"/>
      <c r="AC436" s="26"/>
      <c r="AD436" s="26"/>
      <c r="AE436" s="26"/>
      <c r="AF436" s="26"/>
      <c r="AG436" s="26"/>
      <c r="AH436" s="26"/>
      <c r="AI436" s="26"/>
      <c r="AJ436" s="26"/>
      <c r="AK436" s="26"/>
      <c r="AL436" s="26"/>
      <c r="AM436" s="26"/>
      <c r="AN436" s="26"/>
      <c r="AO436" s="26"/>
      <c r="AP436" s="26"/>
      <c r="AQ436" s="26"/>
      <c r="AR436" s="26"/>
      <c r="AS436" s="26"/>
      <c r="AT436" s="26"/>
      <c r="AU436" s="26"/>
      <c r="AV436" s="26"/>
      <c r="AW436" s="26"/>
      <c r="AX436" s="26"/>
      <c r="AY436" s="26"/>
      <c r="AZ436" s="26"/>
      <c r="BA436" s="26"/>
      <c r="BB436" s="26"/>
      <c r="BC436" s="26"/>
      <c r="BD436" s="26"/>
      <c r="BE436" s="26"/>
      <c r="BF436" s="26"/>
      <c r="BG436" s="26"/>
      <c r="BH436" s="26"/>
      <c r="BI436" s="26"/>
      <c r="BJ436" s="26"/>
      <c r="BK436" s="26"/>
      <c r="BL436" s="26"/>
      <c r="BM436" s="26"/>
      <c r="BN436" s="26"/>
      <c r="BO436" s="26"/>
      <c r="BP436" s="26"/>
      <c r="BQ436" s="26"/>
      <c r="BR436" s="26"/>
      <c r="BS436" s="26"/>
      <c r="BT436" s="26"/>
      <c r="BU436" s="26"/>
      <c r="BV436" s="26"/>
      <c r="BW436" s="26"/>
      <c r="BX436" s="26"/>
      <c r="BY436" s="26"/>
      <c r="BZ436" s="26"/>
      <c r="CA436" s="26"/>
      <c r="CB436" s="26"/>
      <c r="CC436" s="26"/>
      <c r="CD436" s="26"/>
      <c r="CE436" s="26"/>
      <c r="CF436" s="26"/>
      <c r="CG436" s="26"/>
      <c r="CH436" s="26"/>
      <c r="CI436" s="26"/>
      <c r="CJ436" s="26"/>
      <c r="CK436" s="26"/>
      <c r="CL436" s="26"/>
      <c r="CM436" s="26"/>
      <c r="CN436" s="26"/>
      <c r="CO436" s="26"/>
      <c r="CP436" s="26"/>
      <c r="CQ436" s="26"/>
      <c r="CR436" s="26"/>
      <c r="CS436" s="26"/>
      <c r="CT436" s="26"/>
      <c r="CU436" s="26"/>
      <c r="CV436" s="26"/>
      <c r="CW436" s="26"/>
      <c r="CX436" s="26"/>
      <c r="CY436" s="26"/>
      <c r="CZ436" s="26"/>
    </row>
    <row r="437" spans="1:104" x14ac:dyDescent="0.2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6"/>
      <c r="AB437" s="26"/>
      <c r="AC437" s="26"/>
      <c r="AD437" s="26"/>
      <c r="AE437" s="26"/>
      <c r="AF437" s="26"/>
      <c r="AG437" s="26"/>
      <c r="AH437" s="26"/>
      <c r="AI437" s="26"/>
      <c r="AJ437" s="26"/>
      <c r="AK437" s="26"/>
      <c r="AL437" s="26"/>
      <c r="AM437" s="26"/>
      <c r="AN437" s="26"/>
      <c r="AO437" s="26"/>
      <c r="AP437" s="26"/>
      <c r="AQ437" s="26"/>
      <c r="AR437" s="26"/>
      <c r="AS437" s="26"/>
      <c r="AT437" s="26"/>
      <c r="AU437" s="26"/>
      <c r="AV437" s="26"/>
      <c r="AW437" s="26"/>
      <c r="AX437" s="26"/>
      <c r="AY437" s="26"/>
      <c r="AZ437" s="26"/>
      <c r="BA437" s="26"/>
      <c r="BB437" s="26"/>
      <c r="BC437" s="26"/>
      <c r="BD437" s="26"/>
      <c r="BE437" s="26"/>
      <c r="BF437" s="26"/>
      <c r="BG437" s="26"/>
      <c r="BH437" s="26"/>
      <c r="BI437" s="26"/>
      <c r="BJ437" s="26"/>
      <c r="BK437" s="26"/>
      <c r="BL437" s="26"/>
      <c r="BM437" s="26"/>
      <c r="BN437" s="26"/>
      <c r="BO437" s="26"/>
      <c r="BP437" s="26"/>
      <c r="BQ437" s="26"/>
      <c r="BR437" s="26"/>
      <c r="BS437" s="26"/>
      <c r="BT437" s="26"/>
      <c r="BU437" s="26"/>
      <c r="BV437" s="26"/>
      <c r="BW437" s="26"/>
      <c r="BX437" s="26"/>
      <c r="BY437" s="26"/>
      <c r="BZ437" s="26"/>
      <c r="CA437" s="26"/>
      <c r="CB437" s="26"/>
      <c r="CC437" s="26"/>
      <c r="CD437" s="26"/>
      <c r="CE437" s="26"/>
      <c r="CF437" s="26"/>
      <c r="CG437" s="26"/>
      <c r="CH437" s="26"/>
      <c r="CI437" s="26"/>
      <c r="CJ437" s="26"/>
      <c r="CK437" s="26"/>
      <c r="CL437" s="26"/>
      <c r="CM437" s="26"/>
      <c r="CN437" s="26"/>
      <c r="CO437" s="26"/>
      <c r="CP437" s="26"/>
      <c r="CQ437" s="26"/>
      <c r="CR437" s="26"/>
      <c r="CS437" s="26"/>
      <c r="CT437" s="26"/>
      <c r="CU437" s="26"/>
      <c r="CV437" s="26"/>
      <c r="CW437" s="26"/>
      <c r="CX437" s="26"/>
      <c r="CY437" s="26"/>
      <c r="CZ437" s="26"/>
    </row>
    <row r="438" spans="1:104" x14ac:dyDescent="0.2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6"/>
      <c r="AB438" s="26"/>
      <c r="AC438" s="26"/>
      <c r="AD438" s="26"/>
      <c r="AE438" s="26"/>
      <c r="AF438" s="26"/>
      <c r="AG438" s="26"/>
      <c r="AH438" s="26"/>
      <c r="AI438" s="26"/>
      <c r="AJ438" s="26"/>
      <c r="AK438" s="26"/>
      <c r="AL438" s="26"/>
      <c r="AM438" s="26"/>
      <c r="AN438" s="26"/>
      <c r="AO438" s="26"/>
      <c r="AP438" s="26"/>
      <c r="AQ438" s="26"/>
      <c r="AR438" s="26"/>
      <c r="AS438" s="26"/>
      <c r="AT438" s="26"/>
      <c r="AU438" s="26"/>
      <c r="AV438" s="26"/>
      <c r="AW438" s="26"/>
      <c r="AX438" s="26"/>
      <c r="AY438" s="26"/>
      <c r="AZ438" s="26"/>
      <c r="BA438" s="26"/>
      <c r="BB438" s="26"/>
      <c r="BC438" s="26"/>
      <c r="BD438" s="26"/>
      <c r="BE438" s="26"/>
      <c r="BF438" s="26"/>
      <c r="BG438" s="26"/>
      <c r="BH438" s="26"/>
      <c r="BI438" s="26"/>
      <c r="BJ438" s="26"/>
      <c r="BK438" s="26"/>
      <c r="BL438" s="26"/>
      <c r="BM438" s="26"/>
      <c r="BN438" s="26"/>
      <c r="BO438" s="26"/>
      <c r="BP438" s="26"/>
      <c r="BQ438" s="26"/>
      <c r="BR438" s="26"/>
      <c r="BS438" s="26"/>
      <c r="BT438" s="26"/>
      <c r="BU438" s="26"/>
      <c r="BV438" s="26"/>
      <c r="BW438" s="26"/>
      <c r="BX438" s="26"/>
      <c r="BY438" s="26"/>
      <c r="BZ438" s="26"/>
      <c r="CA438" s="26"/>
      <c r="CB438" s="26"/>
      <c r="CC438" s="26"/>
      <c r="CD438" s="26"/>
      <c r="CE438" s="26"/>
      <c r="CF438" s="26"/>
      <c r="CG438" s="26"/>
      <c r="CH438" s="26"/>
      <c r="CI438" s="26"/>
      <c r="CJ438" s="26"/>
      <c r="CK438" s="26"/>
      <c r="CL438" s="26"/>
      <c r="CM438" s="26"/>
      <c r="CN438" s="26"/>
      <c r="CO438" s="26"/>
      <c r="CP438" s="26"/>
      <c r="CQ438" s="26"/>
      <c r="CR438" s="26"/>
      <c r="CS438" s="26"/>
      <c r="CT438" s="26"/>
      <c r="CU438" s="26"/>
      <c r="CV438" s="26"/>
      <c r="CW438" s="26"/>
      <c r="CX438" s="26"/>
      <c r="CY438" s="26"/>
      <c r="CZ438" s="26"/>
    </row>
    <row r="439" spans="1:104" x14ac:dyDescent="0.2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6"/>
      <c r="AB439" s="26"/>
      <c r="AC439" s="26"/>
      <c r="AD439" s="26"/>
      <c r="AE439" s="26"/>
      <c r="AF439" s="26"/>
      <c r="AG439" s="26"/>
      <c r="AH439" s="26"/>
      <c r="AI439" s="26"/>
      <c r="AJ439" s="26"/>
      <c r="AK439" s="26"/>
      <c r="AL439" s="26"/>
      <c r="AM439" s="26"/>
      <c r="AN439" s="26"/>
      <c r="AO439" s="26"/>
      <c r="AP439" s="26"/>
      <c r="AQ439" s="26"/>
      <c r="AR439" s="26"/>
      <c r="AS439" s="26"/>
      <c r="AT439" s="26"/>
      <c r="AU439" s="26"/>
      <c r="AV439" s="26"/>
      <c r="AW439" s="26"/>
      <c r="AX439" s="26"/>
      <c r="AY439" s="26"/>
      <c r="AZ439" s="26"/>
      <c r="BA439" s="26"/>
      <c r="BB439" s="26"/>
      <c r="BC439" s="26"/>
      <c r="BD439" s="26"/>
      <c r="BE439" s="26"/>
      <c r="BF439" s="26"/>
      <c r="BG439" s="26"/>
      <c r="BH439" s="26"/>
      <c r="BI439" s="26"/>
      <c r="BJ439" s="26"/>
      <c r="BK439" s="26"/>
      <c r="BL439" s="26"/>
      <c r="BM439" s="26"/>
      <c r="BN439" s="26"/>
      <c r="BO439" s="26"/>
      <c r="BP439" s="26"/>
      <c r="BQ439" s="26"/>
      <c r="BR439" s="26"/>
      <c r="BS439" s="26"/>
      <c r="BT439" s="26"/>
      <c r="BU439" s="26"/>
      <c r="BV439" s="26"/>
      <c r="BW439" s="26"/>
      <c r="BX439" s="26"/>
      <c r="BY439" s="26"/>
      <c r="BZ439" s="26"/>
      <c r="CA439" s="26"/>
      <c r="CB439" s="26"/>
      <c r="CC439" s="26"/>
      <c r="CD439" s="26"/>
      <c r="CE439" s="26"/>
      <c r="CF439" s="26"/>
      <c r="CG439" s="26"/>
      <c r="CH439" s="26"/>
      <c r="CI439" s="26"/>
      <c r="CJ439" s="26"/>
      <c r="CK439" s="26"/>
      <c r="CL439" s="26"/>
      <c r="CM439" s="26"/>
      <c r="CN439" s="26"/>
      <c r="CO439" s="26"/>
      <c r="CP439" s="26"/>
      <c r="CQ439" s="26"/>
      <c r="CR439" s="26"/>
      <c r="CS439" s="26"/>
      <c r="CT439" s="26"/>
      <c r="CU439" s="26"/>
      <c r="CV439" s="26"/>
      <c r="CW439" s="26"/>
      <c r="CX439" s="26"/>
      <c r="CY439" s="26"/>
      <c r="CZ439" s="26"/>
    </row>
    <row r="440" spans="1:104" x14ac:dyDescent="0.2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6"/>
      <c r="AB440" s="26"/>
      <c r="AC440" s="26"/>
      <c r="AD440" s="26"/>
      <c r="AE440" s="26"/>
      <c r="AF440" s="26"/>
      <c r="AG440" s="26"/>
      <c r="AH440" s="26"/>
      <c r="AI440" s="26"/>
      <c r="AJ440" s="26"/>
      <c r="AK440" s="26"/>
      <c r="AL440" s="26"/>
      <c r="AM440" s="26"/>
      <c r="AN440" s="26"/>
      <c r="AO440" s="26"/>
      <c r="AP440" s="26"/>
      <c r="AQ440" s="26"/>
      <c r="AR440" s="26"/>
      <c r="AS440" s="26"/>
      <c r="AT440" s="26"/>
      <c r="AU440" s="26"/>
      <c r="AV440" s="26"/>
      <c r="AW440" s="26"/>
      <c r="AX440" s="26"/>
      <c r="AY440" s="26"/>
      <c r="AZ440" s="26"/>
      <c r="BA440" s="26"/>
      <c r="BB440" s="26"/>
      <c r="BC440" s="26"/>
      <c r="BD440" s="26"/>
      <c r="BE440" s="26"/>
      <c r="BF440" s="26"/>
      <c r="BG440" s="26"/>
      <c r="BH440" s="26"/>
      <c r="BI440" s="26"/>
      <c r="BJ440" s="26"/>
      <c r="BK440" s="26"/>
      <c r="BL440" s="26"/>
      <c r="BM440" s="26"/>
      <c r="BN440" s="26"/>
      <c r="BO440" s="26"/>
      <c r="BP440" s="26"/>
      <c r="BQ440" s="26"/>
      <c r="BR440" s="26"/>
      <c r="BS440" s="26"/>
      <c r="BT440" s="26"/>
      <c r="BU440" s="26"/>
      <c r="BV440" s="26"/>
      <c r="BW440" s="26"/>
      <c r="BX440" s="26"/>
      <c r="BY440" s="26"/>
      <c r="BZ440" s="26"/>
      <c r="CA440" s="26"/>
      <c r="CB440" s="26"/>
      <c r="CC440" s="26"/>
      <c r="CD440" s="26"/>
      <c r="CE440" s="26"/>
      <c r="CF440" s="26"/>
      <c r="CG440" s="26"/>
      <c r="CH440" s="26"/>
      <c r="CI440" s="26"/>
      <c r="CJ440" s="26"/>
      <c r="CK440" s="26"/>
      <c r="CL440" s="26"/>
      <c r="CM440" s="26"/>
      <c r="CN440" s="26"/>
      <c r="CO440" s="26"/>
      <c r="CP440" s="26"/>
      <c r="CQ440" s="26"/>
      <c r="CR440" s="26"/>
      <c r="CS440" s="26"/>
      <c r="CT440" s="26"/>
      <c r="CU440" s="26"/>
      <c r="CV440" s="26"/>
      <c r="CW440" s="26"/>
      <c r="CX440" s="26"/>
      <c r="CY440" s="26"/>
      <c r="CZ440" s="26"/>
    </row>
    <row r="441" spans="1:104" x14ac:dyDescent="0.2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6"/>
      <c r="AB441" s="26"/>
      <c r="AC441" s="26"/>
      <c r="AD441" s="26"/>
      <c r="AE441" s="26"/>
      <c r="AF441" s="26"/>
      <c r="AG441" s="26"/>
      <c r="AH441" s="26"/>
      <c r="AI441" s="26"/>
      <c r="AJ441" s="26"/>
      <c r="AK441" s="26"/>
      <c r="AL441" s="26"/>
      <c r="AM441" s="26"/>
      <c r="AN441" s="26"/>
      <c r="AO441" s="26"/>
      <c r="AP441" s="26"/>
      <c r="AQ441" s="26"/>
      <c r="AR441" s="26"/>
      <c r="AS441" s="26"/>
      <c r="AT441" s="26"/>
      <c r="AU441" s="26"/>
      <c r="AV441" s="26"/>
      <c r="AW441" s="26"/>
      <c r="AX441" s="26"/>
      <c r="AY441" s="26"/>
      <c r="AZ441" s="26"/>
      <c r="BA441" s="26"/>
      <c r="BB441" s="26"/>
      <c r="BC441" s="26"/>
      <c r="BD441" s="26"/>
      <c r="BE441" s="26"/>
      <c r="BF441" s="26"/>
      <c r="BG441" s="26"/>
      <c r="BH441" s="26"/>
      <c r="BI441" s="26"/>
      <c r="BJ441" s="26"/>
      <c r="BK441" s="26"/>
      <c r="BL441" s="26"/>
      <c r="BM441" s="26"/>
      <c r="BN441" s="26"/>
      <c r="BO441" s="26"/>
      <c r="BP441" s="26"/>
      <c r="BQ441" s="26"/>
      <c r="BR441" s="26"/>
      <c r="BS441" s="26"/>
      <c r="BT441" s="26"/>
      <c r="BU441" s="26"/>
      <c r="BV441" s="26"/>
      <c r="BW441" s="26"/>
      <c r="BX441" s="26"/>
      <c r="BY441" s="26"/>
      <c r="BZ441" s="26"/>
      <c r="CA441" s="26"/>
      <c r="CB441" s="26"/>
      <c r="CC441" s="26"/>
      <c r="CD441" s="26"/>
      <c r="CE441" s="26"/>
      <c r="CF441" s="26"/>
      <c r="CG441" s="26"/>
      <c r="CH441" s="26"/>
      <c r="CI441" s="26"/>
      <c r="CJ441" s="26"/>
      <c r="CK441" s="26"/>
      <c r="CL441" s="26"/>
      <c r="CM441" s="26"/>
      <c r="CN441" s="26"/>
      <c r="CO441" s="26"/>
      <c r="CP441" s="26"/>
      <c r="CQ441" s="26"/>
      <c r="CR441" s="26"/>
      <c r="CS441" s="26"/>
      <c r="CT441" s="26"/>
      <c r="CU441" s="26"/>
      <c r="CV441" s="26"/>
      <c r="CW441" s="26"/>
      <c r="CX441" s="26"/>
      <c r="CY441" s="26"/>
      <c r="CZ441" s="26"/>
    </row>
    <row r="442" spans="1:104" x14ac:dyDescent="0.2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6"/>
      <c r="AB442" s="26"/>
      <c r="AC442" s="26"/>
      <c r="AD442" s="26"/>
      <c r="AE442" s="26"/>
      <c r="AF442" s="26"/>
      <c r="AG442" s="26"/>
      <c r="AH442" s="26"/>
      <c r="AI442" s="26"/>
      <c r="AJ442" s="26"/>
      <c r="AK442" s="26"/>
      <c r="AL442" s="26"/>
      <c r="AM442" s="26"/>
      <c r="AN442" s="26"/>
      <c r="AO442" s="26"/>
      <c r="AP442" s="26"/>
      <c r="AQ442" s="26"/>
      <c r="AR442" s="26"/>
      <c r="AS442" s="26"/>
      <c r="AT442" s="26"/>
      <c r="AU442" s="26"/>
      <c r="AV442" s="26"/>
      <c r="AW442" s="26"/>
      <c r="AX442" s="26"/>
      <c r="AY442" s="26"/>
      <c r="AZ442" s="26"/>
      <c r="BA442" s="26"/>
      <c r="BB442" s="26"/>
      <c r="BC442" s="26"/>
      <c r="BD442" s="26"/>
      <c r="BE442" s="26"/>
      <c r="BF442" s="26"/>
      <c r="BG442" s="26"/>
      <c r="BH442" s="26"/>
      <c r="BI442" s="26"/>
      <c r="BJ442" s="26"/>
      <c r="BK442" s="26"/>
      <c r="BL442" s="26"/>
      <c r="BM442" s="26"/>
      <c r="BN442" s="26"/>
      <c r="BO442" s="26"/>
      <c r="BP442" s="26"/>
      <c r="BQ442" s="26"/>
      <c r="BR442" s="26"/>
      <c r="BS442" s="26"/>
      <c r="BT442" s="26"/>
      <c r="BU442" s="26"/>
      <c r="BV442" s="26"/>
      <c r="BW442" s="26"/>
      <c r="BX442" s="26"/>
      <c r="BY442" s="26"/>
      <c r="BZ442" s="26"/>
      <c r="CA442" s="26"/>
      <c r="CB442" s="26"/>
      <c r="CC442" s="26"/>
      <c r="CD442" s="26"/>
      <c r="CE442" s="26"/>
      <c r="CF442" s="26"/>
      <c r="CG442" s="26"/>
      <c r="CH442" s="26"/>
      <c r="CI442" s="26"/>
      <c r="CJ442" s="26"/>
      <c r="CK442" s="26"/>
      <c r="CL442" s="26"/>
      <c r="CM442" s="26"/>
      <c r="CN442" s="26"/>
      <c r="CO442" s="26"/>
      <c r="CP442" s="26"/>
      <c r="CQ442" s="26"/>
      <c r="CR442" s="26"/>
      <c r="CS442" s="26"/>
      <c r="CT442" s="26"/>
      <c r="CU442" s="26"/>
      <c r="CV442" s="26"/>
      <c r="CW442" s="26"/>
      <c r="CX442" s="26"/>
      <c r="CY442" s="26"/>
      <c r="CZ442" s="26"/>
    </row>
    <row r="443" spans="1:104" x14ac:dyDescent="0.2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6"/>
      <c r="AB443" s="26"/>
      <c r="AC443" s="26"/>
      <c r="AD443" s="26"/>
      <c r="AE443" s="26"/>
      <c r="AF443" s="26"/>
      <c r="AG443" s="26"/>
      <c r="AH443" s="26"/>
      <c r="AI443" s="26"/>
      <c r="AJ443" s="26"/>
      <c r="AK443" s="26"/>
      <c r="AL443" s="26"/>
      <c r="AM443" s="26"/>
      <c r="AN443" s="26"/>
      <c r="AO443" s="26"/>
      <c r="AP443" s="26"/>
      <c r="AQ443" s="26"/>
      <c r="AR443" s="26"/>
      <c r="AS443" s="26"/>
      <c r="AT443" s="26"/>
      <c r="AU443" s="26"/>
      <c r="AV443" s="26"/>
      <c r="AW443" s="26"/>
      <c r="AX443" s="26"/>
      <c r="AY443" s="26"/>
      <c r="AZ443" s="26"/>
      <c r="BA443" s="26"/>
      <c r="BB443" s="26"/>
      <c r="BC443" s="26"/>
      <c r="BD443" s="26"/>
      <c r="BE443" s="26"/>
      <c r="BF443" s="26"/>
      <c r="BG443" s="26"/>
      <c r="BH443" s="26"/>
      <c r="BI443" s="26"/>
      <c r="BJ443" s="26"/>
      <c r="BK443" s="26"/>
      <c r="BL443" s="26"/>
      <c r="BM443" s="26"/>
      <c r="BN443" s="26"/>
      <c r="BO443" s="26"/>
      <c r="BP443" s="26"/>
      <c r="BQ443" s="26"/>
      <c r="BR443" s="26"/>
      <c r="BS443" s="26"/>
      <c r="BT443" s="26"/>
      <c r="BU443" s="26"/>
      <c r="BV443" s="26"/>
      <c r="BW443" s="26"/>
      <c r="BX443" s="26"/>
      <c r="BY443" s="26"/>
      <c r="BZ443" s="26"/>
      <c r="CA443" s="26"/>
      <c r="CB443" s="26"/>
      <c r="CC443" s="26"/>
      <c r="CD443" s="26"/>
      <c r="CE443" s="26"/>
      <c r="CF443" s="26"/>
      <c r="CG443" s="26"/>
      <c r="CH443" s="26"/>
      <c r="CI443" s="26"/>
      <c r="CJ443" s="26"/>
      <c r="CK443" s="26"/>
      <c r="CL443" s="26"/>
      <c r="CM443" s="26"/>
      <c r="CN443" s="26"/>
      <c r="CO443" s="26"/>
      <c r="CP443" s="26"/>
      <c r="CQ443" s="26"/>
      <c r="CR443" s="26"/>
      <c r="CS443" s="26"/>
      <c r="CT443" s="26"/>
      <c r="CU443" s="26"/>
      <c r="CV443" s="26"/>
      <c r="CW443" s="26"/>
      <c r="CX443" s="26"/>
      <c r="CY443" s="26"/>
      <c r="CZ443" s="26"/>
    </row>
    <row r="444" spans="1:104" x14ac:dyDescent="0.2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6"/>
      <c r="AB444" s="26"/>
      <c r="AC444" s="26"/>
      <c r="AD444" s="26"/>
      <c r="AE444" s="26"/>
      <c r="AF444" s="26"/>
      <c r="AG444" s="26"/>
      <c r="AH444" s="26"/>
      <c r="AI444" s="26"/>
      <c r="AJ444" s="26"/>
      <c r="AK444" s="26"/>
      <c r="AL444" s="26"/>
      <c r="AM444" s="26"/>
      <c r="AN444" s="26"/>
      <c r="AO444" s="26"/>
      <c r="AP444" s="26"/>
      <c r="AQ444" s="26"/>
      <c r="AR444" s="26"/>
      <c r="AS444" s="26"/>
      <c r="AT444" s="26"/>
      <c r="AU444" s="26"/>
      <c r="AV444" s="26"/>
      <c r="AW444" s="26"/>
      <c r="AX444" s="26"/>
      <c r="AY444" s="26"/>
      <c r="AZ444" s="26"/>
      <c r="BA444" s="26"/>
      <c r="BB444" s="26"/>
      <c r="BC444" s="26"/>
      <c r="BD444" s="26"/>
      <c r="BE444" s="26"/>
      <c r="BF444" s="26"/>
      <c r="BG444" s="26"/>
      <c r="BH444" s="26"/>
      <c r="BI444" s="26"/>
      <c r="BJ444" s="26"/>
      <c r="BK444" s="26"/>
      <c r="BL444" s="26"/>
      <c r="BM444" s="26"/>
      <c r="BN444" s="26"/>
      <c r="BO444" s="26"/>
      <c r="BP444" s="26"/>
      <c r="BQ444" s="26"/>
      <c r="BR444" s="26"/>
      <c r="BS444" s="26"/>
      <c r="BT444" s="26"/>
      <c r="BU444" s="26"/>
      <c r="BV444" s="26"/>
      <c r="BW444" s="26"/>
      <c r="BX444" s="26"/>
      <c r="BY444" s="26"/>
      <c r="BZ444" s="26"/>
      <c r="CA444" s="26"/>
      <c r="CB444" s="26"/>
      <c r="CC444" s="26"/>
      <c r="CD444" s="26"/>
      <c r="CE444" s="26"/>
      <c r="CF444" s="26"/>
      <c r="CG444" s="26"/>
      <c r="CH444" s="26"/>
      <c r="CI444" s="26"/>
      <c r="CJ444" s="26"/>
      <c r="CK444" s="26"/>
      <c r="CL444" s="26"/>
      <c r="CM444" s="26"/>
      <c r="CN444" s="26"/>
      <c r="CO444" s="26"/>
      <c r="CP444" s="26"/>
      <c r="CQ444" s="26"/>
      <c r="CR444" s="26"/>
      <c r="CS444" s="26"/>
      <c r="CT444" s="26"/>
      <c r="CU444" s="26"/>
      <c r="CV444" s="26"/>
      <c r="CW444" s="26"/>
      <c r="CX444" s="26"/>
      <c r="CY444" s="26"/>
      <c r="CZ444" s="26"/>
    </row>
    <row r="445" spans="1:104" x14ac:dyDescent="0.2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6"/>
      <c r="AB445" s="26"/>
      <c r="AC445" s="26"/>
      <c r="AD445" s="26"/>
      <c r="AE445" s="26"/>
      <c r="AF445" s="26"/>
      <c r="AG445" s="26"/>
      <c r="AH445" s="26"/>
      <c r="AI445" s="26"/>
      <c r="AJ445" s="26"/>
      <c r="AK445" s="26"/>
      <c r="AL445" s="26"/>
      <c r="AM445" s="26"/>
      <c r="AN445" s="26"/>
      <c r="AO445" s="26"/>
      <c r="AP445" s="26"/>
      <c r="AQ445" s="26"/>
      <c r="AR445" s="26"/>
      <c r="AS445" s="26"/>
      <c r="AT445" s="26"/>
      <c r="AU445" s="26"/>
      <c r="AV445" s="26"/>
      <c r="AW445" s="26"/>
      <c r="AX445" s="26"/>
      <c r="AY445" s="26"/>
      <c r="AZ445" s="26"/>
      <c r="BA445" s="26"/>
      <c r="BB445" s="26"/>
      <c r="BC445" s="26"/>
      <c r="BD445" s="26"/>
      <c r="BE445" s="26"/>
      <c r="BF445" s="26"/>
      <c r="BG445" s="26"/>
      <c r="BH445" s="26"/>
      <c r="BI445" s="26"/>
      <c r="BJ445" s="26"/>
      <c r="BK445" s="26"/>
      <c r="BL445" s="26"/>
      <c r="BM445" s="26"/>
      <c r="BN445" s="26"/>
      <c r="BO445" s="26"/>
      <c r="BP445" s="26"/>
      <c r="BQ445" s="26"/>
      <c r="BR445" s="26"/>
      <c r="BS445" s="26"/>
      <c r="BT445" s="26"/>
      <c r="BU445" s="26"/>
      <c r="BV445" s="26"/>
      <c r="BW445" s="26"/>
      <c r="BX445" s="26"/>
      <c r="BY445" s="26"/>
      <c r="BZ445" s="26"/>
      <c r="CA445" s="26"/>
      <c r="CB445" s="26"/>
      <c r="CC445" s="26"/>
      <c r="CD445" s="26"/>
      <c r="CE445" s="26"/>
      <c r="CF445" s="26"/>
      <c r="CG445" s="26"/>
      <c r="CH445" s="26"/>
      <c r="CI445" s="26"/>
      <c r="CJ445" s="26"/>
      <c r="CK445" s="26"/>
      <c r="CL445" s="26"/>
      <c r="CM445" s="26"/>
      <c r="CN445" s="26"/>
      <c r="CO445" s="26"/>
      <c r="CP445" s="26"/>
      <c r="CQ445" s="26"/>
      <c r="CR445" s="26"/>
      <c r="CS445" s="26"/>
      <c r="CT445" s="26"/>
      <c r="CU445" s="26"/>
      <c r="CV445" s="26"/>
      <c r="CW445" s="26"/>
      <c r="CX445" s="26"/>
      <c r="CY445" s="26"/>
      <c r="CZ445" s="26"/>
    </row>
    <row r="446" spans="1:104" x14ac:dyDescent="0.2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6"/>
      <c r="AB446" s="26"/>
      <c r="AC446" s="26"/>
      <c r="AD446" s="26"/>
      <c r="AE446" s="26"/>
      <c r="AF446" s="26"/>
      <c r="AG446" s="26"/>
      <c r="AH446" s="26"/>
      <c r="AI446" s="26"/>
      <c r="AJ446" s="26"/>
      <c r="AK446" s="26"/>
      <c r="AL446" s="26"/>
      <c r="AM446" s="26"/>
      <c r="AN446" s="26"/>
      <c r="AO446" s="26"/>
      <c r="AP446" s="26"/>
      <c r="AQ446" s="26"/>
      <c r="AR446" s="26"/>
      <c r="AS446" s="26"/>
      <c r="AT446" s="26"/>
      <c r="AU446" s="26"/>
      <c r="AV446" s="26"/>
      <c r="AW446" s="26"/>
      <c r="AX446" s="26"/>
      <c r="AY446" s="26"/>
      <c r="AZ446" s="26"/>
      <c r="BA446" s="26"/>
      <c r="BB446" s="26"/>
      <c r="BC446" s="26"/>
      <c r="BD446" s="26"/>
      <c r="BE446" s="26"/>
      <c r="BF446" s="26"/>
      <c r="BG446" s="26"/>
      <c r="BH446" s="26"/>
      <c r="BI446" s="26"/>
      <c r="BJ446" s="26"/>
      <c r="BK446" s="26"/>
      <c r="BL446" s="26"/>
      <c r="BM446" s="26"/>
      <c r="BN446" s="26"/>
      <c r="BO446" s="26"/>
      <c r="BP446" s="26"/>
      <c r="BQ446" s="26"/>
      <c r="BR446" s="26"/>
      <c r="BS446" s="26"/>
      <c r="BT446" s="26"/>
      <c r="BU446" s="26"/>
      <c r="BV446" s="26"/>
      <c r="BW446" s="26"/>
      <c r="BX446" s="26"/>
      <c r="BY446" s="26"/>
      <c r="BZ446" s="26"/>
      <c r="CA446" s="26"/>
      <c r="CB446" s="26"/>
      <c r="CC446" s="26"/>
      <c r="CD446" s="26"/>
      <c r="CE446" s="26"/>
      <c r="CF446" s="26"/>
      <c r="CG446" s="26"/>
      <c r="CH446" s="26"/>
      <c r="CI446" s="26"/>
      <c r="CJ446" s="26"/>
      <c r="CK446" s="26"/>
      <c r="CL446" s="26"/>
      <c r="CM446" s="26"/>
      <c r="CN446" s="26"/>
      <c r="CO446" s="26"/>
      <c r="CP446" s="26"/>
      <c r="CQ446" s="26"/>
      <c r="CR446" s="26"/>
      <c r="CS446" s="26"/>
      <c r="CT446" s="26"/>
      <c r="CU446" s="26"/>
      <c r="CV446" s="26"/>
      <c r="CW446" s="26"/>
      <c r="CX446" s="26"/>
      <c r="CY446" s="26"/>
      <c r="CZ446" s="26"/>
    </row>
    <row r="447" spans="1:104" x14ac:dyDescent="0.2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6"/>
      <c r="AB447" s="26"/>
      <c r="AC447" s="26"/>
      <c r="AD447" s="26"/>
      <c r="AE447" s="26"/>
      <c r="AF447" s="26"/>
      <c r="AG447" s="26"/>
      <c r="AH447" s="26"/>
      <c r="AI447" s="26"/>
      <c r="AJ447" s="26"/>
      <c r="AK447" s="26"/>
      <c r="AL447" s="26"/>
      <c r="AM447" s="26"/>
      <c r="AN447" s="26"/>
      <c r="AO447" s="26"/>
      <c r="AP447" s="26"/>
      <c r="AQ447" s="26"/>
      <c r="AR447" s="26"/>
      <c r="AS447" s="26"/>
      <c r="AT447" s="26"/>
      <c r="AU447" s="26"/>
      <c r="AV447" s="26"/>
      <c r="AW447" s="26"/>
      <c r="AX447" s="26"/>
      <c r="AY447" s="26"/>
      <c r="AZ447" s="26"/>
      <c r="BA447" s="26"/>
      <c r="BB447" s="26"/>
      <c r="BC447" s="26"/>
      <c r="BD447" s="26"/>
      <c r="BE447" s="26"/>
      <c r="BF447" s="26"/>
      <c r="BG447" s="26"/>
      <c r="BH447" s="26"/>
      <c r="BI447" s="26"/>
      <c r="BJ447" s="26"/>
      <c r="BK447" s="26"/>
      <c r="BL447" s="26"/>
      <c r="BM447" s="26"/>
      <c r="BN447" s="26"/>
      <c r="BO447" s="26"/>
      <c r="BP447" s="26"/>
      <c r="BQ447" s="26"/>
      <c r="BR447" s="26"/>
      <c r="BS447" s="26"/>
      <c r="BT447" s="26"/>
      <c r="BU447" s="26"/>
      <c r="BV447" s="26"/>
      <c r="BW447" s="26"/>
      <c r="BX447" s="26"/>
      <c r="BY447" s="26"/>
      <c r="BZ447" s="26"/>
      <c r="CA447" s="26"/>
      <c r="CB447" s="26"/>
      <c r="CC447" s="26"/>
      <c r="CD447" s="26"/>
      <c r="CE447" s="26"/>
      <c r="CF447" s="26"/>
      <c r="CG447" s="26"/>
      <c r="CH447" s="26"/>
      <c r="CI447" s="26"/>
      <c r="CJ447" s="26"/>
      <c r="CK447" s="26"/>
      <c r="CL447" s="26"/>
      <c r="CM447" s="26"/>
      <c r="CN447" s="26"/>
      <c r="CO447" s="26"/>
      <c r="CP447" s="26"/>
      <c r="CQ447" s="26"/>
      <c r="CR447" s="26"/>
      <c r="CS447" s="26"/>
      <c r="CT447" s="26"/>
      <c r="CU447" s="26"/>
      <c r="CV447" s="26"/>
      <c r="CW447" s="26"/>
      <c r="CX447" s="26"/>
      <c r="CY447" s="26"/>
      <c r="CZ447" s="26"/>
    </row>
    <row r="448" spans="1:104" x14ac:dyDescent="0.2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6"/>
      <c r="AB448" s="26"/>
      <c r="AC448" s="26"/>
      <c r="AD448" s="26"/>
      <c r="AE448" s="26"/>
      <c r="AF448" s="26"/>
      <c r="AG448" s="26"/>
      <c r="AH448" s="26"/>
      <c r="AI448" s="26"/>
      <c r="AJ448" s="26"/>
      <c r="AK448" s="26"/>
      <c r="AL448" s="26"/>
      <c r="AM448" s="26"/>
      <c r="AN448" s="26"/>
      <c r="AO448" s="26"/>
      <c r="AP448" s="26"/>
      <c r="AQ448" s="26"/>
      <c r="AR448" s="26"/>
      <c r="AS448" s="26"/>
      <c r="AT448" s="26"/>
      <c r="AU448" s="26"/>
      <c r="AV448" s="26"/>
      <c r="AW448" s="26"/>
      <c r="AX448" s="26"/>
      <c r="AY448" s="26"/>
      <c r="AZ448" s="26"/>
      <c r="BA448" s="26"/>
      <c r="BB448" s="26"/>
      <c r="BC448" s="26"/>
      <c r="BD448" s="26"/>
      <c r="BE448" s="26"/>
      <c r="BF448" s="26"/>
      <c r="BG448" s="26"/>
      <c r="BH448" s="26"/>
      <c r="BI448" s="26"/>
      <c r="BJ448" s="26"/>
      <c r="BK448" s="26"/>
      <c r="BL448" s="26"/>
      <c r="BM448" s="26"/>
      <c r="BN448" s="26"/>
      <c r="BO448" s="26"/>
      <c r="BP448" s="26"/>
      <c r="BQ448" s="26"/>
      <c r="BR448" s="26"/>
      <c r="BS448" s="26"/>
      <c r="BT448" s="26"/>
      <c r="BU448" s="26"/>
      <c r="BV448" s="26"/>
      <c r="BW448" s="26"/>
      <c r="BX448" s="26"/>
      <c r="BY448" s="26"/>
      <c r="BZ448" s="26"/>
      <c r="CA448" s="26"/>
      <c r="CB448" s="26"/>
      <c r="CC448" s="26"/>
      <c r="CD448" s="26"/>
      <c r="CE448" s="26"/>
      <c r="CF448" s="26"/>
      <c r="CG448" s="26"/>
      <c r="CH448" s="26"/>
      <c r="CI448" s="26"/>
      <c r="CJ448" s="26"/>
      <c r="CK448" s="26"/>
      <c r="CL448" s="26"/>
      <c r="CM448" s="26"/>
      <c r="CN448" s="26"/>
      <c r="CO448" s="26"/>
      <c r="CP448" s="26"/>
      <c r="CQ448" s="26"/>
      <c r="CR448" s="26"/>
      <c r="CS448" s="26"/>
      <c r="CT448" s="26"/>
      <c r="CU448" s="26"/>
      <c r="CV448" s="26"/>
      <c r="CW448" s="26"/>
      <c r="CX448" s="26"/>
      <c r="CY448" s="26"/>
      <c r="CZ448" s="26"/>
    </row>
    <row r="449" spans="1:104" x14ac:dyDescent="0.2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6"/>
      <c r="AB449" s="26"/>
      <c r="AC449" s="26"/>
      <c r="AD449" s="26"/>
      <c r="AE449" s="26"/>
      <c r="AF449" s="26"/>
      <c r="AG449" s="26"/>
      <c r="AH449" s="26"/>
      <c r="AI449" s="26"/>
      <c r="AJ449" s="26"/>
      <c r="AK449" s="26"/>
      <c r="AL449" s="26"/>
      <c r="AM449" s="26"/>
      <c r="AN449" s="26"/>
      <c r="AO449" s="26"/>
      <c r="AP449" s="26"/>
      <c r="AQ449" s="26"/>
      <c r="AR449" s="26"/>
      <c r="AS449" s="26"/>
      <c r="AT449" s="26"/>
      <c r="AU449" s="26"/>
      <c r="AV449" s="26"/>
      <c r="AW449" s="26"/>
      <c r="AX449" s="26"/>
      <c r="AY449" s="26"/>
      <c r="AZ449" s="26"/>
      <c r="BA449" s="26"/>
      <c r="BB449" s="26"/>
      <c r="BC449" s="26"/>
      <c r="BD449" s="26"/>
      <c r="BE449" s="26"/>
      <c r="BF449" s="26"/>
      <c r="BG449" s="26"/>
      <c r="BH449" s="26"/>
      <c r="BI449" s="26"/>
      <c r="BJ449" s="26"/>
      <c r="BK449" s="26"/>
      <c r="BL449" s="26"/>
      <c r="BM449" s="26"/>
      <c r="BN449" s="26"/>
      <c r="BO449" s="26"/>
      <c r="BP449" s="26"/>
      <c r="BQ449" s="26"/>
      <c r="BR449" s="26"/>
      <c r="BS449" s="26"/>
      <c r="BT449" s="26"/>
      <c r="BU449" s="26"/>
      <c r="BV449" s="26"/>
      <c r="BW449" s="26"/>
      <c r="BX449" s="26"/>
      <c r="BY449" s="26"/>
      <c r="BZ449" s="26"/>
      <c r="CA449" s="26"/>
      <c r="CB449" s="26"/>
      <c r="CC449" s="26"/>
      <c r="CD449" s="26"/>
      <c r="CE449" s="26"/>
      <c r="CF449" s="26"/>
      <c r="CG449" s="26"/>
      <c r="CH449" s="26"/>
      <c r="CI449" s="26"/>
      <c r="CJ449" s="26"/>
      <c r="CK449" s="26"/>
      <c r="CL449" s="26"/>
      <c r="CM449" s="26"/>
      <c r="CN449" s="26"/>
      <c r="CO449" s="26"/>
      <c r="CP449" s="26"/>
      <c r="CQ449" s="26"/>
      <c r="CR449" s="26"/>
      <c r="CS449" s="26"/>
      <c r="CT449" s="26"/>
      <c r="CU449" s="26"/>
      <c r="CV449" s="26"/>
      <c r="CW449" s="26"/>
      <c r="CX449" s="26"/>
      <c r="CY449" s="26"/>
      <c r="CZ449" s="26"/>
    </row>
    <row r="450" spans="1:104" x14ac:dyDescent="0.2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6"/>
      <c r="AB450" s="26"/>
      <c r="AC450" s="26"/>
      <c r="AD450" s="26"/>
      <c r="AE450" s="26"/>
      <c r="AF450" s="26"/>
      <c r="AG450" s="26"/>
      <c r="AH450" s="26"/>
      <c r="AI450" s="26"/>
      <c r="AJ450" s="26"/>
      <c r="AK450" s="26"/>
      <c r="AL450" s="26"/>
      <c r="AM450" s="26"/>
      <c r="AN450" s="26"/>
      <c r="AO450" s="26"/>
      <c r="AP450" s="26"/>
      <c r="AQ450" s="26"/>
      <c r="AR450" s="26"/>
      <c r="AS450" s="26"/>
      <c r="AT450" s="26"/>
      <c r="AU450" s="26"/>
      <c r="AV450" s="26"/>
      <c r="AW450" s="26"/>
      <c r="AX450" s="26"/>
      <c r="AY450" s="26"/>
      <c r="AZ450" s="26"/>
      <c r="BA450" s="26"/>
      <c r="BB450" s="26"/>
      <c r="BC450" s="26"/>
      <c r="BD450" s="26"/>
      <c r="BE450" s="26"/>
      <c r="BF450" s="26"/>
      <c r="BG450" s="26"/>
      <c r="BH450" s="26"/>
      <c r="BI450" s="26"/>
      <c r="BJ450" s="26"/>
      <c r="BK450" s="26"/>
      <c r="BL450" s="26"/>
      <c r="BM450" s="26"/>
      <c r="BN450" s="26"/>
      <c r="BO450" s="26"/>
      <c r="BP450" s="26"/>
      <c r="BQ450" s="26"/>
      <c r="BR450" s="26"/>
      <c r="BS450" s="26"/>
      <c r="BT450" s="26"/>
      <c r="BU450" s="26"/>
      <c r="BV450" s="26"/>
      <c r="BW450" s="26"/>
      <c r="BX450" s="26"/>
      <c r="BY450" s="26"/>
      <c r="BZ450" s="26"/>
      <c r="CA450" s="26"/>
      <c r="CB450" s="26"/>
      <c r="CC450" s="26"/>
      <c r="CD450" s="26"/>
      <c r="CE450" s="26"/>
      <c r="CF450" s="26"/>
      <c r="CG450" s="26"/>
      <c r="CH450" s="26"/>
      <c r="CI450" s="26"/>
      <c r="CJ450" s="26"/>
      <c r="CK450" s="26"/>
      <c r="CL450" s="26"/>
      <c r="CM450" s="26"/>
      <c r="CN450" s="26"/>
      <c r="CO450" s="26"/>
      <c r="CP450" s="26"/>
      <c r="CQ450" s="26"/>
      <c r="CR450" s="26"/>
      <c r="CS450" s="26"/>
      <c r="CT450" s="26"/>
      <c r="CU450" s="26"/>
      <c r="CV450" s="26"/>
      <c r="CW450" s="26"/>
      <c r="CX450" s="26"/>
      <c r="CY450" s="26"/>
      <c r="CZ450" s="26"/>
    </row>
    <row r="451" spans="1:104" x14ac:dyDescent="0.2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6"/>
      <c r="AB451" s="26"/>
      <c r="AC451" s="26"/>
      <c r="AD451" s="26"/>
      <c r="AE451" s="26"/>
      <c r="AF451" s="26"/>
      <c r="AG451" s="26"/>
      <c r="AH451" s="26"/>
      <c r="AI451" s="26"/>
      <c r="AJ451" s="26"/>
      <c r="AK451" s="26"/>
      <c r="AL451" s="26"/>
      <c r="AM451" s="26"/>
      <c r="AN451" s="26"/>
      <c r="AO451" s="26"/>
      <c r="AP451" s="26"/>
      <c r="AQ451" s="26"/>
      <c r="AR451" s="26"/>
      <c r="AS451" s="26"/>
      <c r="AT451" s="26"/>
      <c r="AU451" s="26"/>
      <c r="AV451" s="26"/>
      <c r="AW451" s="26"/>
      <c r="AX451" s="26"/>
      <c r="AY451" s="26"/>
      <c r="AZ451" s="26"/>
      <c r="BA451" s="26"/>
      <c r="BB451" s="26"/>
      <c r="BC451" s="26"/>
      <c r="BD451" s="26"/>
      <c r="BE451" s="26"/>
      <c r="BF451" s="26"/>
      <c r="BG451" s="26"/>
      <c r="BH451" s="26"/>
      <c r="BI451" s="26"/>
      <c r="BJ451" s="26"/>
      <c r="BK451" s="26"/>
      <c r="BL451" s="26"/>
      <c r="BM451" s="26"/>
      <c r="BN451" s="26"/>
      <c r="BO451" s="26"/>
      <c r="BP451" s="26"/>
      <c r="BQ451" s="26"/>
      <c r="BR451" s="26"/>
      <c r="BS451" s="26"/>
      <c r="BT451" s="26"/>
      <c r="BU451" s="26"/>
      <c r="BV451" s="26"/>
      <c r="BW451" s="26"/>
      <c r="BX451" s="26"/>
      <c r="BY451" s="26"/>
      <c r="BZ451" s="26"/>
      <c r="CA451" s="26"/>
      <c r="CB451" s="26"/>
      <c r="CC451" s="26"/>
      <c r="CD451" s="26"/>
      <c r="CE451" s="26"/>
      <c r="CF451" s="26"/>
      <c r="CG451" s="26"/>
      <c r="CH451" s="26"/>
      <c r="CI451" s="26"/>
      <c r="CJ451" s="26"/>
      <c r="CK451" s="26"/>
      <c r="CL451" s="26"/>
      <c r="CM451" s="26"/>
      <c r="CN451" s="26"/>
      <c r="CO451" s="26"/>
      <c r="CP451" s="26"/>
      <c r="CQ451" s="26"/>
      <c r="CR451" s="26"/>
      <c r="CS451" s="26"/>
      <c r="CT451" s="26"/>
      <c r="CU451" s="26"/>
      <c r="CV451" s="26"/>
      <c r="CW451" s="26"/>
      <c r="CX451" s="26"/>
      <c r="CY451" s="26"/>
      <c r="CZ451" s="26"/>
    </row>
    <row r="452" spans="1:104" x14ac:dyDescent="0.2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6"/>
      <c r="AB452" s="26"/>
      <c r="AC452" s="26"/>
      <c r="AD452" s="26"/>
      <c r="AE452" s="26"/>
      <c r="AF452" s="26"/>
      <c r="AG452" s="26"/>
      <c r="AH452" s="26"/>
      <c r="AI452" s="26"/>
      <c r="AJ452" s="26"/>
      <c r="AK452" s="26"/>
      <c r="AL452" s="26"/>
      <c r="AM452" s="26"/>
      <c r="AN452" s="26"/>
      <c r="AO452" s="26"/>
      <c r="AP452" s="26"/>
      <c r="AQ452" s="26"/>
      <c r="AR452" s="26"/>
      <c r="AS452" s="26"/>
      <c r="AT452" s="26"/>
      <c r="AU452" s="26"/>
      <c r="AV452" s="26"/>
      <c r="AW452" s="26"/>
      <c r="AX452" s="26"/>
      <c r="AY452" s="26"/>
      <c r="AZ452" s="26"/>
      <c r="BA452" s="26"/>
      <c r="BB452" s="26"/>
      <c r="BC452" s="26"/>
      <c r="BD452" s="26"/>
      <c r="BE452" s="26"/>
      <c r="BF452" s="26"/>
      <c r="BG452" s="26"/>
      <c r="BH452" s="26"/>
      <c r="BI452" s="26"/>
      <c r="BJ452" s="26"/>
      <c r="BK452" s="26"/>
      <c r="BL452" s="26"/>
      <c r="BM452" s="26"/>
      <c r="BN452" s="26"/>
      <c r="BO452" s="26"/>
      <c r="BP452" s="26"/>
      <c r="BQ452" s="26"/>
      <c r="BR452" s="26"/>
      <c r="BS452" s="26"/>
      <c r="BT452" s="26"/>
      <c r="BU452" s="26"/>
      <c r="BV452" s="26"/>
      <c r="BW452" s="26"/>
      <c r="BX452" s="26"/>
      <c r="BY452" s="26"/>
      <c r="BZ452" s="26"/>
      <c r="CA452" s="26"/>
      <c r="CB452" s="26"/>
      <c r="CC452" s="26"/>
      <c r="CD452" s="26"/>
      <c r="CE452" s="26"/>
      <c r="CF452" s="26"/>
      <c r="CG452" s="26"/>
      <c r="CH452" s="26"/>
      <c r="CI452" s="26"/>
      <c r="CJ452" s="26"/>
      <c r="CK452" s="26"/>
      <c r="CL452" s="26"/>
      <c r="CM452" s="26"/>
      <c r="CN452" s="26"/>
      <c r="CO452" s="26"/>
      <c r="CP452" s="26"/>
      <c r="CQ452" s="26"/>
      <c r="CR452" s="26"/>
      <c r="CS452" s="26"/>
      <c r="CT452" s="26"/>
      <c r="CU452" s="26"/>
      <c r="CV452" s="26"/>
      <c r="CW452" s="26"/>
      <c r="CX452" s="26"/>
      <c r="CY452" s="26"/>
      <c r="CZ452" s="26"/>
    </row>
    <row r="453" spans="1:104" x14ac:dyDescent="0.2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6"/>
      <c r="AB453" s="26"/>
      <c r="AC453" s="26"/>
      <c r="AD453" s="26"/>
      <c r="AE453" s="26"/>
      <c r="AF453" s="26"/>
      <c r="AG453" s="26"/>
      <c r="AH453" s="26"/>
      <c r="AI453" s="26"/>
      <c r="AJ453" s="26"/>
      <c r="AK453" s="26"/>
      <c r="AL453" s="26"/>
      <c r="AM453" s="26"/>
      <c r="AN453" s="26"/>
      <c r="AO453" s="26"/>
      <c r="AP453" s="26"/>
      <c r="AQ453" s="26"/>
      <c r="AR453" s="26"/>
      <c r="AS453" s="26"/>
      <c r="AT453" s="26"/>
      <c r="AU453" s="26"/>
      <c r="AV453" s="26"/>
      <c r="AW453" s="26"/>
      <c r="AX453" s="26"/>
      <c r="AY453" s="26"/>
      <c r="AZ453" s="26"/>
      <c r="BA453" s="26"/>
      <c r="BB453" s="26"/>
      <c r="BC453" s="26"/>
      <c r="BD453" s="26"/>
      <c r="BE453" s="26"/>
      <c r="BF453" s="26"/>
      <c r="BG453" s="26"/>
      <c r="BH453" s="26"/>
      <c r="BI453" s="26"/>
      <c r="BJ453" s="26"/>
      <c r="BK453" s="26"/>
      <c r="BL453" s="26"/>
      <c r="BM453" s="26"/>
      <c r="BN453" s="26"/>
      <c r="BO453" s="26"/>
      <c r="BP453" s="26"/>
      <c r="BQ453" s="26"/>
      <c r="BR453" s="26"/>
      <c r="BS453" s="26"/>
      <c r="BT453" s="26"/>
      <c r="BU453" s="26"/>
      <c r="BV453" s="26"/>
      <c r="BW453" s="26"/>
      <c r="BX453" s="26"/>
      <c r="BY453" s="26"/>
      <c r="BZ453" s="26"/>
      <c r="CA453" s="26"/>
      <c r="CB453" s="26"/>
      <c r="CC453" s="26"/>
      <c r="CD453" s="26"/>
      <c r="CE453" s="26"/>
      <c r="CF453" s="26"/>
      <c r="CG453" s="26"/>
      <c r="CH453" s="26"/>
      <c r="CI453" s="26"/>
      <c r="CJ453" s="26"/>
      <c r="CK453" s="26"/>
      <c r="CL453" s="26"/>
      <c r="CM453" s="26"/>
      <c r="CN453" s="26"/>
      <c r="CO453" s="26"/>
      <c r="CP453" s="26"/>
      <c r="CQ453" s="26"/>
      <c r="CR453" s="26"/>
      <c r="CS453" s="26"/>
      <c r="CT453" s="26"/>
      <c r="CU453" s="26"/>
      <c r="CV453" s="26"/>
      <c r="CW453" s="26"/>
      <c r="CX453" s="26"/>
      <c r="CY453" s="26"/>
      <c r="CZ453" s="26"/>
    </row>
    <row r="454" spans="1:104" x14ac:dyDescent="0.2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6"/>
      <c r="AB454" s="26"/>
      <c r="AC454" s="26"/>
      <c r="AD454" s="26"/>
      <c r="AE454" s="26"/>
      <c r="AF454" s="26"/>
      <c r="AG454" s="26"/>
      <c r="AH454" s="26"/>
      <c r="AI454" s="26"/>
      <c r="AJ454" s="26"/>
      <c r="AK454" s="26"/>
      <c r="AL454" s="26"/>
      <c r="AM454" s="26"/>
      <c r="AN454" s="26"/>
      <c r="AO454" s="26"/>
      <c r="AP454" s="26"/>
      <c r="AQ454" s="26"/>
      <c r="AR454" s="26"/>
      <c r="AS454" s="26"/>
      <c r="AT454" s="26"/>
      <c r="AU454" s="26"/>
      <c r="AV454" s="26"/>
      <c r="AW454" s="26"/>
      <c r="AX454" s="26"/>
      <c r="AY454" s="26"/>
      <c r="AZ454" s="26"/>
      <c r="BA454" s="26"/>
      <c r="BB454" s="26"/>
      <c r="BC454" s="26"/>
      <c r="BD454" s="26"/>
      <c r="BE454" s="26"/>
      <c r="BF454" s="26"/>
      <c r="BG454" s="26"/>
      <c r="BH454" s="26"/>
      <c r="BI454" s="26"/>
      <c r="BJ454" s="26"/>
      <c r="BK454" s="26"/>
      <c r="BL454" s="26"/>
      <c r="BM454" s="26"/>
      <c r="BN454" s="26"/>
      <c r="BO454" s="26"/>
      <c r="BP454" s="26"/>
      <c r="BQ454" s="26"/>
      <c r="BR454" s="26"/>
      <c r="BS454" s="26"/>
      <c r="BT454" s="26"/>
      <c r="BU454" s="26"/>
      <c r="BV454" s="26"/>
      <c r="BW454" s="26"/>
      <c r="BX454" s="26"/>
      <c r="BY454" s="26"/>
      <c r="BZ454" s="26"/>
      <c r="CA454" s="26"/>
      <c r="CB454" s="26"/>
      <c r="CC454" s="26"/>
      <c r="CD454" s="26"/>
      <c r="CE454" s="26"/>
      <c r="CF454" s="26"/>
      <c r="CG454" s="26"/>
      <c r="CH454" s="26"/>
      <c r="CI454" s="26"/>
      <c r="CJ454" s="26"/>
      <c r="CK454" s="26"/>
      <c r="CL454" s="26"/>
      <c r="CM454" s="26"/>
      <c r="CN454" s="26"/>
      <c r="CO454" s="26"/>
      <c r="CP454" s="26"/>
      <c r="CQ454" s="26"/>
      <c r="CR454" s="26"/>
      <c r="CS454" s="26"/>
      <c r="CT454" s="26"/>
      <c r="CU454" s="26"/>
      <c r="CV454" s="26"/>
      <c r="CW454" s="26"/>
      <c r="CX454" s="26"/>
      <c r="CY454" s="26"/>
      <c r="CZ454" s="26"/>
    </row>
    <row r="455" spans="1:104" x14ac:dyDescent="0.2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6"/>
      <c r="AB455" s="26"/>
      <c r="AC455" s="26"/>
      <c r="AD455" s="26"/>
      <c r="AE455" s="26"/>
      <c r="AF455" s="26"/>
      <c r="AG455" s="26"/>
      <c r="AH455" s="26"/>
      <c r="AI455" s="26"/>
      <c r="AJ455" s="26"/>
      <c r="AK455" s="26"/>
      <c r="AL455" s="26"/>
      <c r="AM455" s="26"/>
      <c r="AN455" s="26"/>
      <c r="AO455" s="26"/>
      <c r="AP455" s="26"/>
      <c r="AQ455" s="26"/>
      <c r="AR455" s="26"/>
      <c r="AS455" s="26"/>
      <c r="AT455" s="26"/>
      <c r="AU455" s="26"/>
      <c r="AV455" s="26"/>
      <c r="AW455" s="26"/>
      <c r="AX455" s="26"/>
      <c r="AY455" s="26"/>
      <c r="AZ455" s="26"/>
      <c r="BA455" s="26"/>
      <c r="BB455" s="26"/>
      <c r="BC455" s="26"/>
      <c r="BD455" s="26"/>
      <c r="BE455" s="26"/>
      <c r="BF455" s="26"/>
      <c r="BG455" s="26"/>
      <c r="BH455" s="26"/>
      <c r="BI455" s="26"/>
      <c r="BJ455" s="26"/>
      <c r="BK455" s="26"/>
      <c r="BL455" s="26"/>
      <c r="BM455" s="26"/>
      <c r="BN455" s="26"/>
      <c r="BO455" s="26"/>
      <c r="BP455" s="26"/>
      <c r="BQ455" s="26"/>
      <c r="BR455" s="26"/>
      <c r="BS455" s="26"/>
      <c r="BT455" s="26"/>
      <c r="BU455" s="26"/>
      <c r="BV455" s="26"/>
      <c r="BW455" s="26"/>
      <c r="BX455" s="26"/>
      <c r="BY455" s="26"/>
      <c r="BZ455" s="26"/>
      <c r="CA455" s="26"/>
      <c r="CB455" s="26"/>
      <c r="CC455" s="26"/>
      <c r="CD455" s="26"/>
      <c r="CE455" s="26"/>
      <c r="CF455" s="26"/>
      <c r="CG455" s="26"/>
      <c r="CH455" s="26"/>
      <c r="CI455" s="26"/>
      <c r="CJ455" s="26"/>
      <c r="CK455" s="26"/>
      <c r="CL455" s="26"/>
      <c r="CM455" s="26"/>
      <c r="CN455" s="26"/>
      <c r="CO455" s="26"/>
      <c r="CP455" s="26"/>
      <c r="CQ455" s="26"/>
      <c r="CR455" s="26"/>
      <c r="CS455" s="26"/>
      <c r="CT455" s="26"/>
      <c r="CU455" s="26"/>
      <c r="CV455" s="26"/>
      <c r="CW455" s="26"/>
      <c r="CX455" s="26"/>
      <c r="CY455" s="26"/>
      <c r="CZ455" s="26"/>
    </row>
    <row r="456" spans="1:104" x14ac:dyDescent="0.2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6"/>
      <c r="AB456" s="26"/>
      <c r="AC456" s="26"/>
      <c r="AD456" s="26"/>
      <c r="AE456" s="26"/>
      <c r="AF456" s="26"/>
      <c r="AG456" s="26"/>
      <c r="AH456" s="26"/>
      <c r="AI456" s="26"/>
      <c r="AJ456" s="26"/>
      <c r="AK456" s="26"/>
      <c r="AL456" s="26"/>
      <c r="AM456" s="26"/>
      <c r="AN456" s="26"/>
      <c r="AO456" s="26"/>
      <c r="AP456" s="26"/>
      <c r="AQ456" s="26"/>
      <c r="AR456" s="26"/>
      <c r="AS456" s="26"/>
      <c r="AT456" s="26"/>
      <c r="AU456" s="26"/>
      <c r="AV456" s="26"/>
      <c r="AW456" s="26"/>
      <c r="AX456" s="26"/>
      <c r="AY456" s="26"/>
      <c r="AZ456" s="26"/>
      <c r="BA456" s="26"/>
      <c r="BB456" s="26"/>
      <c r="BC456" s="26"/>
      <c r="BD456" s="26"/>
      <c r="BE456" s="26"/>
      <c r="BF456" s="26"/>
      <c r="BG456" s="26"/>
      <c r="BH456" s="26"/>
      <c r="BI456" s="26"/>
      <c r="BJ456" s="26"/>
      <c r="BK456" s="26"/>
      <c r="BL456" s="26"/>
      <c r="BM456" s="26"/>
      <c r="BN456" s="26"/>
      <c r="BO456" s="26"/>
      <c r="BP456" s="26"/>
      <c r="BQ456" s="26"/>
      <c r="BR456" s="26"/>
      <c r="BS456" s="26"/>
      <c r="BT456" s="26"/>
      <c r="BU456" s="26"/>
      <c r="BV456" s="26"/>
      <c r="BW456" s="26"/>
      <c r="BX456" s="26"/>
      <c r="BY456" s="26"/>
      <c r="BZ456" s="26"/>
      <c r="CA456" s="26"/>
      <c r="CB456" s="26"/>
      <c r="CC456" s="26"/>
      <c r="CD456" s="26"/>
      <c r="CE456" s="26"/>
      <c r="CF456" s="26"/>
      <c r="CG456" s="26"/>
      <c r="CH456" s="26"/>
      <c r="CI456" s="26"/>
      <c r="CJ456" s="26"/>
      <c r="CK456" s="26"/>
      <c r="CL456" s="26"/>
      <c r="CM456" s="26"/>
      <c r="CN456" s="26"/>
      <c r="CO456" s="26"/>
      <c r="CP456" s="26"/>
      <c r="CQ456" s="26"/>
      <c r="CR456" s="26"/>
      <c r="CS456" s="26"/>
      <c r="CT456" s="26"/>
      <c r="CU456" s="26"/>
      <c r="CV456" s="26"/>
      <c r="CW456" s="26"/>
      <c r="CX456" s="26"/>
      <c r="CY456" s="26"/>
      <c r="CZ456" s="26"/>
    </row>
    <row r="457" spans="1:104" x14ac:dyDescent="0.2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6"/>
      <c r="AB457" s="26"/>
      <c r="AC457" s="26"/>
      <c r="AD457" s="26"/>
      <c r="AE457" s="26"/>
      <c r="AF457" s="26"/>
      <c r="AG457" s="26"/>
      <c r="AH457" s="26"/>
      <c r="AI457" s="26"/>
      <c r="AJ457" s="26"/>
      <c r="AK457" s="26"/>
      <c r="AL457" s="26"/>
      <c r="AM457" s="26"/>
      <c r="AN457" s="26"/>
      <c r="AO457" s="26"/>
      <c r="AP457" s="26"/>
      <c r="AQ457" s="26"/>
      <c r="AR457" s="26"/>
      <c r="AS457" s="26"/>
      <c r="AT457" s="26"/>
      <c r="AU457" s="26"/>
      <c r="AV457" s="26"/>
      <c r="AW457" s="26"/>
      <c r="AX457" s="26"/>
      <c r="AY457" s="26"/>
      <c r="AZ457" s="26"/>
      <c r="BA457" s="26"/>
      <c r="BB457" s="26"/>
      <c r="BC457" s="26"/>
      <c r="BD457" s="26"/>
      <c r="BE457" s="26"/>
      <c r="BF457" s="26"/>
      <c r="BG457" s="26"/>
      <c r="BH457" s="26"/>
      <c r="BI457" s="26"/>
      <c r="BJ457" s="26"/>
      <c r="BK457" s="26"/>
      <c r="BL457" s="26"/>
      <c r="BM457" s="26"/>
      <c r="BN457" s="26"/>
      <c r="BO457" s="26"/>
      <c r="BP457" s="26"/>
      <c r="BQ457" s="26"/>
      <c r="BR457" s="26"/>
      <c r="BS457" s="26"/>
      <c r="BT457" s="26"/>
      <c r="BU457" s="26"/>
      <c r="BV457" s="26"/>
      <c r="BW457" s="26"/>
      <c r="BX457" s="26"/>
      <c r="BY457" s="26"/>
      <c r="BZ457" s="26"/>
      <c r="CA457" s="26"/>
      <c r="CB457" s="26"/>
      <c r="CC457" s="26"/>
      <c r="CD457" s="26"/>
      <c r="CE457" s="26"/>
      <c r="CF457" s="26"/>
      <c r="CG457" s="26"/>
      <c r="CH457" s="26"/>
      <c r="CI457" s="26"/>
      <c r="CJ457" s="26"/>
      <c r="CK457" s="26"/>
      <c r="CL457" s="26"/>
      <c r="CM457" s="26"/>
      <c r="CN457" s="26"/>
      <c r="CO457" s="26"/>
      <c r="CP457" s="26"/>
      <c r="CQ457" s="26"/>
      <c r="CR457" s="26"/>
      <c r="CS457" s="26"/>
      <c r="CT457" s="26"/>
      <c r="CU457" s="26"/>
      <c r="CV457" s="26"/>
      <c r="CW457" s="26"/>
      <c r="CX457" s="26"/>
      <c r="CY457" s="26"/>
      <c r="CZ457" s="26"/>
    </row>
    <row r="458" spans="1:104" x14ac:dyDescent="0.2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6"/>
      <c r="AB458" s="26"/>
      <c r="AC458" s="26"/>
      <c r="AD458" s="26"/>
      <c r="AE458" s="26"/>
      <c r="AF458" s="26"/>
      <c r="AG458" s="26"/>
      <c r="AH458" s="26"/>
      <c r="AI458" s="26"/>
      <c r="AJ458" s="26"/>
      <c r="AK458" s="26"/>
      <c r="AL458" s="26"/>
      <c r="AM458" s="26"/>
      <c r="AN458" s="26"/>
      <c r="AO458" s="26"/>
      <c r="AP458" s="26"/>
      <c r="AQ458" s="26"/>
      <c r="AR458" s="26"/>
      <c r="AS458" s="26"/>
      <c r="AT458" s="26"/>
      <c r="AU458" s="26"/>
      <c r="AV458" s="26"/>
      <c r="AW458" s="26"/>
      <c r="AX458" s="26"/>
      <c r="AY458" s="26"/>
      <c r="AZ458" s="26"/>
      <c r="BA458" s="26"/>
      <c r="BB458" s="26"/>
      <c r="BC458" s="26"/>
      <c r="BD458" s="26"/>
      <c r="BE458" s="26"/>
      <c r="BF458" s="26"/>
      <c r="BG458" s="26"/>
      <c r="BH458" s="26"/>
      <c r="BI458" s="26"/>
      <c r="BJ458" s="26"/>
      <c r="BK458" s="26"/>
      <c r="BL458" s="26"/>
      <c r="BM458" s="26"/>
      <c r="BN458" s="26"/>
      <c r="BO458" s="26"/>
      <c r="BP458" s="26"/>
      <c r="BQ458" s="26"/>
      <c r="BR458" s="26"/>
      <c r="BS458" s="26"/>
      <c r="BT458" s="26"/>
      <c r="BU458" s="26"/>
      <c r="BV458" s="26"/>
      <c r="BW458" s="26"/>
      <c r="BX458" s="26"/>
      <c r="BY458" s="26"/>
      <c r="BZ458" s="26"/>
      <c r="CA458" s="26"/>
      <c r="CB458" s="26"/>
      <c r="CC458" s="26"/>
      <c r="CD458" s="26"/>
      <c r="CE458" s="26"/>
      <c r="CF458" s="26"/>
      <c r="CG458" s="26"/>
      <c r="CH458" s="26"/>
      <c r="CI458" s="26"/>
      <c r="CJ458" s="26"/>
      <c r="CK458" s="26"/>
      <c r="CL458" s="26"/>
      <c r="CM458" s="26"/>
      <c r="CN458" s="26"/>
      <c r="CO458" s="26"/>
      <c r="CP458" s="26"/>
      <c r="CQ458" s="26"/>
      <c r="CR458" s="26"/>
      <c r="CS458" s="26"/>
      <c r="CT458" s="26"/>
      <c r="CU458" s="26"/>
      <c r="CV458" s="26"/>
      <c r="CW458" s="26"/>
      <c r="CX458" s="26"/>
      <c r="CY458" s="26"/>
      <c r="CZ458" s="26"/>
    </row>
    <row r="459" spans="1:104" x14ac:dyDescent="0.2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6"/>
      <c r="AB459" s="26"/>
      <c r="AC459" s="26"/>
      <c r="AD459" s="26"/>
      <c r="AE459" s="26"/>
      <c r="AF459" s="26"/>
      <c r="AG459" s="26"/>
      <c r="AH459" s="26"/>
      <c r="AI459" s="26"/>
      <c r="AJ459" s="26"/>
      <c r="AK459" s="26"/>
      <c r="AL459" s="26"/>
      <c r="AM459" s="26"/>
      <c r="AN459" s="26"/>
      <c r="AO459" s="26"/>
      <c r="AP459" s="26"/>
      <c r="AQ459" s="26"/>
      <c r="AR459" s="26"/>
      <c r="AS459" s="26"/>
      <c r="AT459" s="26"/>
      <c r="AU459" s="26"/>
      <c r="AV459" s="26"/>
      <c r="AW459" s="26"/>
      <c r="AX459" s="26"/>
      <c r="AY459" s="26"/>
      <c r="AZ459" s="26"/>
      <c r="BA459" s="26"/>
      <c r="BB459" s="26"/>
      <c r="BC459" s="26"/>
      <c r="BD459" s="26"/>
      <c r="BE459" s="26"/>
      <c r="BF459" s="26"/>
      <c r="BG459" s="26"/>
      <c r="BH459" s="26"/>
      <c r="BI459" s="26"/>
      <c r="BJ459" s="26"/>
      <c r="BK459" s="26"/>
      <c r="BL459" s="26"/>
      <c r="BM459" s="26"/>
      <c r="BN459" s="26"/>
      <c r="BO459" s="26"/>
      <c r="BP459" s="26"/>
      <c r="BQ459" s="26"/>
      <c r="BR459" s="26"/>
      <c r="BS459" s="26"/>
      <c r="BT459" s="26"/>
      <c r="BU459" s="26"/>
      <c r="BV459" s="26"/>
      <c r="BW459" s="26"/>
      <c r="BX459" s="26"/>
      <c r="BY459" s="26"/>
      <c r="BZ459" s="26"/>
      <c r="CA459" s="26"/>
      <c r="CB459" s="26"/>
      <c r="CC459" s="26"/>
      <c r="CD459" s="26"/>
      <c r="CE459" s="26"/>
      <c r="CF459" s="26"/>
      <c r="CG459" s="26"/>
      <c r="CH459" s="26"/>
      <c r="CI459" s="26"/>
      <c r="CJ459" s="26"/>
      <c r="CK459" s="26"/>
      <c r="CL459" s="26"/>
      <c r="CM459" s="26"/>
      <c r="CN459" s="26"/>
      <c r="CO459" s="26"/>
      <c r="CP459" s="26"/>
      <c r="CQ459" s="26"/>
      <c r="CR459" s="26"/>
      <c r="CS459" s="26"/>
      <c r="CT459" s="26"/>
      <c r="CU459" s="26"/>
      <c r="CV459" s="26"/>
      <c r="CW459" s="26"/>
      <c r="CX459" s="26"/>
      <c r="CY459" s="26"/>
      <c r="CZ459" s="26"/>
    </row>
    <row r="460" spans="1:104" x14ac:dyDescent="0.2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6"/>
      <c r="AB460" s="26"/>
      <c r="AC460" s="26"/>
      <c r="AD460" s="26"/>
      <c r="AE460" s="26"/>
      <c r="AF460" s="26"/>
      <c r="AG460" s="26"/>
      <c r="AH460" s="26"/>
      <c r="AI460" s="26"/>
      <c r="AJ460" s="26"/>
      <c r="AK460" s="26"/>
      <c r="AL460" s="26"/>
      <c r="AM460" s="26"/>
      <c r="AN460" s="26"/>
      <c r="AO460" s="26"/>
      <c r="AP460" s="26"/>
      <c r="AQ460" s="26"/>
      <c r="AR460" s="26"/>
      <c r="AS460" s="26"/>
      <c r="AT460" s="26"/>
      <c r="AU460" s="26"/>
      <c r="AV460" s="26"/>
      <c r="AW460" s="26"/>
      <c r="AX460" s="26"/>
      <c r="AY460" s="26"/>
      <c r="AZ460" s="26"/>
      <c r="BA460" s="26"/>
      <c r="BB460" s="26"/>
      <c r="BC460" s="26"/>
      <c r="BD460" s="26"/>
      <c r="BE460" s="26"/>
      <c r="BF460" s="26"/>
      <c r="BG460" s="26"/>
      <c r="BH460" s="26"/>
      <c r="BI460" s="26"/>
      <c r="BJ460" s="26"/>
      <c r="BK460" s="26"/>
      <c r="BL460" s="26"/>
      <c r="BM460" s="26"/>
      <c r="BN460" s="26"/>
      <c r="BO460" s="26"/>
      <c r="BP460" s="26"/>
      <c r="BQ460" s="26"/>
      <c r="BR460" s="26"/>
      <c r="BS460" s="26"/>
      <c r="BT460" s="26"/>
      <c r="BU460" s="26"/>
      <c r="BV460" s="26"/>
      <c r="BW460" s="26"/>
      <c r="BX460" s="26"/>
      <c r="BY460" s="26"/>
      <c r="BZ460" s="26"/>
      <c r="CA460" s="26"/>
      <c r="CB460" s="26"/>
      <c r="CC460" s="26"/>
      <c r="CD460" s="26"/>
      <c r="CE460" s="26"/>
      <c r="CF460" s="26"/>
      <c r="CG460" s="26"/>
      <c r="CH460" s="26"/>
      <c r="CI460" s="26"/>
      <c r="CJ460" s="26"/>
      <c r="CK460" s="26"/>
      <c r="CL460" s="26"/>
      <c r="CM460" s="26"/>
      <c r="CN460" s="26"/>
      <c r="CO460" s="26"/>
      <c r="CP460" s="26"/>
      <c r="CQ460" s="26"/>
      <c r="CR460" s="26"/>
      <c r="CS460" s="26"/>
      <c r="CT460" s="26"/>
      <c r="CU460" s="26"/>
      <c r="CV460" s="26"/>
      <c r="CW460" s="26"/>
      <c r="CX460" s="26"/>
      <c r="CY460" s="26"/>
      <c r="CZ460" s="26"/>
    </row>
    <row r="461" spans="1:104" x14ac:dyDescent="0.2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6"/>
      <c r="AB461" s="26"/>
      <c r="AC461" s="26"/>
      <c r="AD461" s="26"/>
      <c r="AE461" s="26"/>
      <c r="AF461" s="26"/>
      <c r="AG461" s="26"/>
      <c r="AH461" s="26"/>
      <c r="AI461" s="26"/>
      <c r="AJ461" s="26"/>
      <c r="AK461" s="26"/>
      <c r="AL461" s="26"/>
      <c r="AM461" s="26"/>
      <c r="AN461" s="26"/>
      <c r="AO461" s="26"/>
      <c r="AP461" s="26"/>
      <c r="AQ461" s="26"/>
      <c r="AR461" s="26"/>
      <c r="AS461" s="26"/>
      <c r="AT461" s="26"/>
      <c r="AU461" s="26"/>
      <c r="AV461" s="26"/>
      <c r="AW461" s="26"/>
      <c r="AX461" s="26"/>
      <c r="AY461" s="26"/>
      <c r="AZ461" s="26"/>
      <c r="BA461" s="26"/>
      <c r="BB461" s="26"/>
      <c r="BC461" s="26"/>
      <c r="BD461" s="26"/>
      <c r="BE461" s="26"/>
      <c r="BF461" s="26"/>
      <c r="BG461" s="26"/>
      <c r="BH461" s="26"/>
      <c r="BI461" s="26"/>
      <c r="BJ461" s="26"/>
      <c r="BK461" s="26"/>
      <c r="BL461" s="26"/>
      <c r="BM461" s="26"/>
      <c r="BN461" s="26"/>
      <c r="BO461" s="26"/>
      <c r="BP461" s="26"/>
      <c r="BQ461" s="26"/>
      <c r="BR461" s="26"/>
      <c r="BS461" s="26"/>
      <c r="BT461" s="26"/>
      <c r="BU461" s="26"/>
      <c r="BV461" s="26"/>
      <c r="BW461" s="26"/>
      <c r="BX461" s="26"/>
      <c r="BY461" s="26"/>
      <c r="BZ461" s="26"/>
      <c r="CA461" s="26"/>
      <c r="CB461" s="26"/>
      <c r="CC461" s="26"/>
      <c r="CD461" s="26"/>
      <c r="CE461" s="26"/>
      <c r="CF461" s="26"/>
      <c r="CG461" s="26"/>
      <c r="CH461" s="26"/>
      <c r="CI461" s="26"/>
      <c r="CJ461" s="26"/>
      <c r="CK461" s="26"/>
      <c r="CL461" s="26"/>
      <c r="CM461" s="26"/>
      <c r="CN461" s="26"/>
      <c r="CO461" s="26"/>
      <c r="CP461" s="26"/>
      <c r="CQ461" s="26"/>
      <c r="CR461" s="26"/>
      <c r="CS461" s="26"/>
      <c r="CT461" s="26"/>
      <c r="CU461" s="26"/>
      <c r="CV461" s="26"/>
      <c r="CW461" s="26"/>
      <c r="CX461" s="26"/>
      <c r="CY461" s="26"/>
      <c r="CZ461" s="26"/>
    </row>
    <row r="462" spans="1:104" x14ac:dyDescent="0.2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6"/>
      <c r="AB462" s="26"/>
      <c r="AC462" s="26"/>
      <c r="AD462" s="26"/>
      <c r="AE462" s="26"/>
      <c r="AF462" s="26"/>
      <c r="AG462" s="26"/>
      <c r="AH462" s="26"/>
      <c r="AI462" s="26"/>
      <c r="AJ462" s="26"/>
      <c r="AK462" s="26"/>
      <c r="AL462" s="26"/>
      <c r="AM462" s="26"/>
      <c r="AN462" s="26"/>
      <c r="AO462" s="26"/>
      <c r="AP462" s="26"/>
      <c r="AQ462" s="26"/>
      <c r="AR462" s="26"/>
      <c r="AS462" s="26"/>
      <c r="AT462" s="26"/>
      <c r="AU462" s="26"/>
      <c r="AV462" s="26"/>
      <c r="AW462" s="26"/>
      <c r="AX462" s="26"/>
      <c r="AY462" s="26"/>
      <c r="AZ462" s="26"/>
      <c r="BA462" s="26"/>
      <c r="BB462" s="26"/>
      <c r="BC462" s="26"/>
      <c r="BD462" s="26"/>
      <c r="BE462" s="26"/>
      <c r="BF462" s="26"/>
      <c r="BG462" s="26"/>
      <c r="BH462" s="26"/>
      <c r="BI462" s="26"/>
      <c r="BJ462" s="26"/>
      <c r="BK462" s="26"/>
      <c r="BL462" s="26"/>
      <c r="BM462" s="26"/>
      <c r="BN462" s="26"/>
      <c r="BO462" s="26"/>
      <c r="BP462" s="26"/>
      <c r="BQ462" s="26"/>
      <c r="BR462" s="26"/>
      <c r="BS462" s="26"/>
      <c r="BT462" s="26"/>
      <c r="BU462" s="26"/>
      <c r="BV462" s="26"/>
      <c r="BW462" s="26"/>
      <c r="BX462" s="26"/>
      <c r="BY462" s="26"/>
      <c r="BZ462" s="26"/>
      <c r="CA462" s="26"/>
      <c r="CB462" s="26"/>
      <c r="CC462" s="26"/>
      <c r="CD462" s="26"/>
      <c r="CE462" s="26"/>
      <c r="CF462" s="26"/>
      <c r="CG462" s="26"/>
      <c r="CH462" s="26"/>
      <c r="CI462" s="26"/>
      <c r="CJ462" s="26"/>
      <c r="CK462" s="26"/>
      <c r="CL462" s="26"/>
      <c r="CM462" s="26"/>
      <c r="CN462" s="26"/>
      <c r="CO462" s="26"/>
      <c r="CP462" s="26"/>
      <c r="CQ462" s="26"/>
      <c r="CR462" s="26"/>
      <c r="CS462" s="26"/>
      <c r="CT462" s="26"/>
      <c r="CU462" s="26"/>
      <c r="CV462" s="26"/>
      <c r="CW462" s="26"/>
      <c r="CX462" s="26"/>
      <c r="CY462" s="26"/>
      <c r="CZ462" s="26"/>
    </row>
    <row r="463" spans="1:104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  <c r="CG463" s="1"/>
      <c r="CH463" s="1"/>
      <c r="CI463" s="1"/>
      <c r="CJ463" s="1"/>
      <c r="CK463" s="1"/>
      <c r="CL463" s="1"/>
      <c r="CM463" s="1"/>
      <c r="CN463" s="1"/>
      <c r="CO463" s="1"/>
      <c r="CP463" s="1"/>
      <c r="CQ463" s="1"/>
      <c r="CR463" s="1"/>
      <c r="CS463" s="1"/>
      <c r="CT463" s="1"/>
      <c r="CU463" s="1"/>
      <c r="CV463" s="1"/>
      <c r="CW463" s="1"/>
      <c r="CX463" s="1"/>
      <c r="CY463" s="1"/>
      <c r="CZ463" s="1"/>
    </row>
    <row r="464" spans="1:104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  <c r="CG464" s="1"/>
      <c r="CH464" s="1"/>
      <c r="CI464" s="1"/>
      <c r="CJ464" s="1"/>
      <c r="CK464" s="1"/>
      <c r="CL464" s="1"/>
      <c r="CM464" s="1"/>
      <c r="CN464" s="1"/>
      <c r="CO464" s="1"/>
      <c r="CP464" s="1"/>
      <c r="CQ464" s="1"/>
      <c r="CR464" s="1"/>
      <c r="CS464" s="1"/>
      <c r="CT464" s="1"/>
      <c r="CU464" s="1"/>
      <c r="CV464" s="1"/>
      <c r="CW464" s="1"/>
      <c r="CX464" s="1"/>
      <c r="CY464" s="1"/>
      <c r="CZ464" s="1"/>
    </row>
    <row r="465" spans="1:104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  <c r="CG465" s="1"/>
      <c r="CH465" s="1"/>
      <c r="CI465" s="1"/>
      <c r="CJ465" s="1"/>
      <c r="CK465" s="1"/>
      <c r="CL465" s="1"/>
      <c r="CM465" s="1"/>
      <c r="CN465" s="1"/>
      <c r="CO465" s="1"/>
      <c r="CP465" s="1"/>
      <c r="CQ465" s="1"/>
      <c r="CR465" s="1"/>
      <c r="CS465" s="1"/>
      <c r="CT465" s="1"/>
      <c r="CU465" s="1"/>
      <c r="CV465" s="1"/>
      <c r="CW465" s="1"/>
      <c r="CX465" s="1"/>
      <c r="CY465" s="1"/>
      <c r="CZ465" s="1"/>
    </row>
    <row r="466" spans="1:104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  <c r="CG466" s="1"/>
      <c r="CH466" s="1"/>
      <c r="CI466" s="1"/>
      <c r="CJ466" s="1"/>
      <c r="CK466" s="1"/>
      <c r="CL466" s="1"/>
      <c r="CM466" s="1"/>
      <c r="CN466" s="1"/>
      <c r="CO466" s="1"/>
      <c r="CP466" s="1"/>
      <c r="CQ466" s="1"/>
      <c r="CR466" s="1"/>
      <c r="CS466" s="1"/>
      <c r="CT466" s="1"/>
      <c r="CU466" s="1"/>
      <c r="CV466" s="1"/>
      <c r="CW466" s="1"/>
      <c r="CX466" s="1"/>
      <c r="CY466" s="1"/>
      <c r="CZ466" s="1"/>
    </row>
    <row r="467" spans="1:104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  <c r="CG467" s="1"/>
      <c r="CH467" s="1"/>
      <c r="CI467" s="1"/>
      <c r="CJ467" s="1"/>
      <c r="CK467" s="1"/>
      <c r="CL467" s="1"/>
      <c r="CM467" s="1"/>
      <c r="CN467" s="1"/>
      <c r="CO467" s="1"/>
      <c r="CP467" s="1"/>
      <c r="CQ467" s="1"/>
      <c r="CR467" s="1"/>
      <c r="CS467" s="1"/>
      <c r="CT467" s="1"/>
      <c r="CU467" s="1"/>
      <c r="CV467" s="1"/>
      <c r="CW467" s="1"/>
      <c r="CX467" s="1"/>
      <c r="CY467" s="1"/>
      <c r="CZ467" s="1"/>
    </row>
    <row r="468" spans="1:104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  <c r="CG468" s="1"/>
      <c r="CH468" s="1"/>
      <c r="CI468" s="1"/>
      <c r="CJ468" s="1"/>
      <c r="CK468" s="1"/>
      <c r="CL468" s="1"/>
      <c r="CM468" s="1"/>
      <c r="CN468" s="1"/>
      <c r="CO468" s="1"/>
      <c r="CP468" s="1"/>
      <c r="CQ468" s="1"/>
      <c r="CR468" s="1"/>
      <c r="CS468" s="1"/>
      <c r="CT468" s="1"/>
      <c r="CU468" s="1"/>
      <c r="CV468" s="1"/>
      <c r="CW468" s="1"/>
      <c r="CX468" s="1"/>
      <c r="CY468" s="1"/>
      <c r="CZ468" s="1"/>
    </row>
    <row r="469" spans="1:104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  <c r="CG469" s="1"/>
      <c r="CH469" s="1"/>
      <c r="CI469" s="1"/>
      <c r="CJ469" s="1"/>
      <c r="CK469" s="1"/>
      <c r="CL469" s="1"/>
      <c r="CM469" s="1"/>
      <c r="CN469" s="1"/>
      <c r="CO469" s="1"/>
      <c r="CP469" s="1"/>
      <c r="CQ469" s="1"/>
      <c r="CR469" s="1"/>
      <c r="CS469" s="1"/>
      <c r="CT469" s="1"/>
      <c r="CU469" s="1"/>
      <c r="CV469" s="1"/>
      <c r="CW469" s="1"/>
      <c r="CX469" s="1"/>
      <c r="CY469" s="1"/>
      <c r="CZ469" s="1"/>
    </row>
    <row r="470" spans="1:104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  <c r="CG470" s="1"/>
      <c r="CH470" s="1"/>
      <c r="CI470" s="1"/>
      <c r="CJ470" s="1"/>
      <c r="CK470" s="1"/>
      <c r="CL470" s="1"/>
      <c r="CM470" s="1"/>
      <c r="CN470" s="1"/>
      <c r="CO470" s="1"/>
      <c r="CP470" s="1"/>
      <c r="CQ470" s="1"/>
      <c r="CR470" s="1"/>
      <c r="CS470" s="1"/>
      <c r="CT470" s="1"/>
      <c r="CU470" s="1"/>
      <c r="CV470" s="1"/>
      <c r="CW470" s="1"/>
      <c r="CX470" s="1"/>
      <c r="CY470" s="1"/>
      <c r="CZ470" s="1"/>
    </row>
    <row r="471" spans="1:104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  <c r="CG471" s="1"/>
      <c r="CH471" s="1"/>
      <c r="CI471" s="1"/>
      <c r="CJ471" s="1"/>
      <c r="CK471" s="1"/>
      <c r="CL471" s="1"/>
      <c r="CM471" s="1"/>
      <c r="CN471" s="1"/>
      <c r="CO471" s="1"/>
      <c r="CP471" s="1"/>
      <c r="CQ471" s="1"/>
      <c r="CR471" s="1"/>
      <c r="CS471" s="1"/>
      <c r="CT471" s="1"/>
      <c r="CU471" s="1"/>
      <c r="CV471" s="1"/>
      <c r="CW471" s="1"/>
      <c r="CX471" s="1"/>
      <c r="CY471" s="1"/>
      <c r="CZ471" s="1"/>
    </row>
    <row r="472" spans="1:104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  <c r="CG472" s="1"/>
      <c r="CH472" s="1"/>
      <c r="CI472" s="1"/>
      <c r="CJ472" s="1"/>
      <c r="CK472" s="1"/>
      <c r="CL472" s="1"/>
      <c r="CM472" s="1"/>
      <c r="CN472" s="1"/>
      <c r="CO472" s="1"/>
      <c r="CP472" s="1"/>
      <c r="CQ472" s="1"/>
      <c r="CR472" s="1"/>
      <c r="CS472" s="1"/>
      <c r="CT472" s="1"/>
      <c r="CU472" s="1"/>
      <c r="CV472" s="1"/>
      <c r="CW472" s="1"/>
      <c r="CX472" s="1"/>
      <c r="CY472" s="1"/>
      <c r="CZ472" s="1"/>
    </row>
    <row r="473" spans="1:104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  <c r="CG473" s="1"/>
      <c r="CH473" s="1"/>
      <c r="CI473" s="1"/>
      <c r="CJ473" s="1"/>
      <c r="CK473" s="1"/>
      <c r="CL473" s="1"/>
      <c r="CM473" s="1"/>
      <c r="CN473" s="1"/>
      <c r="CO473" s="1"/>
      <c r="CP473" s="1"/>
      <c r="CQ473" s="1"/>
      <c r="CR473" s="1"/>
      <c r="CS473" s="1"/>
      <c r="CT473" s="1"/>
      <c r="CU473" s="1"/>
      <c r="CV473" s="1"/>
      <c r="CW473" s="1"/>
      <c r="CX473" s="1"/>
      <c r="CY473" s="1"/>
      <c r="CZ473" s="1"/>
    </row>
    <row r="474" spans="1:104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  <c r="CG474" s="1"/>
      <c r="CH474" s="1"/>
      <c r="CI474" s="1"/>
      <c r="CJ474" s="1"/>
      <c r="CK474" s="1"/>
      <c r="CL474" s="1"/>
      <c r="CM474" s="1"/>
      <c r="CN474" s="1"/>
      <c r="CO474" s="1"/>
      <c r="CP474" s="1"/>
      <c r="CQ474" s="1"/>
      <c r="CR474" s="1"/>
      <c r="CS474" s="1"/>
      <c r="CT474" s="1"/>
      <c r="CU474" s="1"/>
      <c r="CV474" s="1"/>
      <c r="CW474" s="1"/>
      <c r="CX474" s="1"/>
      <c r="CY474" s="1"/>
      <c r="CZ474" s="1"/>
    </row>
    <row r="475" spans="1:104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  <c r="CG475" s="1"/>
      <c r="CH475" s="1"/>
      <c r="CI475" s="1"/>
      <c r="CJ475" s="1"/>
      <c r="CK475" s="1"/>
      <c r="CL475" s="1"/>
      <c r="CM475" s="1"/>
      <c r="CN475" s="1"/>
      <c r="CO475" s="1"/>
      <c r="CP475" s="1"/>
      <c r="CQ475" s="1"/>
      <c r="CR475" s="1"/>
      <c r="CS475" s="1"/>
      <c r="CT475" s="1"/>
      <c r="CU475" s="1"/>
      <c r="CV475" s="1"/>
      <c r="CW475" s="1"/>
      <c r="CX475" s="1"/>
      <c r="CY475" s="1"/>
      <c r="CZ475" s="1"/>
    </row>
    <row r="476" spans="1:104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  <c r="CG476" s="1"/>
      <c r="CH476" s="1"/>
      <c r="CI476" s="1"/>
      <c r="CJ476" s="1"/>
      <c r="CK476" s="1"/>
      <c r="CL476" s="1"/>
      <c r="CM476" s="1"/>
      <c r="CN476" s="1"/>
      <c r="CO476" s="1"/>
      <c r="CP476" s="1"/>
      <c r="CQ476" s="1"/>
      <c r="CR476" s="1"/>
      <c r="CS476" s="1"/>
      <c r="CT476" s="1"/>
      <c r="CU476" s="1"/>
      <c r="CV476" s="1"/>
      <c r="CW476" s="1"/>
      <c r="CX476" s="1"/>
      <c r="CY476" s="1"/>
      <c r="CZ476" s="1"/>
    </row>
    <row r="477" spans="1:104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  <c r="CG477" s="1"/>
      <c r="CH477" s="1"/>
      <c r="CI477" s="1"/>
      <c r="CJ477" s="1"/>
      <c r="CK477" s="1"/>
      <c r="CL477" s="1"/>
      <c r="CM477" s="1"/>
      <c r="CN477" s="1"/>
      <c r="CO477" s="1"/>
      <c r="CP477" s="1"/>
      <c r="CQ477" s="1"/>
      <c r="CR477" s="1"/>
      <c r="CS477" s="1"/>
      <c r="CT477" s="1"/>
      <c r="CU477" s="1"/>
      <c r="CV477" s="1"/>
      <c r="CW477" s="1"/>
      <c r="CX477" s="1"/>
      <c r="CY477" s="1"/>
      <c r="CZ477" s="1"/>
    </row>
    <row r="478" spans="1:104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  <c r="CG478" s="1"/>
      <c r="CH478" s="1"/>
      <c r="CI478" s="1"/>
      <c r="CJ478" s="1"/>
      <c r="CK478" s="1"/>
      <c r="CL478" s="1"/>
      <c r="CM478" s="1"/>
      <c r="CN478" s="1"/>
      <c r="CO478" s="1"/>
      <c r="CP478" s="1"/>
      <c r="CQ478" s="1"/>
      <c r="CR478" s="1"/>
      <c r="CS478" s="1"/>
      <c r="CT478" s="1"/>
      <c r="CU478" s="1"/>
      <c r="CV478" s="1"/>
      <c r="CW478" s="1"/>
      <c r="CX478" s="1"/>
      <c r="CY478" s="1"/>
      <c r="CZ478" s="1"/>
    </row>
    <row r="479" spans="1:104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  <c r="CG479" s="1"/>
      <c r="CH479" s="1"/>
      <c r="CI479" s="1"/>
      <c r="CJ479" s="1"/>
      <c r="CK479" s="1"/>
      <c r="CL479" s="1"/>
      <c r="CM479" s="1"/>
      <c r="CN479" s="1"/>
      <c r="CO479" s="1"/>
      <c r="CP479" s="1"/>
      <c r="CQ479" s="1"/>
      <c r="CR479" s="1"/>
      <c r="CS479" s="1"/>
      <c r="CT479" s="1"/>
      <c r="CU479" s="1"/>
      <c r="CV479" s="1"/>
      <c r="CW479" s="1"/>
      <c r="CX479" s="1"/>
      <c r="CY479" s="1"/>
      <c r="CZ479" s="1"/>
    </row>
    <row r="480" spans="1:104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  <c r="CG480" s="1"/>
      <c r="CH480" s="1"/>
      <c r="CI480" s="1"/>
      <c r="CJ480" s="1"/>
      <c r="CK480" s="1"/>
      <c r="CL480" s="1"/>
      <c r="CM480" s="1"/>
      <c r="CN480" s="1"/>
      <c r="CO480" s="1"/>
      <c r="CP480" s="1"/>
      <c r="CQ480" s="1"/>
      <c r="CR480" s="1"/>
      <c r="CS480" s="1"/>
      <c r="CT480" s="1"/>
      <c r="CU480" s="1"/>
      <c r="CV480" s="1"/>
      <c r="CW480" s="1"/>
      <c r="CX480" s="1"/>
      <c r="CY480" s="1"/>
      <c r="CZ480" s="1"/>
    </row>
    <row r="481" spans="1:104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  <c r="CG481" s="1"/>
      <c r="CH481" s="1"/>
      <c r="CI481" s="1"/>
      <c r="CJ481" s="1"/>
      <c r="CK481" s="1"/>
      <c r="CL481" s="1"/>
      <c r="CM481" s="1"/>
      <c r="CN481" s="1"/>
      <c r="CO481" s="1"/>
      <c r="CP481" s="1"/>
      <c r="CQ481" s="1"/>
      <c r="CR481" s="1"/>
      <c r="CS481" s="1"/>
      <c r="CT481" s="1"/>
      <c r="CU481" s="1"/>
      <c r="CV481" s="1"/>
      <c r="CW481" s="1"/>
      <c r="CX481" s="1"/>
      <c r="CY481" s="1"/>
      <c r="CZ481" s="1"/>
    </row>
    <row r="482" spans="1:104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  <c r="CG482" s="1"/>
      <c r="CH482" s="1"/>
      <c r="CI482" s="1"/>
      <c r="CJ482" s="1"/>
      <c r="CK482" s="1"/>
      <c r="CL482" s="1"/>
      <c r="CM482" s="1"/>
      <c r="CN482" s="1"/>
      <c r="CO482" s="1"/>
      <c r="CP482" s="1"/>
      <c r="CQ482" s="1"/>
      <c r="CR482" s="1"/>
      <c r="CS482" s="1"/>
      <c r="CT482" s="1"/>
      <c r="CU482" s="1"/>
      <c r="CV482" s="1"/>
      <c r="CW482" s="1"/>
      <c r="CX482" s="1"/>
      <c r="CY482" s="1"/>
      <c r="CZ482" s="1"/>
    </row>
    <row r="483" spans="1:104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  <c r="CG483" s="1"/>
      <c r="CH483" s="1"/>
      <c r="CI483" s="1"/>
      <c r="CJ483" s="1"/>
      <c r="CK483" s="1"/>
      <c r="CL483" s="1"/>
      <c r="CM483" s="1"/>
      <c r="CN483" s="1"/>
      <c r="CO483" s="1"/>
      <c r="CP483" s="1"/>
      <c r="CQ483" s="1"/>
      <c r="CR483" s="1"/>
      <c r="CS483" s="1"/>
      <c r="CT483" s="1"/>
      <c r="CU483" s="1"/>
      <c r="CV483" s="1"/>
      <c r="CW483" s="1"/>
      <c r="CX483" s="1"/>
      <c r="CY483" s="1"/>
      <c r="CZ483" s="1"/>
    </row>
    <row r="484" spans="1:104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  <c r="CG484" s="1"/>
      <c r="CH484" s="1"/>
      <c r="CI484" s="1"/>
      <c r="CJ484" s="1"/>
      <c r="CK484" s="1"/>
      <c r="CL484" s="1"/>
      <c r="CM484" s="1"/>
      <c r="CN484" s="1"/>
      <c r="CO484" s="1"/>
      <c r="CP484" s="1"/>
      <c r="CQ484" s="1"/>
      <c r="CR484" s="1"/>
      <c r="CS484" s="1"/>
      <c r="CT484" s="1"/>
      <c r="CU484" s="1"/>
      <c r="CV484" s="1"/>
      <c r="CW484" s="1"/>
      <c r="CX484" s="1"/>
      <c r="CY484" s="1"/>
      <c r="CZ484" s="1"/>
    </row>
    <row r="485" spans="1:104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  <c r="CG485" s="1"/>
      <c r="CH485" s="1"/>
      <c r="CI485" s="1"/>
      <c r="CJ485" s="1"/>
      <c r="CK485" s="1"/>
      <c r="CL485" s="1"/>
      <c r="CM485" s="1"/>
      <c r="CN485" s="1"/>
      <c r="CO485" s="1"/>
      <c r="CP485" s="1"/>
      <c r="CQ485" s="1"/>
      <c r="CR485" s="1"/>
      <c r="CS485" s="1"/>
      <c r="CT485" s="1"/>
      <c r="CU485" s="1"/>
      <c r="CV485" s="1"/>
      <c r="CW485" s="1"/>
      <c r="CX485" s="1"/>
      <c r="CY485" s="1"/>
      <c r="CZ485" s="1"/>
    </row>
    <row r="486" spans="1:104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  <c r="CG486" s="1"/>
      <c r="CH486" s="1"/>
      <c r="CI486" s="1"/>
      <c r="CJ486" s="1"/>
      <c r="CK486" s="1"/>
      <c r="CL486" s="1"/>
      <c r="CM486" s="1"/>
      <c r="CN486" s="1"/>
      <c r="CO486" s="1"/>
      <c r="CP486" s="1"/>
      <c r="CQ486" s="1"/>
      <c r="CR486" s="1"/>
      <c r="CS486" s="1"/>
      <c r="CT486" s="1"/>
      <c r="CU486" s="1"/>
      <c r="CV486" s="1"/>
      <c r="CW486" s="1"/>
      <c r="CX486" s="1"/>
      <c r="CY486" s="1"/>
      <c r="CZ486" s="1"/>
    </row>
    <row r="487" spans="1:104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  <c r="CG487" s="1"/>
      <c r="CH487" s="1"/>
      <c r="CI487" s="1"/>
      <c r="CJ487" s="1"/>
      <c r="CK487" s="1"/>
      <c r="CL487" s="1"/>
      <c r="CM487" s="1"/>
      <c r="CN487" s="1"/>
      <c r="CO487" s="1"/>
      <c r="CP487" s="1"/>
      <c r="CQ487" s="1"/>
      <c r="CR487" s="1"/>
      <c r="CS487" s="1"/>
      <c r="CT487" s="1"/>
      <c r="CU487" s="1"/>
      <c r="CV487" s="1"/>
      <c r="CW487" s="1"/>
      <c r="CX487" s="1"/>
      <c r="CY487" s="1"/>
      <c r="CZ487" s="1"/>
    </row>
    <row r="488" spans="1:104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  <c r="CG488" s="1"/>
      <c r="CH488" s="1"/>
      <c r="CI488" s="1"/>
      <c r="CJ488" s="1"/>
      <c r="CK488" s="1"/>
      <c r="CL488" s="1"/>
      <c r="CM488" s="1"/>
      <c r="CN488" s="1"/>
      <c r="CO488" s="1"/>
      <c r="CP488" s="1"/>
      <c r="CQ488" s="1"/>
      <c r="CR488" s="1"/>
      <c r="CS488" s="1"/>
      <c r="CT488" s="1"/>
      <c r="CU488" s="1"/>
      <c r="CV488" s="1"/>
      <c r="CW488" s="1"/>
      <c r="CX488" s="1"/>
      <c r="CY488" s="1"/>
      <c r="CZ488" s="1"/>
    </row>
    <row r="489" spans="1:104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  <c r="CG489" s="1"/>
      <c r="CH489" s="1"/>
      <c r="CI489" s="1"/>
      <c r="CJ489" s="1"/>
      <c r="CK489" s="1"/>
      <c r="CL489" s="1"/>
      <c r="CM489" s="1"/>
      <c r="CN489" s="1"/>
      <c r="CO489" s="1"/>
      <c r="CP489" s="1"/>
      <c r="CQ489" s="1"/>
      <c r="CR489" s="1"/>
      <c r="CS489" s="1"/>
      <c r="CT489" s="1"/>
      <c r="CU489" s="1"/>
      <c r="CV489" s="1"/>
      <c r="CW489" s="1"/>
      <c r="CX489" s="1"/>
      <c r="CY489" s="1"/>
      <c r="CZ489" s="1"/>
    </row>
    <row r="490" spans="1:104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  <c r="CG490" s="1"/>
      <c r="CH490" s="1"/>
      <c r="CI490" s="1"/>
      <c r="CJ490" s="1"/>
      <c r="CK490" s="1"/>
      <c r="CL490" s="1"/>
      <c r="CM490" s="1"/>
      <c r="CN490" s="1"/>
      <c r="CO490" s="1"/>
      <c r="CP490" s="1"/>
      <c r="CQ490" s="1"/>
      <c r="CR490" s="1"/>
      <c r="CS490" s="1"/>
      <c r="CT490" s="1"/>
      <c r="CU490" s="1"/>
      <c r="CV490" s="1"/>
      <c r="CW490" s="1"/>
      <c r="CX490" s="1"/>
      <c r="CY490" s="1"/>
      <c r="CZ490" s="1"/>
    </row>
    <row r="491" spans="1:104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  <c r="CG491" s="1"/>
      <c r="CH491" s="1"/>
      <c r="CI491" s="1"/>
      <c r="CJ491" s="1"/>
      <c r="CK491" s="1"/>
      <c r="CL491" s="1"/>
      <c r="CM491" s="1"/>
      <c r="CN491" s="1"/>
      <c r="CO491" s="1"/>
      <c r="CP491" s="1"/>
      <c r="CQ491" s="1"/>
      <c r="CR491" s="1"/>
      <c r="CS491" s="1"/>
      <c r="CT491" s="1"/>
      <c r="CU491" s="1"/>
      <c r="CV491" s="1"/>
      <c r="CW491" s="1"/>
      <c r="CX491" s="1"/>
      <c r="CY491" s="1"/>
      <c r="CZ491" s="1"/>
    </row>
    <row r="492" spans="1:104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  <c r="CG492" s="1"/>
      <c r="CH492" s="1"/>
      <c r="CI492" s="1"/>
      <c r="CJ492" s="1"/>
      <c r="CK492" s="1"/>
      <c r="CL492" s="1"/>
      <c r="CM492" s="1"/>
      <c r="CN492" s="1"/>
      <c r="CO492" s="1"/>
      <c r="CP492" s="1"/>
      <c r="CQ492" s="1"/>
      <c r="CR492" s="1"/>
      <c r="CS492" s="1"/>
      <c r="CT492" s="1"/>
      <c r="CU492" s="1"/>
      <c r="CV492" s="1"/>
      <c r="CW492" s="1"/>
      <c r="CX492" s="1"/>
      <c r="CY492" s="1"/>
      <c r="CZ492" s="1"/>
    </row>
    <row r="493" spans="1:104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  <c r="CG493" s="1"/>
      <c r="CH493" s="1"/>
      <c r="CI493" s="1"/>
      <c r="CJ493" s="1"/>
      <c r="CK493" s="1"/>
      <c r="CL493" s="1"/>
      <c r="CM493" s="1"/>
      <c r="CN493" s="1"/>
      <c r="CO493" s="1"/>
      <c r="CP493" s="1"/>
      <c r="CQ493" s="1"/>
      <c r="CR493" s="1"/>
      <c r="CS493" s="1"/>
      <c r="CT493" s="1"/>
      <c r="CU493" s="1"/>
      <c r="CV493" s="1"/>
      <c r="CW493" s="1"/>
      <c r="CX493" s="1"/>
      <c r="CY493" s="1"/>
      <c r="CZ493" s="1"/>
    </row>
    <row r="494" spans="1:104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  <c r="CG494" s="1"/>
      <c r="CH494" s="1"/>
      <c r="CI494" s="1"/>
      <c r="CJ494" s="1"/>
      <c r="CK494" s="1"/>
      <c r="CL494" s="1"/>
      <c r="CM494" s="1"/>
      <c r="CN494" s="1"/>
      <c r="CO494" s="1"/>
      <c r="CP494" s="1"/>
      <c r="CQ494" s="1"/>
      <c r="CR494" s="1"/>
      <c r="CS494" s="1"/>
      <c r="CT494" s="1"/>
      <c r="CU494" s="1"/>
      <c r="CV494" s="1"/>
      <c r="CW494" s="1"/>
      <c r="CX494" s="1"/>
      <c r="CY494" s="1"/>
      <c r="CZ494" s="1"/>
    </row>
    <row r="495" spans="1:104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  <c r="CG495" s="1"/>
      <c r="CH495" s="1"/>
      <c r="CI495" s="1"/>
      <c r="CJ495" s="1"/>
      <c r="CK495" s="1"/>
      <c r="CL495" s="1"/>
      <c r="CM495" s="1"/>
      <c r="CN495" s="1"/>
      <c r="CO495" s="1"/>
      <c r="CP495" s="1"/>
      <c r="CQ495" s="1"/>
      <c r="CR495" s="1"/>
      <c r="CS495" s="1"/>
      <c r="CT495" s="1"/>
      <c r="CU495" s="1"/>
      <c r="CV495" s="1"/>
      <c r="CW495" s="1"/>
      <c r="CX495" s="1"/>
      <c r="CY495" s="1"/>
      <c r="CZ495" s="1"/>
    </row>
    <row r="496" spans="1:104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  <c r="CG496" s="1"/>
      <c r="CH496" s="1"/>
      <c r="CI496" s="1"/>
      <c r="CJ496" s="1"/>
      <c r="CK496" s="1"/>
      <c r="CL496" s="1"/>
      <c r="CM496" s="1"/>
      <c r="CN496" s="1"/>
      <c r="CO496" s="1"/>
      <c r="CP496" s="1"/>
      <c r="CQ496" s="1"/>
      <c r="CR496" s="1"/>
      <c r="CS496" s="1"/>
      <c r="CT496" s="1"/>
      <c r="CU496" s="1"/>
      <c r="CV496" s="1"/>
      <c r="CW496" s="1"/>
      <c r="CX496" s="1"/>
      <c r="CY496" s="1"/>
      <c r="CZ496" s="1"/>
    </row>
    <row r="497" spans="1:104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  <c r="CG497" s="1"/>
      <c r="CH497" s="1"/>
      <c r="CI497" s="1"/>
      <c r="CJ497" s="1"/>
      <c r="CK497" s="1"/>
      <c r="CL497" s="1"/>
      <c r="CM497" s="1"/>
      <c r="CN497" s="1"/>
      <c r="CO497" s="1"/>
      <c r="CP497" s="1"/>
      <c r="CQ497" s="1"/>
      <c r="CR497" s="1"/>
      <c r="CS497" s="1"/>
      <c r="CT497" s="1"/>
      <c r="CU497" s="1"/>
      <c r="CV497" s="1"/>
      <c r="CW497" s="1"/>
      <c r="CX497" s="1"/>
      <c r="CY497" s="1"/>
      <c r="CZ497" s="1"/>
    </row>
    <row r="498" spans="1:104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  <c r="CG498" s="1"/>
      <c r="CH498" s="1"/>
      <c r="CI498" s="1"/>
      <c r="CJ498" s="1"/>
      <c r="CK498" s="1"/>
      <c r="CL498" s="1"/>
      <c r="CM498" s="1"/>
      <c r="CN498" s="1"/>
      <c r="CO498" s="1"/>
      <c r="CP498" s="1"/>
      <c r="CQ498" s="1"/>
      <c r="CR498" s="1"/>
      <c r="CS498" s="1"/>
      <c r="CT498" s="1"/>
      <c r="CU498" s="1"/>
      <c r="CV498" s="1"/>
      <c r="CW498" s="1"/>
      <c r="CX498" s="1"/>
      <c r="CY498" s="1"/>
      <c r="CZ498" s="1"/>
    </row>
    <row r="499" spans="1:104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  <c r="CG499" s="1"/>
      <c r="CH499" s="1"/>
      <c r="CI499" s="1"/>
      <c r="CJ499" s="1"/>
      <c r="CK499" s="1"/>
      <c r="CL499" s="1"/>
      <c r="CM499" s="1"/>
      <c r="CN499" s="1"/>
      <c r="CO499" s="1"/>
      <c r="CP499" s="1"/>
      <c r="CQ499" s="1"/>
      <c r="CR499" s="1"/>
      <c r="CS499" s="1"/>
      <c r="CT499" s="1"/>
      <c r="CU499" s="1"/>
      <c r="CV499" s="1"/>
      <c r="CW499" s="1"/>
      <c r="CX499" s="1"/>
      <c r="CY499" s="1"/>
      <c r="CZ499" s="1"/>
    </row>
    <row r="500" spans="1:104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  <c r="CG500" s="1"/>
      <c r="CH500" s="1"/>
      <c r="CI500" s="1"/>
      <c r="CJ500" s="1"/>
      <c r="CK500" s="1"/>
      <c r="CL500" s="1"/>
      <c r="CM500" s="1"/>
      <c r="CN500" s="1"/>
      <c r="CO500" s="1"/>
      <c r="CP500" s="1"/>
      <c r="CQ500" s="1"/>
      <c r="CR500" s="1"/>
      <c r="CS500" s="1"/>
      <c r="CT500" s="1"/>
      <c r="CU500" s="1"/>
      <c r="CV500" s="1"/>
      <c r="CW500" s="1"/>
      <c r="CX500" s="1"/>
      <c r="CY500" s="1"/>
      <c r="CZ500" s="1"/>
    </row>
    <row r="501" spans="1:104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  <c r="CC501" s="1"/>
      <c r="CD501" s="1"/>
      <c r="CE501" s="1"/>
      <c r="CF501" s="1"/>
      <c r="CG501" s="1"/>
      <c r="CH501" s="1"/>
      <c r="CI501" s="1"/>
      <c r="CJ501" s="1"/>
      <c r="CK501" s="1"/>
      <c r="CL501" s="1"/>
      <c r="CM501" s="1"/>
      <c r="CN501" s="1"/>
      <c r="CO501" s="1"/>
      <c r="CP501" s="1"/>
      <c r="CQ501" s="1"/>
      <c r="CR501" s="1"/>
      <c r="CS501" s="1"/>
      <c r="CT501" s="1"/>
      <c r="CU501" s="1"/>
      <c r="CV501" s="1"/>
      <c r="CW501" s="1"/>
      <c r="CX501" s="1"/>
      <c r="CY501" s="1"/>
      <c r="CZ501" s="1"/>
    </row>
    <row r="502" spans="1:104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  <c r="CC502" s="1"/>
      <c r="CD502" s="1"/>
      <c r="CE502" s="1"/>
      <c r="CF502" s="1"/>
      <c r="CG502" s="1"/>
      <c r="CH502" s="1"/>
      <c r="CI502" s="1"/>
      <c r="CJ502" s="1"/>
      <c r="CK502" s="1"/>
      <c r="CL502" s="1"/>
      <c r="CM502" s="1"/>
      <c r="CN502" s="1"/>
      <c r="CO502" s="1"/>
      <c r="CP502" s="1"/>
      <c r="CQ502" s="1"/>
      <c r="CR502" s="1"/>
      <c r="CS502" s="1"/>
      <c r="CT502" s="1"/>
      <c r="CU502" s="1"/>
      <c r="CV502" s="1"/>
      <c r="CW502" s="1"/>
      <c r="CX502" s="1"/>
      <c r="CY502" s="1"/>
      <c r="CZ502" s="1"/>
    </row>
    <row r="503" spans="1:104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  <c r="CC503" s="1"/>
      <c r="CD503" s="1"/>
      <c r="CE503" s="1"/>
      <c r="CF503" s="1"/>
      <c r="CG503" s="1"/>
      <c r="CH503" s="1"/>
      <c r="CI503" s="1"/>
      <c r="CJ503" s="1"/>
      <c r="CK503" s="1"/>
      <c r="CL503" s="1"/>
      <c r="CM503" s="1"/>
      <c r="CN503" s="1"/>
      <c r="CO503" s="1"/>
      <c r="CP503" s="1"/>
      <c r="CQ503" s="1"/>
      <c r="CR503" s="1"/>
      <c r="CS503" s="1"/>
      <c r="CT503" s="1"/>
      <c r="CU503" s="1"/>
      <c r="CV503" s="1"/>
      <c r="CW503" s="1"/>
      <c r="CX503" s="1"/>
      <c r="CY503" s="1"/>
      <c r="CZ503" s="1"/>
    </row>
    <row r="504" spans="1:104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  <c r="CC504" s="1"/>
      <c r="CD504" s="1"/>
      <c r="CE504" s="1"/>
      <c r="CF504" s="1"/>
      <c r="CG504" s="1"/>
      <c r="CH504" s="1"/>
      <c r="CI504" s="1"/>
      <c r="CJ504" s="1"/>
      <c r="CK504" s="1"/>
      <c r="CL504" s="1"/>
      <c r="CM504" s="1"/>
      <c r="CN504" s="1"/>
      <c r="CO504" s="1"/>
      <c r="CP504" s="1"/>
      <c r="CQ504" s="1"/>
      <c r="CR504" s="1"/>
      <c r="CS504" s="1"/>
      <c r="CT504" s="1"/>
      <c r="CU504" s="1"/>
      <c r="CV504" s="1"/>
      <c r="CW504" s="1"/>
      <c r="CX504" s="1"/>
      <c r="CY504" s="1"/>
      <c r="CZ504" s="1"/>
    </row>
    <row r="505" spans="1:104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  <c r="CC505" s="1"/>
      <c r="CD505" s="1"/>
      <c r="CE505" s="1"/>
      <c r="CF505" s="1"/>
      <c r="CG505" s="1"/>
      <c r="CH505" s="1"/>
      <c r="CI505" s="1"/>
      <c r="CJ505" s="1"/>
      <c r="CK505" s="1"/>
      <c r="CL505" s="1"/>
      <c r="CM505" s="1"/>
      <c r="CN505" s="1"/>
      <c r="CO505" s="1"/>
      <c r="CP505" s="1"/>
      <c r="CQ505" s="1"/>
      <c r="CR505" s="1"/>
      <c r="CS505" s="1"/>
      <c r="CT505" s="1"/>
      <c r="CU505" s="1"/>
      <c r="CV505" s="1"/>
      <c r="CW505" s="1"/>
      <c r="CX505" s="1"/>
      <c r="CY505" s="1"/>
      <c r="CZ505" s="1"/>
    </row>
    <row r="506" spans="1:104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  <c r="CC506" s="1"/>
      <c r="CD506" s="1"/>
      <c r="CE506" s="1"/>
      <c r="CF506" s="1"/>
      <c r="CG506" s="1"/>
      <c r="CH506" s="1"/>
      <c r="CI506" s="1"/>
      <c r="CJ506" s="1"/>
      <c r="CK506" s="1"/>
      <c r="CL506" s="1"/>
      <c r="CM506" s="1"/>
      <c r="CN506" s="1"/>
      <c r="CO506" s="1"/>
      <c r="CP506" s="1"/>
      <c r="CQ506" s="1"/>
      <c r="CR506" s="1"/>
      <c r="CS506" s="1"/>
      <c r="CT506" s="1"/>
      <c r="CU506" s="1"/>
      <c r="CV506" s="1"/>
      <c r="CW506" s="1"/>
      <c r="CX506" s="1"/>
      <c r="CY506" s="1"/>
      <c r="CZ506" s="1"/>
    </row>
    <row r="507" spans="1:104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  <c r="CC507" s="1"/>
      <c r="CD507" s="1"/>
      <c r="CE507" s="1"/>
      <c r="CF507" s="1"/>
      <c r="CG507" s="1"/>
      <c r="CH507" s="1"/>
      <c r="CI507" s="1"/>
      <c r="CJ507" s="1"/>
      <c r="CK507" s="1"/>
      <c r="CL507" s="1"/>
      <c r="CM507" s="1"/>
      <c r="CN507" s="1"/>
      <c r="CO507" s="1"/>
      <c r="CP507" s="1"/>
      <c r="CQ507" s="1"/>
      <c r="CR507" s="1"/>
      <c r="CS507" s="1"/>
      <c r="CT507" s="1"/>
      <c r="CU507" s="1"/>
      <c r="CV507" s="1"/>
      <c r="CW507" s="1"/>
      <c r="CX507" s="1"/>
      <c r="CY507" s="1"/>
      <c r="CZ507" s="1"/>
    </row>
    <row r="508" spans="1:104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  <c r="CC508" s="1"/>
      <c r="CD508" s="1"/>
      <c r="CE508" s="1"/>
      <c r="CF508" s="1"/>
      <c r="CG508" s="1"/>
      <c r="CH508" s="1"/>
      <c r="CI508" s="1"/>
      <c r="CJ508" s="1"/>
      <c r="CK508" s="1"/>
      <c r="CL508" s="1"/>
      <c r="CM508" s="1"/>
      <c r="CN508" s="1"/>
      <c r="CO508" s="1"/>
      <c r="CP508" s="1"/>
      <c r="CQ508" s="1"/>
      <c r="CR508" s="1"/>
      <c r="CS508" s="1"/>
      <c r="CT508" s="1"/>
      <c r="CU508" s="1"/>
      <c r="CV508" s="1"/>
      <c r="CW508" s="1"/>
      <c r="CX508" s="1"/>
      <c r="CY508" s="1"/>
      <c r="CZ508" s="1"/>
    </row>
    <row r="509" spans="1:104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  <c r="CC509" s="1"/>
      <c r="CD509" s="1"/>
      <c r="CE509" s="1"/>
      <c r="CF509" s="1"/>
      <c r="CG509" s="1"/>
      <c r="CH509" s="1"/>
      <c r="CI509" s="1"/>
      <c r="CJ509" s="1"/>
      <c r="CK509" s="1"/>
      <c r="CL509" s="1"/>
      <c r="CM509" s="1"/>
      <c r="CN509" s="1"/>
      <c r="CO509" s="1"/>
      <c r="CP509" s="1"/>
      <c r="CQ509" s="1"/>
      <c r="CR509" s="1"/>
      <c r="CS509" s="1"/>
      <c r="CT509" s="1"/>
      <c r="CU509" s="1"/>
      <c r="CV509" s="1"/>
      <c r="CW509" s="1"/>
      <c r="CX509" s="1"/>
      <c r="CY509" s="1"/>
      <c r="CZ509" s="1"/>
    </row>
    <row r="510" spans="1:104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  <c r="CC510" s="1"/>
      <c r="CD510" s="1"/>
      <c r="CE510" s="1"/>
      <c r="CF510" s="1"/>
      <c r="CG510" s="1"/>
      <c r="CH510" s="1"/>
      <c r="CI510" s="1"/>
      <c r="CJ510" s="1"/>
      <c r="CK510" s="1"/>
      <c r="CL510" s="1"/>
      <c r="CM510" s="1"/>
      <c r="CN510" s="1"/>
      <c r="CO510" s="1"/>
      <c r="CP510" s="1"/>
      <c r="CQ510" s="1"/>
      <c r="CR510" s="1"/>
      <c r="CS510" s="1"/>
      <c r="CT510" s="1"/>
      <c r="CU510" s="1"/>
      <c r="CV510" s="1"/>
      <c r="CW510" s="1"/>
      <c r="CX510" s="1"/>
      <c r="CY510" s="1"/>
      <c r="CZ510" s="1"/>
    </row>
    <row r="511" spans="1:104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  <c r="CC511" s="1"/>
      <c r="CD511" s="1"/>
      <c r="CE511" s="1"/>
      <c r="CF511" s="1"/>
      <c r="CG511" s="1"/>
      <c r="CH511" s="1"/>
      <c r="CI511" s="1"/>
      <c r="CJ511" s="1"/>
      <c r="CK511" s="1"/>
      <c r="CL511" s="1"/>
      <c r="CM511" s="1"/>
      <c r="CN511" s="1"/>
      <c r="CO511" s="1"/>
      <c r="CP511" s="1"/>
      <c r="CQ511" s="1"/>
      <c r="CR511" s="1"/>
      <c r="CS511" s="1"/>
      <c r="CT511" s="1"/>
      <c r="CU511" s="1"/>
      <c r="CV511" s="1"/>
      <c r="CW511" s="1"/>
      <c r="CX511" s="1"/>
      <c r="CY511" s="1"/>
      <c r="CZ511" s="1"/>
    </row>
    <row r="512" spans="1:104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  <c r="CC512" s="1"/>
      <c r="CD512" s="1"/>
      <c r="CE512" s="1"/>
      <c r="CF512" s="1"/>
      <c r="CG512" s="1"/>
      <c r="CH512" s="1"/>
      <c r="CI512" s="1"/>
      <c r="CJ512" s="1"/>
      <c r="CK512" s="1"/>
      <c r="CL512" s="1"/>
      <c r="CM512" s="1"/>
      <c r="CN512" s="1"/>
      <c r="CO512" s="1"/>
      <c r="CP512" s="1"/>
      <c r="CQ512" s="1"/>
      <c r="CR512" s="1"/>
      <c r="CS512" s="1"/>
      <c r="CT512" s="1"/>
      <c r="CU512" s="1"/>
      <c r="CV512" s="1"/>
      <c r="CW512" s="1"/>
      <c r="CX512" s="1"/>
      <c r="CY512" s="1"/>
      <c r="CZ512" s="1"/>
    </row>
    <row r="513" spans="1:104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  <c r="CC513" s="1"/>
      <c r="CD513" s="1"/>
      <c r="CE513" s="1"/>
      <c r="CF513" s="1"/>
      <c r="CG513" s="1"/>
      <c r="CH513" s="1"/>
      <c r="CI513" s="1"/>
      <c r="CJ513" s="1"/>
      <c r="CK513" s="1"/>
      <c r="CL513" s="1"/>
      <c r="CM513" s="1"/>
      <c r="CN513" s="1"/>
      <c r="CO513" s="1"/>
      <c r="CP513" s="1"/>
      <c r="CQ513" s="1"/>
      <c r="CR513" s="1"/>
      <c r="CS513" s="1"/>
      <c r="CT513" s="1"/>
      <c r="CU513" s="1"/>
      <c r="CV513" s="1"/>
      <c r="CW513" s="1"/>
      <c r="CX513" s="1"/>
      <c r="CY513" s="1"/>
      <c r="CZ513" s="1"/>
    </row>
    <row r="514" spans="1:104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  <c r="CC514" s="1"/>
      <c r="CD514" s="1"/>
      <c r="CE514" s="1"/>
      <c r="CF514" s="1"/>
      <c r="CG514" s="1"/>
      <c r="CH514" s="1"/>
      <c r="CI514" s="1"/>
      <c r="CJ514" s="1"/>
      <c r="CK514" s="1"/>
      <c r="CL514" s="1"/>
      <c r="CM514" s="1"/>
      <c r="CN514" s="1"/>
      <c r="CO514" s="1"/>
      <c r="CP514" s="1"/>
      <c r="CQ514" s="1"/>
      <c r="CR514" s="1"/>
      <c r="CS514" s="1"/>
      <c r="CT514" s="1"/>
      <c r="CU514" s="1"/>
      <c r="CV514" s="1"/>
      <c r="CW514" s="1"/>
      <c r="CX514" s="1"/>
      <c r="CY514" s="1"/>
      <c r="CZ514" s="1"/>
    </row>
    <row r="515" spans="1:104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  <c r="CC515" s="1"/>
      <c r="CD515" s="1"/>
      <c r="CE515" s="1"/>
      <c r="CF515" s="1"/>
      <c r="CG515" s="1"/>
      <c r="CH515" s="1"/>
      <c r="CI515" s="1"/>
      <c r="CJ515" s="1"/>
      <c r="CK515" s="1"/>
      <c r="CL515" s="1"/>
      <c r="CM515" s="1"/>
      <c r="CN515" s="1"/>
      <c r="CO515" s="1"/>
      <c r="CP515" s="1"/>
      <c r="CQ515" s="1"/>
      <c r="CR515" s="1"/>
      <c r="CS515" s="1"/>
      <c r="CT515" s="1"/>
      <c r="CU515" s="1"/>
      <c r="CV515" s="1"/>
      <c r="CW515" s="1"/>
      <c r="CX515" s="1"/>
      <c r="CY515" s="1"/>
      <c r="CZ515" s="1"/>
    </row>
    <row r="516" spans="1:104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  <c r="CC516" s="1"/>
      <c r="CD516" s="1"/>
      <c r="CE516" s="1"/>
      <c r="CF516" s="1"/>
      <c r="CG516" s="1"/>
      <c r="CH516" s="1"/>
      <c r="CI516" s="1"/>
      <c r="CJ516" s="1"/>
      <c r="CK516" s="1"/>
      <c r="CL516" s="1"/>
      <c r="CM516" s="1"/>
      <c r="CN516" s="1"/>
      <c r="CO516" s="1"/>
      <c r="CP516" s="1"/>
      <c r="CQ516" s="1"/>
      <c r="CR516" s="1"/>
      <c r="CS516" s="1"/>
      <c r="CT516" s="1"/>
      <c r="CU516" s="1"/>
      <c r="CV516" s="1"/>
      <c r="CW516" s="1"/>
      <c r="CX516" s="1"/>
      <c r="CY516" s="1"/>
      <c r="CZ516" s="1"/>
    </row>
    <row r="517" spans="1:104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  <c r="CC517" s="1"/>
      <c r="CD517" s="1"/>
      <c r="CE517" s="1"/>
      <c r="CF517" s="1"/>
      <c r="CG517" s="1"/>
      <c r="CH517" s="1"/>
      <c r="CI517" s="1"/>
      <c r="CJ517" s="1"/>
      <c r="CK517" s="1"/>
      <c r="CL517" s="1"/>
      <c r="CM517" s="1"/>
      <c r="CN517" s="1"/>
      <c r="CO517" s="1"/>
      <c r="CP517" s="1"/>
      <c r="CQ517" s="1"/>
      <c r="CR517" s="1"/>
      <c r="CS517" s="1"/>
      <c r="CT517" s="1"/>
      <c r="CU517" s="1"/>
      <c r="CV517" s="1"/>
      <c r="CW517" s="1"/>
      <c r="CX517" s="1"/>
      <c r="CY517" s="1"/>
      <c r="CZ517" s="1"/>
    </row>
    <row r="518" spans="1:104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  <c r="CC518" s="1"/>
      <c r="CD518" s="1"/>
      <c r="CE518" s="1"/>
      <c r="CF518" s="1"/>
      <c r="CG518" s="1"/>
      <c r="CH518" s="1"/>
      <c r="CI518" s="1"/>
      <c r="CJ518" s="1"/>
      <c r="CK518" s="1"/>
      <c r="CL518" s="1"/>
      <c r="CM518" s="1"/>
      <c r="CN518" s="1"/>
      <c r="CO518" s="1"/>
      <c r="CP518" s="1"/>
      <c r="CQ518" s="1"/>
      <c r="CR518" s="1"/>
      <c r="CS518" s="1"/>
      <c r="CT518" s="1"/>
      <c r="CU518" s="1"/>
      <c r="CV518" s="1"/>
      <c r="CW518" s="1"/>
      <c r="CX518" s="1"/>
      <c r="CY518" s="1"/>
      <c r="CZ518" s="1"/>
    </row>
    <row r="519" spans="1:104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  <c r="CC519" s="1"/>
      <c r="CD519" s="1"/>
      <c r="CE519" s="1"/>
      <c r="CF519" s="1"/>
      <c r="CG519" s="1"/>
      <c r="CH519" s="1"/>
      <c r="CI519" s="1"/>
      <c r="CJ519" s="1"/>
      <c r="CK519" s="1"/>
      <c r="CL519" s="1"/>
      <c r="CM519" s="1"/>
      <c r="CN519" s="1"/>
      <c r="CO519" s="1"/>
      <c r="CP519" s="1"/>
      <c r="CQ519" s="1"/>
      <c r="CR519" s="1"/>
      <c r="CS519" s="1"/>
      <c r="CT519" s="1"/>
      <c r="CU519" s="1"/>
      <c r="CV519" s="1"/>
      <c r="CW519" s="1"/>
      <c r="CX519" s="1"/>
      <c r="CY519" s="1"/>
      <c r="CZ519" s="1"/>
    </row>
    <row r="520" spans="1:104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  <c r="CC520" s="1"/>
      <c r="CD520" s="1"/>
      <c r="CE520" s="1"/>
      <c r="CF520" s="1"/>
      <c r="CG520" s="1"/>
      <c r="CH520" s="1"/>
      <c r="CI520" s="1"/>
      <c r="CJ520" s="1"/>
      <c r="CK520" s="1"/>
      <c r="CL520" s="1"/>
      <c r="CM520" s="1"/>
      <c r="CN520" s="1"/>
      <c r="CO520" s="1"/>
      <c r="CP520" s="1"/>
      <c r="CQ520" s="1"/>
      <c r="CR520" s="1"/>
      <c r="CS520" s="1"/>
      <c r="CT520" s="1"/>
      <c r="CU520" s="1"/>
      <c r="CV520" s="1"/>
      <c r="CW520" s="1"/>
      <c r="CX520" s="1"/>
      <c r="CY520" s="1"/>
      <c r="CZ520" s="1"/>
    </row>
    <row r="521" spans="1:104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  <c r="CC521" s="1"/>
      <c r="CD521" s="1"/>
      <c r="CE521" s="1"/>
      <c r="CF521" s="1"/>
      <c r="CG521" s="1"/>
      <c r="CH521" s="1"/>
      <c r="CI521" s="1"/>
      <c r="CJ521" s="1"/>
      <c r="CK521" s="1"/>
      <c r="CL521" s="1"/>
      <c r="CM521" s="1"/>
      <c r="CN521" s="1"/>
      <c r="CO521" s="1"/>
      <c r="CP521" s="1"/>
      <c r="CQ521" s="1"/>
      <c r="CR521" s="1"/>
      <c r="CS521" s="1"/>
      <c r="CT521" s="1"/>
      <c r="CU521" s="1"/>
      <c r="CV521" s="1"/>
      <c r="CW521" s="1"/>
      <c r="CX521" s="1"/>
      <c r="CY521" s="1"/>
      <c r="CZ521" s="1"/>
    </row>
    <row r="522" spans="1:104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  <c r="CC522" s="1"/>
      <c r="CD522" s="1"/>
      <c r="CE522" s="1"/>
      <c r="CF522" s="1"/>
      <c r="CG522" s="1"/>
      <c r="CH522" s="1"/>
      <c r="CI522" s="1"/>
      <c r="CJ522" s="1"/>
      <c r="CK522" s="1"/>
      <c r="CL522" s="1"/>
      <c r="CM522" s="1"/>
      <c r="CN522" s="1"/>
      <c r="CO522" s="1"/>
      <c r="CP522" s="1"/>
      <c r="CQ522" s="1"/>
      <c r="CR522" s="1"/>
      <c r="CS522" s="1"/>
      <c r="CT522" s="1"/>
      <c r="CU522" s="1"/>
      <c r="CV522" s="1"/>
      <c r="CW522" s="1"/>
      <c r="CX522" s="1"/>
      <c r="CY522" s="1"/>
      <c r="CZ522" s="1"/>
    </row>
    <row r="523" spans="1:104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  <c r="CC523" s="1"/>
      <c r="CD523" s="1"/>
      <c r="CE523" s="1"/>
      <c r="CF523" s="1"/>
      <c r="CG523" s="1"/>
      <c r="CH523" s="1"/>
      <c r="CI523" s="1"/>
      <c r="CJ523" s="1"/>
      <c r="CK523" s="1"/>
      <c r="CL523" s="1"/>
      <c r="CM523" s="1"/>
      <c r="CN523" s="1"/>
      <c r="CO523" s="1"/>
      <c r="CP523" s="1"/>
      <c r="CQ523" s="1"/>
      <c r="CR523" s="1"/>
      <c r="CS523" s="1"/>
      <c r="CT523" s="1"/>
      <c r="CU523" s="1"/>
      <c r="CV523" s="1"/>
      <c r="CW523" s="1"/>
      <c r="CX523" s="1"/>
      <c r="CY523" s="1"/>
      <c r="CZ523" s="1"/>
    </row>
    <row r="524" spans="1:104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  <c r="CC524" s="1"/>
      <c r="CD524" s="1"/>
      <c r="CE524" s="1"/>
      <c r="CF524" s="1"/>
      <c r="CG524" s="1"/>
      <c r="CH524" s="1"/>
      <c r="CI524" s="1"/>
      <c r="CJ524" s="1"/>
      <c r="CK524" s="1"/>
      <c r="CL524" s="1"/>
      <c r="CM524" s="1"/>
      <c r="CN524" s="1"/>
      <c r="CO524" s="1"/>
      <c r="CP524" s="1"/>
      <c r="CQ524" s="1"/>
      <c r="CR524" s="1"/>
      <c r="CS524" s="1"/>
      <c r="CT524" s="1"/>
      <c r="CU524" s="1"/>
      <c r="CV524" s="1"/>
      <c r="CW524" s="1"/>
      <c r="CX524" s="1"/>
      <c r="CY524" s="1"/>
      <c r="CZ524" s="1"/>
    </row>
    <row r="525" spans="1:104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  <c r="CC525" s="1"/>
      <c r="CD525" s="1"/>
      <c r="CE525" s="1"/>
      <c r="CF525" s="1"/>
      <c r="CG525" s="1"/>
      <c r="CH525" s="1"/>
      <c r="CI525" s="1"/>
      <c r="CJ525" s="1"/>
      <c r="CK525" s="1"/>
      <c r="CL525" s="1"/>
      <c r="CM525" s="1"/>
      <c r="CN525" s="1"/>
      <c r="CO525" s="1"/>
      <c r="CP525" s="1"/>
      <c r="CQ525" s="1"/>
      <c r="CR525" s="1"/>
      <c r="CS525" s="1"/>
      <c r="CT525" s="1"/>
      <c r="CU525" s="1"/>
      <c r="CV525" s="1"/>
      <c r="CW525" s="1"/>
      <c r="CX525" s="1"/>
      <c r="CY525" s="1"/>
      <c r="CZ525" s="1"/>
    </row>
    <row r="526" spans="1:104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  <c r="CC526" s="1"/>
      <c r="CD526" s="1"/>
      <c r="CE526" s="1"/>
      <c r="CF526" s="1"/>
      <c r="CG526" s="1"/>
      <c r="CH526" s="1"/>
      <c r="CI526" s="1"/>
      <c r="CJ526" s="1"/>
      <c r="CK526" s="1"/>
      <c r="CL526" s="1"/>
      <c r="CM526" s="1"/>
      <c r="CN526" s="1"/>
      <c r="CO526" s="1"/>
      <c r="CP526" s="1"/>
      <c r="CQ526" s="1"/>
      <c r="CR526" s="1"/>
      <c r="CS526" s="1"/>
      <c r="CT526" s="1"/>
      <c r="CU526" s="1"/>
      <c r="CV526" s="1"/>
      <c r="CW526" s="1"/>
      <c r="CX526" s="1"/>
      <c r="CY526" s="1"/>
      <c r="CZ526" s="1"/>
    </row>
    <row r="527" spans="1:104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  <c r="CC527" s="1"/>
      <c r="CD527" s="1"/>
      <c r="CE527" s="1"/>
      <c r="CF527" s="1"/>
      <c r="CG527" s="1"/>
      <c r="CH527" s="1"/>
      <c r="CI527" s="1"/>
      <c r="CJ527" s="1"/>
      <c r="CK527" s="1"/>
      <c r="CL527" s="1"/>
      <c r="CM527" s="1"/>
      <c r="CN527" s="1"/>
      <c r="CO527" s="1"/>
      <c r="CP527" s="1"/>
      <c r="CQ527" s="1"/>
      <c r="CR527" s="1"/>
      <c r="CS527" s="1"/>
      <c r="CT527" s="1"/>
      <c r="CU527" s="1"/>
      <c r="CV527" s="1"/>
      <c r="CW527" s="1"/>
      <c r="CX527" s="1"/>
      <c r="CY527" s="1"/>
      <c r="CZ527" s="1"/>
    </row>
    <row r="528" spans="1:104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  <c r="CC528" s="1"/>
      <c r="CD528" s="1"/>
      <c r="CE528" s="1"/>
      <c r="CF528" s="1"/>
      <c r="CG528" s="1"/>
      <c r="CH528" s="1"/>
      <c r="CI528" s="1"/>
      <c r="CJ528" s="1"/>
      <c r="CK528" s="1"/>
      <c r="CL528" s="1"/>
      <c r="CM528" s="1"/>
      <c r="CN528" s="1"/>
      <c r="CO528" s="1"/>
      <c r="CP528" s="1"/>
      <c r="CQ528" s="1"/>
      <c r="CR528" s="1"/>
      <c r="CS528" s="1"/>
      <c r="CT528" s="1"/>
      <c r="CU528" s="1"/>
      <c r="CV528" s="1"/>
      <c r="CW528" s="1"/>
      <c r="CX528" s="1"/>
      <c r="CY528" s="1"/>
      <c r="CZ528" s="1"/>
    </row>
    <row r="529" spans="1:104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  <c r="CC529" s="1"/>
      <c r="CD529" s="1"/>
      <c r="CE529" s="1"/>
      <c r="CF529" s="1"/>
      <c r="CG529" s="1"/>
      <c r="CH529" s="1"/>
      <c r="CI529" s="1"/>
      <c r="CJ529" s="1"/>
      <c r="CK529" s="1"/>
      <c r="CL529" s="1"/>
      <c r="CM529" s="1"/>
      <c r="CN529" s="1"/>
      <c r="CO529" s="1"/>
      <c r="CP529" s="1"/>
      <c r="CQ529" s="1"/>
      <c r="CR529" s="1"/>
      <c r="CS529" s="1"/>
      <c r="CT529" s="1"/>
      <c r="CU529" s="1"/>
      <c r="CV529" s="1"/>
      <c r="CW529" s="1"/>
      <c r="CX529" s="1"/>
      <c r="CY529" s="1"/>
      <c r="CZ529" s="1"/>
    </row>
    <row r="530" spans="1:104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  <c r="CC530" s="1"/>
      <c r="CD530" s="1"/>
      <c r="CE530" s="1"/>
      <c r="CF530" s="1"/>
      <c r="CG530" s="1"/>
      <c r="CH530" s="1"/>
      <c r="CI530" s="1"/>
      <c r="CJ530" s="1"/>
      <c r="CK530" s="1"/>
      <c r="CL530" s="1"/>
      <c r="CM530" s="1"/>
      <c r="CN530" s="1"/>
      <c r="CO530" s="1"/>
      <c r="CP530" s="1"/>
      <c r="CQ530" s="1"/>
      <c r="CR530" s="1"/>
      <c r="CS530" s="1"/>
      <c r="CT530" s="1"/>
      <c r="CU530" s="1"/>
      <c r="CV530" s="1"/>
      <c r="CW530" s="1"/>
      <c r="CX530" s="1"/>
      <c r="CY530" s="1"/>
      <c r="CZ530" s="1"/>
    </row>
    <row r="531" spans="1:104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  <c r="CC531" s="1"/>
      <c r="CD531" s="1"/>
      <c r="CE531" s="1"/>
      <c r="CF531" s="1"/>
      <c r="CG531" s="1"/>
      <c r="CH531" s="1"/>
      <c r="CI531" s="1"/>
      <c r="CJ531" s="1"/>
      <c r="CK531" s="1"/>
      <c r="CL531" s="1"/>
      <c r="CM531" s="1"/>
      <c r="CN531" s="1"/>
      <c r="CO531" s="1"/>
      <c r="CP531" s="1"/>
      <c r="CQ531" s="1"/>
      <c r="CR531" s="1"/>
      <c r="CS531" s="1"/>
      <c r="CT531" s="1"/>
      <c r="CU531" s="1"/>
      <c r="CV531" s="1"/>
      <c r="CW531" s="1"/>
      <c r="CX531" s="1"/>
      <c r="CY531" s="1"/>
      <c r="CZ531" s="1"/>
    </row>
    <row r="532" spans="1:104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  <c r="CC532" s="1"/>
      <c r="CD532" s="1"/>
      <c r="CE532" s="1"/>
      <c r="CF532" s="1"/>
      <c r="CG532" s="1"/>
      <c r="CH532" s="1"/>
      <c r="CI532" s="1"/>
      <c r="CJ532" s="1"/>
      <c r="CK532" s="1"/>
      <c r="CL532" s="1"/>
      <c r="CM532" s="1"/>
      <c r="CN532" s="1"/>
      <c r="CO532" s="1"/>
      <c r="CP532" s="1"/>
      <c r="CQ532" s="1"/>
      <c r="CR532" s="1"/>
      <c r="CS532" s="1"/>
      <c r="CT532" s="1"/>
      <c r="CU532" s="1"/>
      <c r="CV532" s="1"/>
      <c r="CW532" s="1"/>
      <c r="CX532" s="1"/>
      <c r="CY532" s="1"/>
      <c r="CZ532" s="1"/>
    </row>
    <row r="533" spans="1:104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  <c r="CC533" s="1"/>
      <c r="CD533" s="1"/>
      <c r="CE533" s="1"/>
      <c r="CF533" s="1"/>
      <c r="CG533" s="1"/>
      <c r="CH533" s="1"/>
      <c r="CI533" s="1"/>
      <c r="CJ533" s="1"/>
      <c r="CK533" s="1"/>
      <c r="CL533" s="1"/>
      <c r="CM533" s="1"/>
      <c r="CN533" s="1"/>
      <c r="CO533" s="1"/>
      <c r="CP533" s="1"/>
      <c r="CQ533" s="1"/>
      <c r="CR533" s="1"/>
      <c r="CS533" s="1"/>
      <c r="CT533" s="1"/>
      <c r="CU533" s="1"/>
      <c r="CV533" s="1"/>
      <c r="CW533" s="1"/>
      <c r="CX533" s="1"/>
      <c r="CY533" s="1"/>
      <c r="CZ533" s="1"/>
    </row>
    <row r="534" spans="1:104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  <c r="CC534" s="1"/>
      <c r="CD534" s="1"/>
      <c r="CE534" s="1"/>
      <c r="CF534" s="1"/>
      <c r="CG534" s="1"/>
      <c r="CH534" s="1"/>
      <c r="CI534" s="1"/>
      <c r="CJ534" s="1"/>
      <c r="CK534" s="1"/>
      <c r="CL534" s="1"/>
      <c r="CM534" s="1"/>
      <c r="CN534" s="1"/>
      <c r="CO534" s="1"/>
      <c r="CP534" s="1"/>
      <c r="CQ534" s="1"/>
      <c r="CR534" s="1"/>
      <c r="CS534" s="1"/>
      <c r="CT534" s="1"/>
      <c r="CU534" s="1"/>
      <c r="CV534" s="1"/>
      <c r="CW534" s="1"/>
      <c r="CX534" s="1"/>
      <c r="CY534" s="1"/>
      <c r="CZ534" s="1"/>
    </row>
    <row r="535" spans="1:104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  <c r="CC535" s="1"/>
      <c r="CD535" s="1"/>
      <c r="CE535" s="1"/>
      <c r="CF535" s="1"/>
      <c r="CG535" s="1"/>
      <c r="CH535" s="1"/>
      <c r="CI535" s="1"/>
      <c r="CJ535" s="1"/>
      <c r="CK535" s="1"/>
      <c r="CL535" s="1"/>
      <c r="CM535" s="1"/>
      <c r="CN535" s="1"/>
      <c r="CO535" s="1"/>
      <c r="CP535" s="1"/>
      <c r="CQ535" s="1"/>
      <c r="CR535" s="1"/>
      <c r="CS535" s="1"/>
      <c r="CT535" s="1"/>
      <c r="CU535" s="1"/>
      <c r="CV535" s="1"/>
      <c r="CW535" s="1"/>
      <c r="CX535" s="1"/>
      <c r="CY535" s="1"/>
      <c r="CZ535" s="1"/>
    </row>
    <row r="536" spans="1:104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  <c r="CC536" s="1"/>
      <c r="CD536" s="1"/>
      <c r="CE536" s="1"/>
      <c r="CF536" s="1"/>
      <c r="CG536" s="1"/>
      <c r="CH536" s="1"/>
      <c r="CI536" s="1"/>
      <c r="CJ536" s="1"/>
      <c r="CK536" s="1"/>
      <c r="CL536" s="1"/>
      <c r="CM536" s="1"/>
      <c r="CN536" s="1"/>
      <c r="CO536" s="1"/>
      <c r="CP536" s="1"/>
      <c r="CQ536" s="1"/>
      <c r="CR536" s="1"/>
      <c r="CS536" s="1"/>
      <c r="CT536" s="1"/>
      <c r="CU536" s="1"/>
      <c r="CV536" s="1"/>
      <c r="CW536" s="1"/>
      <c r="CX536" s="1"/>
      <c r="CY536" s="1"/>
      <c r="CZ536" s="1"/>
    </row>
    <row r="537" spans="1:104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  <c r="CC537" s="1"/>
      <c r="CD537" s="1"/>
      <c r="CE537" s="1"/>
      <c r="CF537" s="1"/>
      <c r="CG537" s="1"/>
      <c r="CH537" s="1"/>
      <c r="CI537" s="1"/>
      <c r="CJ537" s="1"/>
      <c r="CK537" s="1"/>
      <c r="CL537" s="1"/>
      <c r="CM537" s="1"/>
      <c r="CN537" s="1"/>
      <c r="CO537" s="1"/>
      <c r="CP537" s="1"/>
      <c r="CQ537" s="1"/>
      <c r="CR537" s="1"/>
      <c r="CS537" s="1"/>
      <c r="CT537" s="1"/>
      <c r="CU537" s="1"/>
      <c r="CV537" s="1"/>
      <c r="CW537" s="1"/>
      <c r="CX537" s="1"/>
      <c r="CY537" s="1"/>
      <c r="CZ537" s="1"/>
    </row>
    <row r="538" spans="1:104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  <c r="CC538" s="1"/>
      <c r="CD538" s="1"/>
      <c r="CE538" s="1"/>
      <c r="CF538" s="1"/>
      <c r="CG538" s="1"/>
      <c r="CH538" s="1"/>
      <c r="CI538" s="1"/>
      <c r="CJ538" s="1"/>
      <c r="CK538" s="1"/>
      <c r="CL538" s="1"/>
      <c r="CM538" s="1"/>
      <c r="CN538" s="1"/>
      <c r="CO538" s="1"/>
      <c r="CP538" s="1"/>
      <c r="CQ538" s="1"/>
      <c r="CR538" s="1"/>
      <c r="CS538" s="1"/>
      <c r="CT538" s="1"/>
      <c r="CU538" s="1"/>
      <c r="CV538" s="1"/>
      <c r="CW538" s="1"/>
      <c r="CX538" s="1"/>
      <c r="CY538" s="1"/>
      <c r="CZ538" s="1"/>
    </row>
    <row r="539" spans="1:104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  <c r="BP539" s="1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  <c r="CC539" s="1"/>
      <c r="CD539" s="1"/>
      <c r="CE539" s="1"/>
      <c r="CF539" s="1"/>
      <c r="CG539" s="1"/>
      <c r="CH539" s="1"/>
      <c r="CI539" s="1"/>
      <c r="CJ539" s="1"/>
      <c r="CK539" s="1"/>
      <c r="CL539" s="1"/>
      <c r="CM539" s="1"/>
      <c r="CN539" s="1"/>
      <c r="CO539" s="1"/>
      <c r="CP539" s="1"/>
      <c r="CQ539" s="1"/>
      <c r="CR539" s="1"/>
      <c r="CS539" s="1"/>
      <c r="CT539" s="1"/>
      <c r="CU539" s="1"/>
      <c r="CV539" s="1"/>
      <c r="CW539" s="1"/>
      <c r="CX539" s="1"/>
      <c r="CY539" s="1"/>
      <c r="CZ539" s="1"/>
    </row>
    <row r="540" spans="1:104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  <c r="BP540" s="1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  <c r="CC540" s="1"/>
      <c r="CD540" s="1"/>
      <c r="CE540" s="1"/>
      <c r="CF540" s="1"/>
      <c r="CG540" s="1"/>
      <c r="CH540" s="1"/>
      <c r="CI540" s="1"/>
      <c r="CJ540" s="1"/>
      <c r="CK540" s="1"/>
      <c r="CL540" s="1"/>
      <c r="CM540" s="1"/>
      <c r="CN540" s="1"/>
      <c r="CO540" s="1"/>
      <c r="CP540" s="1"/>
      <c r="CQ540" s="1"/>
      <c r="CR540" s="1"/>
      <c r="CS540" s="1"/>
      <c r="CT540" s="1"/>
      <c r="CU540" s="1"/>
      <c r="CV540" s="1"/>
      <c r="CW540" s="1"/>
      <c r="CX540" s="1"/>
      <c r="CY540" s="1"/>
      <c r="CZ540" s="1"/>
    </row>
    <row r="541" spans="1:104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  <c r="CC541" s="1"/>
      <c r="CD541" s="1"/>
      <c r="CE541" s="1"/>
      <c r="CF541" s="1"/>
      <c r="CG541" s="1"/>
      <c r="CH541" s="1"/>
      <c r="CI541" s="1"/>
      <c r="CJ541" s="1"/>
      <c r="CK541" s="1"/>
      <c r="CL541" s="1"/>
      <c r="CM541" s="1"/>
      <c r="CN541" s="1"/>
      <c r="CO541" s="1"/>
      <c r="CP541" s="1"/>
      <c r="CQ541" s="1"/>
      <c r="CR541" s="1"/>
      <c r="CS541" s="1"/>
      <c r="CT541" s="1"/>
      <c r="CU541" s="1"/>
      <c r="CV541" s="1"/>
      <c r="CW541" s="1"/>
      <c r="CX541" s="1"/>
      <c r="CY541" s="1"/>
      <c r="CZ541" s="1"/>
    </row>
    <row r="542" spans="1:104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  <c r="CC542" s="1"/>
      <c r="CD542" s="1"/>
      <c r="CE542" s="1"/>
      <c r="CF542" s="1"/>
      <c r="CG542" s="1"/>
      <c r="CH542" s="1"/>
      <c r="CI542" s="1"/>
      <c r="CJ542" s="1"/>
      <c r="CK542" s="1"/>
      <c r="CL542" s="1"/>
      <c r="CM542" s="1"/>
      <c r="CN542" s="1"/>
      <c r="CO542" s="1"/>
      <c r="CP542" s="1"/>
      <c r="CQ542" s="1"/>
      <c r="CR542" s="1"/>
      <c r="CS542" s="1"/>
      <c r="CT542" s="1"/>
      <c r="CU542" s="1"/>
      <c r="CV542" s="1"/>
      <c r="CW542" s="1"/>
      <c r="CX542" s="1"/>
      <c r="CY542" s="1"/>
      <c r="CZ542" s="1"/>
    </row>
    <row r="543" spans="1:104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  <c r="CC543" s="1"/>
      <c r="CD543" s="1"/>
      <c r="CE543" s="1"/>
      <c r="CF543" s="1"/>
      <c r="CG543" s="1"/>
      <c r="CH543" s="1"/>
      <c r="CI543" s="1"/>
      <c r="CJ543" s="1"/>
      <c r="CK543" s="1"/>
      <c r="CL543" s="1"/>
      <c r="CM543" s="1"/>
      <c r="CN543" s="1"/>
      <c r="CO543" s="1"/>
      <c r="CP543" s="1"/>
      <c r="CQ543" s="1"/>
      <c r="CR543" s="1"/>
      <c r="CS543" s="1"/>
      <c r="CT543" s="1"/>
      <c r="CU543" s="1"/>
      <c r="CV543" s="1"/>
      <c r="CW543" s="1"/>
      <c r="CX543" s="1"/>
      <c r="CY543" s="1"/>
      <c r="CZ543" s="1"/>
    </row>
    <row r="544" spans="1:104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  <c r="CC544" s="1"/>
      <c r="CD544" s="1"/>
      <c r="CE544" s="1"/>
      <c r="CF544" s="1"/>
      <c r="CG544" s="1"/>
      <c r="CH544" s="1"/>
      <c r="CI544" s="1"/>
      <c r="CJ544" s="1"/>
      <c r="CK544" s="1"/>
      <c r="CL544" s="1"/>
      <c r="CM544" s="1"/>
      <c r="CN544" s="1"/>
      <c r="CO544" s="1"/>
      <c r="CP544" s="1"/>
      <c r="CQ544" s="1"/>
      <c r="CR544" s="1"/>
      <c r="CS544" s="1"/>
      <c r="CT544" s="1"/>
      <c r="CU544" s="1"/>
      <c r="CV544" s="1"/>
      <c r="CW544" s="1"/>
      <c r="CX544" s="1"/>
      <c r="CY544" s="1"/>
      <c r="CZ544" s="1"/>
    </row>
    <row r="545" spans="1:104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  <c r="CC545" s="1"/>
      <c r="CD545" s="1"/>
      <c r="CE545" s="1"/>
      <c r="CF545" s="1"/>
      <c r="CG545" s="1"/>
      <c r="CH545" s="1"/>
      <c r="CI545" s="1"/>
      <c r="CJ545" s="1"/>
      <c r="CK545" s="1"/>
      <c r="CL545" s="1"/>
      <c r="CM545" s="1"/>
      <c r="CN545" s="1"/>
      <c r="CO545" s="1"/>
      <c r="CP545" s="1"/>
      <c r="CQ545" s="1"/>
      <c r="CR545" s="1"/>
      <c r="CS545" s="1"/>
      <c r="CT545" s="1"/>
      <c r="CU545" s="1"/>
      <c r="CV545" s="1"/>
      <c r="CW545" s="1"/>
      <c r="CX545" s="1"/>
      <c r="CY545" s="1"/>
      <c r="CZ545" s="1"/>
    </row>
    <row r="546" spans="1:104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  <c r="CC546" s="1"/>
      <c r="CD546" s="1"/>
      <c r="CE546" s="1"/>
      <c r="CF546" s="1"/>
      <c r="CG546" s="1"/>
      <c r="CH546" s="1"/>
      <c r="CI546" s="1"/>
      <c r="CJ546" s="1"/>
      <c r="CK546" s="1"/>
      <c r="CL546" s="1"/>
      <c r="CM546" s="1"/>
      <c r="CN546" s="1"/>
      <c r="CO546" s="1"/>
      <c r="CP546" s="1"/>
      <c r="CQ546" s="1"/>
      <c r="CR546" s="1"/>
      <c r="CS546" s="1"/>
      <c r="CT546" s="1"/>
      <c r="CU546" s="1"/>
      <c r="CV546" s="1"/>
      <c r="CW546" s="1"/>
      <c r="CX546" s="1"/>
      <c r="CY546" s="1"/>
      <c r="CZ546" s="1"/>
    </row>
    <row r="547" spans="1:104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  <c r="CC547" s="1"/>
      <c r="CD547" s="1"/>
      <c r="CE547" s="1"/>
      <c r="CF547" s="1"/>
      <c r="CG547" s="1"/>
      <c r="CH547" s="1"/>
      <c r="CI547" s="1"/>
      <c r="CJ547" s="1"/>
      <c r="CK547" s="1"/>
      <c r="CL547" s="1"/>
      <c r="CM547" s="1"/>
      <c r="CN547" s="1"/>
      <c r="CO547" s="1"/>
      <c r="CP547" s="1"/>
      <c r="CQ547" s="1"/>
      <c r="CR547" s="1"/>
      <c r="CS547" s="1"/>
      <c r="CT547" s="1"/>
      <c r="CU547" s="1"/>
      <c r="CV547" s="1"/>
      <c r="CW547" s="1"/>
      <c r="CX547" s="1"/>
      <c r="CY547" s="1"/>
      <c r="CZ547" s="1"/>
    </row>
    <row r="548" spans="1:104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  <c r="CC548" s="1"/>
      <c r="CD548" s="1"/>
      <c r="CE548" s="1"/>
      <c r="CF548" s="1"/>
      <c r="CG548" s="1"/>
      <c r="CH548" s="1"/>
      <c r="CI548" s="1"/>
      <c r="CJ548" s="1"/>
      <c r="CK548" s="1"/>
      <c r="CL548" s="1"/>
      <c r="CM548" s="1"/>
      <c r="CN548" s="1"/>
      <c r="CO548" s="1"/>
      <c r="CP548" s="1"/>
      <c r="CQ548" s="1"/>
      <c r="CR548" s="1"/>
      <c r="CS548" s="1"/>
      <c r="CT548" s="1"/>
      <c r="CU548" s="1"/>
      <c r="CV548" s="1"/>
      <c r="CW548" s="1"/>
      <c r="CX548" s="1"/>
      <c r="CY548" s="1"/>
      <c r="CZ548" s="1"/>
    </row>
    <row r="549" spans="1:104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  <c r="CC549" s="1"/>
      <c r="CD549" s="1"/>
      <c r="CE549" s="1"/>
      <c r="CF549" s="1"/>
      <c r="CG549" s="1"/>
      <c r="CH549" s="1"/>
      <c r="CI549" s="1"/>
      <c r="CJ549" s="1"/>
      <c r="CK549" s="1"/>
      <c r="CL549" s="1"/>
      <c r="CM549" s="1"/>
      <c r="CN549" s="1"/>
      <c r="CO549" s="1"/>
      <c r="CP549" s="1"/>
      <c r="CQ549" s="1"/>
      <c r="CR549" s="1"/>
      <c r="CS549" s="1"/>
      <c r="CT549" s="1"/>
      <c r="CU549" s="1"/>
      <c r="CV549" s="1"/>
      <c r="CW549" s="1"/>
      <c r="CX549" s="1"/>
      <c r="CY549" s="1"/>
      <c r="CZ549" s="1"/>
    </row>
    <row r="550" spans="1:104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  <c r="CC550" s="1"/>
      <c r="CD550" s="1"/>
      <c r="CE550" s="1"/>
      <c r="CF550" s="1"/>
      <c r="CG550" s="1"/>
      <c r="CH550" s="1"/>
      <c r="CI550" s="1"/>
      <c r="CJ550" s="1"/>
      <c r="CK550" s="1"/>
      <c r="CL550" s="1"/>
      <c r="CM550" s="1"/>
      <c r="CN550" s="1"/>
      <c r="CO550" s="1"/>
      <c r="CP550" s="1"/>
      <c r="CQ550" s="1"/>
      <c r="CR550" s="1"/>
      <c r="CS550" s="1"/>
      <c r="CT550" s="1"/>
      <c r="CU550" s="1"/>
      <c r="CV550" s="1"/>
      <c r="CW550" s="1"/>
      <c r="CX550" s="1"/>
      <c r="CY550" s="1"/>
      <c r="CZ550" s="1"/>
    </row>
    <row r="551" spans="1:104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  <c r="CC551" s="1"/>
      <c r="CD551" s="1"/>
      <c r="CE551" s="1"/>
      <c r="CF551" s="1"/>
      <c r="CG551" s="1"/>
      <c r="CH551" s="1"/>
      <c r="CI551" s="1"/>
      <c r="CJ551" s="1"/>
      <c r="CK551" s="1"/>
      <c r="CL551" s="1"/>
      <c r="CM551" s="1"/>
      <c r="CN551" s="1"/>
      <c r="CO551" s="1"/>
      <c r="CP551" s="1"/>
      <c r="CQ551" s="1"/>
      <c r="CR551" s="1"/>
      <c r="CS551" s="1"/>
      <c r="CT551" s="1"/>
      <c r="CU551" s="1"/>
      <c r="CV551" s="1"/>
      <c r="CW551" s="1"/>
      <c r="CX551" s="1"/>
      <c r="CY551" s="1"/>
      <c r="CZ551" s="1"/>
    </row>
    <row r="552" spans="1:104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  <c r="CC552" s="1"/>
      <c r="CD552" s="1"/>
      <c r="CE552" s="1"/>
      <c r="CF552" s="1"/>
      <c r="CG552" s="1"/>
      <c r="CH552" s="1"/>
      <c r="CI552" s="1"/>
      <c r="CJ552" s="1"/>
      <c r="CK552" s="1"/>
      <c r="CL552" s="1"/>
      <c r="CM552" s="1"/>
      <c r="CN552" s="1"/>
      <c r="CO552" s="1"/>
      <c r="CP552" s="1"/>
      <c r="CQ552" s="1"/>
      <c r="CR552" s="1"/>
      <c r="CS552" s="1"/>
      <c r="CT552" s="1"/>
      <c r="CU552" s="1"/>
      <c r="CV552" s="1"/>
      <c r="CW552" s="1"/>
      <c r="CX552" s="1"/>
      <c r="CY552" s="1"/>
      <c r="CZ552" s="1"/>
    </row>
    <row r="553" spans="1:104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  <c r="CC553" s="1"/>
      <c r="CD553" s="1"/>
      <c r="CE553" s="1"/>
      <c r="CF553" s="1"/>
      <c r="CG553" s="1"/>
      <c r="CH553" s="1"/>
      <c r="CI553" s="1"/>
      <c r="CJ553" s="1"/>
      <c r="CK553" s="1"/>
      <c r="CL553" s="1"/>
      <c r="CM553" s="1"/>
      <c r="CN553" s="1"/>
      <c r="CO553" s="1"/>
      <c r="CP553" s="1"/>
      <c r="CQ553" s="1"/>
      <c r="CR553" s="1"/>
      <c r="CS553" s="1"/>
      <c r="CT553" s="1"/>
      <c r="CU553" s="1"/>
      <c r="CV553" s="1"/>
      <c r="CW553" s="1"/>
      <c r="CX553" s="1"/>
      <c r="CY553" s="1"/>
      <c r="CZ553" s="1"/>
    </row>
    <row r="554" spans="1:104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  <c r="CC554" s="1"/>
      <c r="CD554" s="1"/>
      <c r="CE554" s="1"/>
      <c r="CF554" s="1"/>
      <c r="CG554" s="1"/>
      <c r="CH554" s="1"/>
      <c r="CI554" s="1"/>
      <c r="CJ554" s="1"/>
      <c r="CK554" s="1"/>
      <c r="CL554" s="1"/>
      <c r="CM554" s="1"/>
      <c r="CN554" s="1"/>
      <c r="CO554" s="1"/>
      <c r="CP554" s="1"/>
      <c r="CQ554" s="1"/>
      <c r="CR554" s="1"/>
      <c r="CS554" s="1"/>
      <c r="CT554" s="1"/>
      <c r="CU554" s="1"/>
      <c r="CV554" s="1"/>
      <c r="CW554" s="1"/>
      <c r="CX554" s="1"/>
      <c r="CY554" s="1"/>
      <c r="CZ554" s="1"/>
    </row>
    <row r="555" spans="1:104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  <c r="CC555" s="1"/>
      <c r="CD555" s="1"/>
      <c r="CE555" s="1"/>
      <c r="CF555" s="1"/>
      <c r="CG555" s="1"/>
      <c r="CH555" s="1"/>
      <c r="CI555" s="1"/>
      <c r="CJ555" s="1"/>
      <c r="CK555" s="1"/>
      <c r="CL555" s="1"/>
      <c r="CM555" s="1"/>
      <c r="CN555" s="1"/>
      <c r="CO555" s="1"/>
      <c r="CP555" s="1"/>
      <c r="CQ555" s="1"/>
      <c r="CR555" s="1"/>
      <c r="CS555" s="1"/>
      <c r="CT555" s="1"/>
      <c r="CU555" s="1"/>
      <c r="CV555" s="1"/>
      <c r="CW555" s="1"/>
      <c r="CX555" s="1"/>
      <c r="CY555" s="1"/>
      <c r="CZ555" s="1"/>
    </row>
    <row r="556" spans="1:104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  <c r="CC556" s="1"/>
      <c r="CD556" s="1"/>
      <c r="CE556" s="1"/>
      <c r="CF556" s="1"/>
      <c r="CG556" s="1"/>
      <c r="CH556" s="1"/>
      <c r="CI556" s="1"/>
      <c r="CJ556" s="1"/>
      <c r="CK556" s="1"/>
      <c r="CL556" s="1"/>
      <c r="CM556" s="1"/>
      <c r="CN556" s="1"/>
      <c r="CO556" s="1"/>
      <c r="CP556" s="1"/>
      <c r="CQ556" s="1"/>
      <c r="CR556" s="1"/>
      <c r="CS556" s="1"/>
      <c r="CT556" s="1"/>
      <c r="CU556" s="1"/>
      <c r="CV556" s="1"/>
      <c r="CW556" s="1"/>
      <c r="CX556" s="1"/>
      <c r="CY556" s="1"/>
      <c r="CZ556" s="1"/>
    </row>
    <row r="557" spans="1:104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  <c r="BP557" s="1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  <c r="CC557" s="1"/>
      <c r="CD557" s="1"/>
      <c r="CE557" s="1"/>
      <c r="CF557" s="1"/>
      <c r="CG557" s="1"/>
      <c r="CH557" s="1"/>
      <c r="CI557" s="1"/>
      <c r="CJ557" s="1"/>
      <c r="CK557" s="1"/>
      <c r="CL557" s="1"/>
      <c r="CM557" s="1"/>
      <c r="CN557" s="1"/>
      <c r="CO557" s="1"/>
      <c r="CP557" s="1"/>
      <c r="CQ557" s="1"/>
      <c r="CR557" s="1"/>
      <c r="CS557" s="1"/>
      <c r="CT557" s="1"/>
      <c r="CU557" s="1"/>
      <c r="CV557" s="1"/>
      <c r="CW557" s="1"/>
      <c r="CX557" s="1"/>
      <c r="CY557" s="1"/>
      <c r="CZ557" s="1"/>
    </row>
    <row r="558" spans="1:104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  <c r="BP558" s="1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  <c r="CC558" s="1"/>
      <c r="CD558" s="1"/>
      <c r="CE558" s="1"/>
      <c r="CF558" s="1"/>
      <c r="CG558" s="1"/>
      <c r="CH558" s="1"/>
      <c r="CI558" s="1"/>
      <c r="CJ558" s="1"/>
      <c r="CK558" s="1"/>
      <c r="CL558" s="1"/>
      <c r="CM558" s="1"/>
      <c r="CN558" s="1"/>
      <c r="CO558" s="1"/>
      <c r="CP558" s="1"/>
      <c r="CQ558" s="1"/>
      <c r="CR558" s="1"/>
      <c r="CS558" s="1"/>
      <c r="CT558" s="1"/>
      <c r="CU558" s="1"/>
      <c r="CV558" s="1"/>
      <c r="CW558" s="1"/>
      <c r="CX558" s="1"/>
      <c r="CY558" s="1"/>
      <c r="CZ558" s="1"/>
    </row>
    <row r="559" spans="1:104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  <c r="BP559" s="1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  <c r="CC559" s="1"/>
      <c r="CD559" s="1"/>
      <c r="CE559" s="1"/>
      <c r="CF559" s="1"/>
      <c r="CG559" s="1"/>
      <c r="CH559" s="1"/>
      <c r="CI559" s="1"/>
      <c r="CJ559" s="1"/>
      <c r="CK559" s="1"/>
      <c r="CL559" s="1"/>
      <c r="CM559" s="1"/>
      <c r="CN559" s="1"/>
      <c r="CO559" s="1"/>
      <c r="CP559" s="1"/>
      <c r="CQ559" s="1"/>
      <c r="CR559" s="1"/>
      <c r="CS559" s="1"/>
      <c r="CT559" s="1"/>
      <c r="CU559" s="1"/>
      <c r="CV559" s="1"/>
      <c r="CW559" s="1"/>
      <c r="CX559" s="1"/>
      <c r="CY559" s="1"/>
      <c r="CZ559" s="1"/>
    </row>
    <row r="560" spans="1:104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  <c r="BP560" s="1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  <c r="CC560" s="1"/>
      <c r="CD560" s="1"/>
      <c r="CE560" s="1"/>
      <c r="CF560" s="1"/>
      <c r="CG560" s="1"/>
      <c r="CH560" s="1"/>
      <c r="CI560" s="1"/>
      <c r="CJ560" s="1"/>
      <c r="CK560" s="1"/>
      <c r="CL560" s="1"/>
      <c r="CM560" s="1"/>
      <c r="CN560" s="1"/>
      <c r="CO560" s="1"/>
      <c r="CP560" s="1"/>
      <c r="CQ560" s="1"/>
      <c r="CR560" s="1"/>
      <c r="CS560" s="1"/>
      <c r="CT560" s="1"/>
      <c r="CU560" s="1"/>
      <c r="CV560" s="1"/>
      <c r="CW560" s="1"/>
      <c r="CX560" s="1"/>
      <c r="CY560" s="1"/>
      <c r="CZ560" s="1"/>
    </row>
    <row r="561" spans="1:104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  <c r="BP561" s="1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  <c r="CC561" s="1"/>
      <c r="CD561" s="1"/>
      <c r="CE561" s="1"/>
      <c r="CF561" s="1"/>
      <c r="CG561" s="1"/>
      <c r="CH561" s="1"/>
      <c r="CI561" s="1"/>
      <c r="CJ561" s="1"/>
      <c r="CK561" s="1"/>
      <c r="CL561" s="1"/>
      <c r="CM561" s="1"/>
      <c r="CN561" s="1"/>
      <c r="CO561" s="1"/>
      <c r="CP561" s="1"/>
      <c r="CQ561" s="1"/>
      <c r="CR561" s="1"/>
      <c r="CS561" s="1"/>
      <c r="CT561" s="1"/>
      <c r="CU561" s="1"/>
      <c r="CV561" s="1"/>
      <c r="CW561" s="1"/>
      <c r="CX561" s="1"/>
      <c r="CY561" s="1"/>
      <c r="CZ561" s="1"/>
    </row>
    <row r="562" spans="1:104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  <c r="BP562" s="1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  <c r="CC562" s="1"/>
      <c r="CD562" s="1"/>
      <c r="CE562" s="1"/>
      <c r="CF562" s="1"/>
      <c r="CG562" s="1"/>
      <c r="CH562" s="1"/>
      <c r="CI562" s="1"/>
      <c r="CJ562" s="1"/>
      <c r="CK562" s="1"/>
      <c r="CL562" s="1"/>
      <c r="CM562" s="1"/>
      <c r="CN562" s="1"/>
      <c r="CO562" s="1"/>
      <c r="CP562" s="1"/>
      <c r="CQ562" s="1"/>
      <c r="CR562" s="1"/>
      <c r="CS562" s="1"/>
      <c r="CT562" s="1"/>
      <c r="CU562" s="1"/>
      <c r="CV562" s="1"/>
      <c r="CW562" s="1"/>
      <c r="CX562" s="1"/>
      <c r="CY562" s="1"/>
      <c r="CZ562" s="1"/>
    </row>
    <row r="563" spans="1:104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  <c r="BP563" s="1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  <c r="CC563" s="1"/>
      <c r="CD563" s="1"/>
      <c r="CE563" s="1"/>
      <c r="CF563" s="1"/>
      <c r="CG563" s="1"/>
      <c r="CH563" s="1"/>
      <c r="CI563" s="1"/>
      <c r="CJ563" s="1"/>
      <c r="CK563" s="1"/>
      <c r="CL563" s="1"/>
      <c r="CM563" s="1"/>
      <c r="CN563" s="1"/>
      <c r="CO563" s="1"/>
      <c r="CP563" s="1"/>
      <c r="CQ563" s="1"/>
      <c r="CR563" s="1"/>
      <c r="CS563" s="1"/>
      <c r="CT563" s="1"/>
      <c r="CU563" s="1"/>
      <c r="CV563" s="1"/>
      <c r="CW563" s="1"/>
      <c r="CX563" s="1"/>
      <c r="CY563" s="1"/>
      <c r="CZ563" s="1"/>
    </row>
    <row r="564" spans="1:104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  <c r="CC564" s="1"/>
      <c r="CD564" s="1"/>
      <c r="CE564" s="1"/>
      <c r="CF564" s="1"/>
      <c r="CG564" s="1"/>
      <c r="CH564" s="1"/>
      <c r="CI564" s="1"/>
      <c r="CJ564" s="1"/>
      <c r="CK564" s="1"/>
      <c r="CL564" s="1"/>
      <c r="CM564" s="1"/>
      <c r="CN564" s="1"/>
      <c r="CO564" s="1"/>
      <c r="CP564" s="1"/>
      <c r="CQ564" s="1"/>
      <c r="CR564" s="1"/>
      <c r="CS564" s="1"/>
      <c r="CT564" s="1"/>
      <c r="CU564" s="1"/>
      <c r="CV564" s="1"/>
      <c r="CW564" s="1"/>
      <c r="CX564" s="1"/>
      <c r="CY564" s="1"/>
      <c r="CZ564" s="1"/>
    </row>
    <row r="565" spans="1:104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  <c r="BP565" s="1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  <c r="CC565" s="1"/>
      <c r="CD565" s="1"/>
      <c r="CE565" s="1"/>
      <c r="CF565" s="1"/>
      <c r="CG565" s="1"/>
      <c r="CH565" s="1"/>
      <c r="CI565" s="1"/>
      <c r="CJ565" s="1"/>
      <c r="CK565" s="1"/>
      <c r="CL565" s="1"/>
      <c r="CM565" s="1"/>
      <c r="CN565" s="1"/>
      <c r="CO565" s="1"/>
      <c r="CP565" s="1"/>
      <c r="CQ565" s="1"/>
      <c r="CR565" s="1"/>
      <c r="CS565" s="1"/>
      <c r="CT565" s="1"/>
      <c r="CU565" s="1"/>
      <c r="CV565" s="1"/>
      <c r="CW565" s="1"/>
      <c r="CX565" s="1"/>
      <c r="CY565" s="1"/>
      <c r="CZ565" s="1"/>
    </row>
    <row r="566" spans="1:104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  <c r="BP566" s="1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  <c r="CC566" s="1"/>
      <c r="CD566" s="1"/>
      <c r="CE566" s="1"/>
      <c r="CF566" s="1"/>
      <c r="CG566" s="1"/>
      <c r="CH566" s="1"/>
      <c r="CI566" s="1"/>
      <c r="CJ566" s="1"/>
      <c r="CK566" s="1"/>
      <c r="CL566" s="1"/>
      <c r="CM566" s="1"/>
      <c r="CN566" s="1"/>
      <c r="CO566" s="1"/>
      <c r="CP566" s="1"/>
      <c r="CQ566" s="1"/>
      <c r="CR566" s="1"/>
      <c r="CS566" s="1"/>
      <c r="CT566" s="1"/>
      <c r="CU566" s="1"/>
      <c r="CV566" s="1"/>
      <c r="CW566" s="1"/>
      <c r="CX566" s="1"/>
      <c r="CY566" s="1"/>
      <c r="CZ566" s="1"/>
    </row>
    <row r="567" spans="1:104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  <c r="BP567" s="1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  <c r="CC567" s="1"/>
      <c r="CD567" s="1"/>
      <c r="CE567" s="1"/>
      <c r="CF567" s="1"/>
      <c r="CG567" s="1"/>
      <c r="CH567" s="1"/>
      <c r="CI567" s="1"/>
      <c r="CJ567" s="1"/>
      <c r="CK567" s="1"/>
      <c r="CL567" s="1"/>
      <c r="CM567" s="1"/>
      <c r="CN567" s="1"/>
      <c r="CO567" s="1"/>
      <c r="CP567" s="1"/>
      <c r="CQ567" s="1"/>
      <c r="CR567" s="1"/>
      <c r="CS567" s="1"/>
      <c r="CT567" s="1"/>
      <c r="CU567" s="1"/>
      <c r="CV567" s="1"/>
      <c r="CW567" s="1"/>
      <c r="CX567" s="1"/>
      <c r="CY567" s="1"/>
      <c r="CZ567" s="1"/>
    </row>
    <row r="568" spans="1:104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  <c r="BP568" s="1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  <c r="CC568" s="1"/>
      <c r="CD568" s="1"/>
      <c r="CE568" s="1"/>
      <c r="CF568" s="1"/>
      <c r="CG568" s="1"/>
      <c r="CH568" s="1"/>
      <c r="CI568" s="1"/>
      <c r="CJ568" s="1"/>
      <c r="CK568" s="1"/>
      <c r="CL568" s="1"/>
      <c r="CM568" s="1"/>
      <c r="CN568" s="1"/>
      <c r="CO568" s="1"/>
      <c r="CP568" s="1"/>
      <c r="CQ568" s="1"/>
      <c r="CR568" s="1"/>
      <c r="CS568" s="1"/>
      <c r="CT568" s="1"/>
      <c r="CU568" s="1"/>
      <c r="CV568" s="1"/>
      <c r="CW568" s="1"/>
      <c r="CX568" s="1"/>
      <c r="CY568" s="1"/>
      <c r="CZ568" s="1"/>
    </row>
    <row r="569" spans="1:104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  <c r="BP569" s="1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  <c r="CC569" s="1"/>
      <c r="CD569" s="1"/>
      <c r="CE569" s="1"/>
      <c r="CF569" s="1"/>
      <c r="CG569" s="1"/>
      <c r="CH569" s="1"/>
      <c r="CI569" s="1"/>
      <c r="CJ569" s="1"/>
      <c r="CK569" s="1"/>
      <c r="CL569" s="1"/>
      <c r="CM569" s="1"/>
      <c r="CN569" s="1"/>
      <c r="CO569" s="1"/>
      <c r="CP569" s="1"/>
      <c r="CQ569" s="1"/>
      <c r="CR569" s="1"/>
      <c r="CS569" s="1"/>
      <c r="CT569" s="1"/>
      <c r="CU569" s="1"/>
      <c r="CV569" s="1"/>
      <c r="CW569" s="1"/>
      <c r="CX569" s="1"/>
      <c r="CY569" s="1"/>
      <c r="CZ569" s="1"/>
    </row>
    <row r="570" spans="1:104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  <c r="BP570" s="1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  <c r="CC570" s="1"/>
      <c r="CD570" s="1"/>
      <c r="CE570" s="1"/>
      <c r="CF570" s="1"/>
      <c r="CG570" s="1"/>
      <c r="CH570" s="1"/>
      <c r="CI570" s="1"/>
      <c r="CJ570" s="1"/>
      <c r="CK570" s="1"/>
      <c r="CL570" s="1"/>
      <c r="CM570" s="1"/>
      <c r="CN570" s="1"/>
      <c r="CO570" s="1"/>
      <c r="CP570" s="1"/>
      <c r="CQ570" s="1"/>
      <c r="CR570" s="1"/>
      <c r="CS570" s="1"/>
      <c r="CT570" s="1"/>
      <c r="CU570" s="1"/>
      <c r="CV570" s="1"/>
      <c r="CW570" s="1"/>
      <c r="CX570" s="1"/>
      <c r="CY570" s="1"/>
      <c r="CZ570" s="1"/>
    </row>
    <row r="571" spans="1:104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  <c r="BP571" s="1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  <c r="CC571" s="1"/>
      <c r="CD571" s="1"/>
      <c r="CE571" s="1"/>
      <c r="CF571" s="1"/>
      <c r="CG571" s="1"/>
      <c r="CH571" s="1"/>
      <c r="CI571" s="1"/>
      <c r="CJ571" s="1"/>
      <c r="CK571" s="1"/>
      <c r="CL571" s="1"/>
      <c r="CM571" s="1"/>
      <c r="CN571" s="1"/>
      <c r="CO571" s="1"/>
      <c r="CP571" s="1"/>
      <c r="CQ571" s="1"/>
      <c r="CR571" s="1"/>
      <c r="CS571" s="1"/>
      <c r="CT571" s="1"/>
      <c r="CU571" s="1"/>
      <c r="CV571" s="1"/>
      <c r="CW571" s="1"/>
      <c r="CX571" s="1"/>
      <c r="CY571" s="1"/>
      <c r="CZ571" s="1"/>
    </row>
    <row r="572" spans="1:104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  <c r="BP572" s="1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  <c r="CC572" s="1"/>
      <c r="CD572" s="1"/>
      <c r="CE572" s="1"/>
      <c r="CF572" s="1"/>
      <c r="CG572" s="1"/>
      <c r="CH572" s="1"/>
      <c r="CI572" s="1"/>
      <c r="CJ572" s="1"/>
      <c r="CK572" s="1"/>
      <c r="CL572" s="1"/>
      <c r="CM572" s="1"/>
      <c r="CN572" s="1"/>
      <c r="CO572" s="1"/>
      <c r="CP572" s="1"/>
      <c r="CQ572" s="1"/>
      <c r="CR572" s="1"/>
      <c r="CS572" s="1"/>
      <c r="CT572" s="1"/>
      <c r="CU572" s="1"/>
      <c r="CV572" s="1"/>
      <c r="CW572" s="1"/>
      <c r="CX572" s="1"/>
      <c r="CY572" s="1"/>
      <c r="CZ572" s="1"/>
    </row>
    <row r="573" spans="1:104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  <c r="CC573" s="1"/>
      <c r="CD573" s="1"/>
      <c r="CE573" s="1"/>
      <c r="CF573" s="1"/>
      <c r="CG573" s="1"/>
      <c r="CH573" s="1"/>
      <c r="CI573" s="1"/>
      <c r="CJ573" s="1"/>
      <c r="CK573" s="1"/>
      <c r="CL573" s="1"/>
      <c r="CM573" s="1"/>
      <c r="CN573" s="1"/>
      <c r="CO573" s="1"/>
      <c r="CP573" s="1"/>
      <c r="CQ573" s="1"/>
      <c r="CR573" s="1"/>
      <c r="CS573" s="1"/>
      <c r="CT573" s="1"/>
      <c r="CU573" s="1"/>
      <c r="CV573" s="1"/>
      <c r="CW573" s="1"/>
      <c r="CX573" s="1"/>
      <c r="CY573" s="1"/>
      <c r="CZ573" s="1"/>
    </row>
    <row r="574" spans="1:104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  <c r="CC574" s="1"/>
      <c r="CD574" s="1"/>
      <c r="CE574" s="1"/>
      <c r="CF574" s="1"/>
      <c r="CG574" s="1"/>
      <c r="CH574" s="1"/>
      <c r="CI574" s="1"/>
      <c r="CJ574" s="1"/>
      <c r="CK574" s="1"/>
      <c r="CL574" s="1"/>
      <c r="CM574" s="1"/>
      <c r="CN574" s="1"/>
      <c r="CO574" s="1"/>
      <c r="CP574" s="1"/>
      <c r="CQ574" s="1"/>
      <c r="CR574" s="1"/>
      <c r="CS574" s="1"/>
      <c r="CT574" s="1"/>
      <c r="CU574" s="1"/>
      <c r="CV574" s="1"/>
      <c r="CW574" s="1"/>
      <c r="CX574" s="1"/>
      <c r="CY574" s="1"/>
      <c r="CZ574" s="1"/>
    </row>
    <row r="575" spans="1:104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  <c r="CC575" s="1"/>
      <c r="CD575" s="1"/>
      <c r="CE575" s="1"/>
      <c r="CF575" s="1"/>
      <c r="CG575" s="1"/>
      <c r="CH575" s="1"/>
      <c r="CI575" s="1"/>
      <c r="CJ575" s="1"/>
      <c r="CK575" s="1"/>
      <c r="CL575" s="1"/>
      <c r="CM575" s="1"/>
      <c r="CN575" s="1"/>
      <c r="CO575" s="1"/>
      <c r="CP575" s="1"/>
      <c r="CQ575" s="1"/>
      <c r="CR575" s="1"/>
      <c r="CS575" s="1"/>
      <c r="CT575" s="1"/>
      <c r="CU575" s="1"/>
      <c r="CV575" s="1"/>
      <c r="CW575" s="1"/>
      <c r="CX575" s="1"/>
      <c r="CY575" s="1"/>
      <c r="CZ575" s="1"/>
    </row>
    <row r="576" spans="1:104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  <c r="BO576" s="1"/>
      <c r="BP576" s="1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  <c r="CC576" s="1"/>
      <c r="CD576" s="1"/>
      <c r="CE576" s="1"/>
      <c r="CF576" s="1"/>
      <c r="CG576" s="1"/>
      <c r="CH576" s="1"/>
      <c r="CI576" s="1"/>
      <c r="CJ576" s="1"/>
      <c r="CK576" s="1"/>
      <c r="CL576" s="1"/>
      <c r="CM576" s="1"/>
      <c r="CN576" s="1"/>
      <c r="CO576" s="1"/>
      <c r="CP576" s="1"/>
      <c r="CQ576" s="1"/>
      <c r="CR576" s="1"/>
      <c r="CS576" s="1"/>
      <c r="CT576" s="1"/>
      <c r="CU576" s="1"/>
      <c r="CV576" s="1"/>
      <c r="CW576" s="1"/>
      <c r="CX576" s="1"/>
      <c r="CY576" s="1"/>
      <c r="CZ576" s="1"/>
    </row>
    <row r="577" spans="1:104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  <c r="BO577" s="1"/>
      <c r="BP577" s="1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  <c r="CC577" s="1"/>
      <c r="CD577" s="1"/>
      <c r="CE577" s="1"/>
      <c r="CF577" s="1"/>
      <c r="CG577" s="1"/>
      <c r="CH577" s="1"/>
      <c r="CI577" s="1"/>
      <c r="CJ577" s="1"/>
      <c r="CK577" s="1"/>
      <c r="CL577" s="1"/>
      <c r="CM577" s="1"/>
      <c r="CN577" s="1"/>
      <c r="CO577" s="1"/>
      <c r="CP577" s="1"/>
      <c r="CQ577" s="1"/>
      <c r="CR577" s="1"/>
      <c r="CS577" s="1"/>
      <c r="CT577" s="1"/>
      <c r="CU577" s="1"/>
      <c r="CV577" s="1"/>
      <c r="CW577" s="1"/>
      <c r="CX577" s="1"/>
      <c r="CY577" s="1"/>
      <c r="CZ577" s="1"/>
    </row>
    <row r="578" spans="1:104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  <c r="CC578" s="1"/>
      <c r="CD578" s="1"/>
      <c r="CE578" s="1"/>
      <c r="CF578" s="1"/>
      <c r="CG578" s="1"/>
      <c r="CH578" s="1"/>
      <c r="CI578" s="1"/>
      <c r="CJ578" s="1"/>
      <c r="CK578" s="1"/>
      <c r="CL578" s="1"/>
      <c r="CM578" s="1"/>
      <c r="CN578" s="1"/>
      <c r="CO578" s="1"/>
      <c r="CP578" s="1"/>
      <c r="CQ578" s="1"/>
      <c r="CR578" s="1"/>
      <c r="CS578" s="1"/>
      <c r="CT578" s="1"/>
      <c r="CU578" s="1"/>
      <c r="CV578" s="1"/>
      <c r="CW578" s="1"/>
      <c r="CX578" s="1"/>
      <c r="CY578" s="1"/>
      <c r="CZ578" s="1"/>
    </row>
    <row r="579" spans="1:104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  <c r="CC579" s="1"/>
      <c r="CD579" s="1"/>
      <c r="CE579" s="1"/>
      <c r="CF579" s="1"/>
      <c r="CG579" s="1"/>
      <c r="CH579" s="1"/>
      <c r="CI579" s="1"/>
      <c r="CJ579" s="1"/>
      <c r="CK579" s="1"/>
      <c r="CL579" s="1"/>
      <c r="CM579" s="1"/>
      <c r="CN579" s="1"/>
      <c r="CO579" s="1"/>
      <c r="CP579" s="1"/>
      <c r="CQ579" s="1"/>
      <c r="CR579" s="1"/>
      <c r="CS579" s="1"/>
      <c r="CT579" s="1"/>
      <c r="CU579" s="1"/>
      <c r="CV579" s="1"/>
      <c r="CW579" s="1"/>
      <c r="CX579" s="1"/>
      <c r="CY579" s="1"/>
      <c r="CZ579" s="1"/>
    </row>
    <row r="580" spans="1:104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  <c r="CC580" s="1"/>
      <c r="CD580" s="1"/>
      <c r="CE580" s="1"/>
      <c r="CF580" s="1"/>
      <c r="CG580" s="1"/>
      <c r="CH580" s="1"/>
      <c r="CI580" s="1"/>
      <c r="CJ580" s="1"/>
      <c r="CK580" s="1"/>
      <c r="CL580" s="1"/>
      <c r="CM580" s="1"/>
      <c r="CN580" s="1"/>
      <c r="CO580" s="1"/>
      <c r="CP580" s="1"/>
      <c r="CQ580" s="1"/>
      <c r="CR580" s="1"/>
      <c r="CS580" s="1"/>
      <c r="CT580" s="1"/>
      <c r="CU580" s="1"/>
      <c r="CV580" s="1"/>
      <c r="CW580" s="1"/>
      <c r="CX580" s="1"/>
      <c r="CY580" s="1"/>
      <c r="CZ580" s="1"/>
    </row>
    <row r="581" spans="1:104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  <c r="CC581" s="1"/>
      <c r="CD581" s="1"/>
      <c r="CE581" s="1"/>
      <c r="CF581" s="1"/>
      <c r="CG581" s="1"/>
      <c r="CH581" s="1"/>
      <c r="CI581" s="1"/>
      <c r="CJ581" s="1"/>
      <c r="CK581" s="1"/>
      <c r="CL581" s="1"/>
      <c r="CM581" s="1"/>
      <c r="CN581" s="1"/>
      <c r="CO581" s="1"/>
      <c r="CP581" s="1"/>
      <c r="CQ581" s="1"/>
      <c r="CR581" s="1"/>
      <c r="CS581" s="1"/>
      <c r="CT581" s="1"/>
      <c r="CU581" s="1"/>
      <c r="CV581" s="1"/>
      <c r="CW581" s="1"/>
      <c r="CX581" s="1"/>
      <c r="CY581" s="1"/>
      <c r="CZ581" s="1"/>
    </row>
    <row r="582" spans="1:104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  <c r="CC582" s="1"/>
      <c r="CD582" s="1"/>
      <c r="CE582" s="1"/>
      <c r="CF582" s="1"/>
      <c r="CG582" s="1"/>
      <c r="CH582" s="1"/>
      <c r="CI582" s="1"/>
      <c r="CJ582" s="1"/>
      <c r="CK582" s="1"/>
      <c r="CL582" s="1"/>
      <c r="CM582" s="1"/>
      <c r="CN582" s="1"/>
      <c r="CO582" s="1"/>
      <c r="CP582" s="1"/>
      <c r="CQ582" s="1"/>
      <c r="CR582" s="1"/>
      <c r="CS582" s="1"/>
      <c r="CT582" s="1"/>
      <c r="CU582" s="1"/>
      <c r="CV582" s="1"/>
      <c r="CW582" s="1"/>
      <c r="CX582" s="1"/>
      <c r="CY582" s="1"/>
      <c r="CZ582" s="1"/>
    </row>
    <row r="583" spans="1:104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  <c r="CC583" s="1"/>
      <c r="CD583" s="1"/>
      <c r="CE583" s="1"/>
      <c r="CF583" s="1"/>
      <c r="CG583" s="1"/>
      <c r="CH583" s="1"/>
      <c r="CI583" s="1"/>
      <c r="CJ583" s="1"/>
      <c r="CK583" s="1"/>
      <c r="CL583" s="1"/>
      <c r="CM583" s="1"/>
      <c r="CN583" s="1"/>
      <c r="CO583" s="1"/>
      <c r="CP583" s="1"/>
      <c r="CQ583" s="1"/>
      <c r="CR583" s="1"/>
      <c r="CS583" s="1"/>
      <c r="CT583" s="1"/>
      <c r="CU583" s="1"/>
      <c r="CV583" s="1"/>
      <c r="CW583" s="1"/>
      <c r="CX583" s="1"/>
      <c r="CY583" s="1"/>
      <c r="CZ583" s="1"/>
    </row>
    <row r="584" spans="1:104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  <c r="CC584" s="1"/>
      <c r="CD584" s="1"/>
      <c r="CE584" s="1"/>
      <c r="CF584" s="1"/>
      <c r="CG584" s="1"/>
      <c r="CH584" s="1"/>
      <c r="CI584" s="1"/>
      <c r="CJ584" s="1"/>
      <c r="CK584" s="1"/>
      <c r="CL584" s="1"/>
      <c r="CM584" s="1"/>
      <c r="CN584" s="1"/>
      <c r="CO584" s="1"/>
      <c r="CP584" s="1"/>
      <c r="CQ584" s="1"/>
      <c r="CR584" s="1"/>
      <c r="CS584" s="1"/>
      <c r="CT584" s="1"/>
      <c r="CU584" s="1"/>
      <c r="CV584" s="1"/>
      <c r="CW584" s="1"/>
      <c r="CX584" s="1"/>
      <c r="CY584" s="1"/>
      <c r="CZ584" s="1"/>
    </row>
    <row r="585" spans="1:104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  <c r="CC585" s="1"/>
      <c r="CD585" s="1"/>
      <c r="CE585" s="1"/>
      <c r="CF585" s="1"/>
      <c r="CG585" s="1"/>
      <c r="CH585" s="1"/>
      <c r="CI585" s="1"/>
      <c r="CJ585" s="1"/>
      <c r="CK585" s="1"/>
      <c r="CL585" s="1"/>
      <c r="CM585" s="1"/>
      <c r="CN585" s="1"/>
      <c r="CO585" s="1"/>
      <c r="CP585" s="1"/>
      <c r="CQ585" s="1"/>
      <c r="CR585" s="1"/>
      <c r="CS585" s="1"/>
      <c r="CT585" s="1"/>
      <c r="CU585" s="1"/>
      <c r="CV585" s="1"/>
      <c r="CW585" s="1"/>
      <c r="CX585" s="1"/>
      <c r="CY585" s="1"/>
      <c r="CZ585" s="1"/>
    </row>
    <row r="586" spans="1:104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  <c r="CC586" s="1"/>
      <c r="CD586" s="1"/>
      <c r="CE586" s="1"/>
      <c r="CF586" s="1"/>
      <c r="CG586" s="1"/>
      <c r="CH586" s="1"/>
      <c r="CI586" s="1"/>
      <c r="CJ586" s="1"/>
      <c r="CK586" s="1"/>
      <c r="CL586" s="1"/>
      <c r="CM586" s="1"/>
      <c r="CN586" s="1"/>
      <c r="CO586" s="1"/>
      <c r="CP586" s="1"/>
      <c r="CQ586" s="1"/>
      <c r="CR586" s="1"/>
      <c r="CS586" s="1"/>
      <c r="CT586" s="1"/>
      <c r="CU586" s="1"/>
      <c r="CV586" s="1"/>
      <c r="CW586" s="1"/>
      <c r="CX586" s="1"/>
      <c r="CY586" s="1"/>
      <c r="CZ586" s="1"/>
    </row>
    <row r="587" spans="1:104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  <c r="CC587" s="1"/>
      <c r="CD587" s="1"/>
      <c r="CE587" s="1"/>
      <c r="CF587" s="1"/>
      <c r="CG587" s="1"/>
      <c r="CH587" s="1"/>
      <c r="CI587" s="1"/>
      <c r="CJ587" s="1"/>
      <c r="CK587" s="1"/>
      <c r="CL587" s="1"/>
      <c r="CM587" s="1"/>
      <c r="CN587" s="1"/>
      <c r="CO587" s="1"/>
      <c r="CP587" s="1"/>
      <c r="CQ587" s="1"/>
      <c r="CR587" s="1"/>
      <c r="CS587" s="1"/>
      <c r="CT587" s="1"/>
      <c r="CU587" s="1"/>
      <c r="CV587" s="1"/>
      <c r="CW587" s="1"/>
      <c r="CX587" s="1"/>
      <c r="CY587" s="1"/>
      <c r="CZ587" s="1"/>
    </row>
    <row r="588" spans="1:104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  <c r="CC588" s="1"/>
      <c r="CD588" s="1"/>
      <c r="CE588" s="1"/>
      <c r="CF588" s="1"/>
      <c r="CG588" s="1"/>
      <c r="CH588" s="1"/>
      <c r="CI588" s="1"/>
      <c r="CJ588" s="1"/>
      <c r="CK588" s="1"/>
      <c r="CL588" s="1"/>
      <c r="CM588" s="1"/>
      <c r="CN588" s="1"/>
      <c r="CO588" s="1"/>
      <c r="CP588" s="1"/>
      <c r="CQ588" s="1"/>
      <c r="CR588" s="1"/>
      <c r="CS588" s="1"/>
      <c r="CT588" s="1"/>
      <c r="CU588" s="1"/>
      <c r="CV588" s="1"/>
      <c r="CW588" s="1"/>
      <c r="CX588" s="1"/>
      <c r="CY588" s="1"/>
      <c r="CZ588" s="1"/>
    </row>
    <row r="589" spans="1:104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  <c r="CC589" s="1"/>
      <c r="CD589" s="1"/>
      <c r="CE589" s="1"/>
      <c r="CF589" s="1"/>
      <c r="CG589" s="1"/>
      <c r="CH589" s="1"/>
      <c r="CI589" s="1"/>
      <c r="CJ589" s="1"/>
      <c r="CK589" s="1"/>
      <c r="CL589" s="1"/>
      <c r="CM589" s="1"/>
      <c r="CN589" s="1"/>
      <c r="CO589" s="1"/>
      <c r="CP589" s="1"/>
      <c r="CQ589" s="1"/>
      <c r="CR589" s="1"/>
      <c r="CS589" s="1"/>
      <c r="CT589" s="1"/>
      <c r="CU589" s="1"/>
      <c r="CV589" s="1"/>
      <c r="CW589" s="1"/>
      <c r="CX589" s="1"/>
      <c r="CY589" s="1"/>
      <c r="CZ589" s="1"/>
    </row>
    <row r="590" spans="1:104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  <c r="CC590" s="1"/>
      <c r="CD590" s="1"/>
      <c r="CE590" s="1"/>
      <c r="CF590" s="1"/>
      <c r="CG590" s="1"/>
      <c r="CH590" s="1"/>
      <c r="CI590" s="1"/>
      <c r="CJ590" s="1"/>
      <c r="CK590" s="1"/>
      <c r="CL590" s="1"/>
      <c r="CM590" s="1"/>
      <c r="CN590" s="1"/>
      <c r="CO590" s="1"/>
      <c r="CP590" s="1"/>
      <c r="CQ590" s="1"/>
      <c r="CR590" s="1"/>
      <c r="CS590" s="1"/>
      <c r="CT590" s="1"/>
      <c r="CU590" s="1"/>
      <c r="CV590" s="1"/>
      <c r="CW590" s="1"/>
      <c r="CX590" s="1"/>
      <c r="CY590" s="1"/>
      <c r="CZ590" s="1"/>
    </row>
    <row r="591" spans="1:104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  <c r="CC591" s="1"/>
      <c r="CD591" s="1"/>
      <c r="CE591" s="1"/>
      <c r="CF591" s="1"/>
      <c r="CG591" s="1"/>
      <c r="CH591" s="1"/>
      <c r="CI591" s="1"/>
      <c r="CJ591" s="1"/>
      <c r="CK591" s="1"/>
      <c r="CL591" s="1"/>
      <c r="CM591" s="1"/>
      <c r="CN591" s="1"/>
      <c r="CO591" s="1"/>
      <c r="CP591" s="1"/>
      <c r="CQ591" s="1"/>
      <c r="CR591" s="1"/>
      <c r="CS591" s="1"/>
      <c r="CT591" s="1"/>
      <c r="CU591" s="1"/>
      <c r="CV591" s="1"/>
      <c r="CW591" s="1"/>
      <c r="CX591" s="1"/>
      <c r="CY591" s="1"/>
      <c r="CZ591" s="1"/>
    </row>
    <row r="592" spans="1:104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  <c r="CC592" s="1"/>
      <c r="CD592" s="1"/>
      <c r="CE592" s="1"/>
      <c r="CF592" s="1"/>
      <c r="CG592" s="1"/>
      <c r="CH592" s="1"/>
      <c r="CI592" s="1"/>
      <c r="CJ592" s="1"/>
      <c r="CK592" s="1"/>
      <c r="CL592" s="1"/>
      <c r="CM592" s="1"/>
      <c r="CN592" s="1"/>
      <c r="CO592" s="1"/>
      <c r="CP592" s="1"/>
      <c r="CQ592" s="1"/>
      <c r="CR592" s="1"/>
      <c r="CS592" s="1"/>
      <c r="CT592" s="1"/>
      <c r="CU592" s="1"/>
      <c r="CV592" s="1"/>
      <c r="CW592" s="1"/>
      <c r="CX592" s="1"/>
      <c r="CY592" s="1"/>
      <c r="CZ592" s="1"/>
    </row>
    <row r="593" spans="1:104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  <c r="CC593" s="1"/>
      <c r="CD593" s="1"/>
      <c r="CE593" s="1"/>
      <c r="CF593" s="1"/>
      <c r="CG593" s="1"/>
      <c r="CH593" s="1"/>
      <c r="CI593" s="1"/>
      <c r="CJ593" s="1"/>
      <c r="CK593" s="1"/>
      <c r="CL593" s="1"/>
      <c r="CM593" s="1"/>
      <c r="CN593" s="1"/>
      <c r="CO593" s="1"/>
      <c r="CP593" s="1"/>
      <c r="CQ593" s="1"/>
      <c r="CR593" s="1"/>
      <c r="CS593" s="1"/>
      <c r="CT593" s="1"/>
      <c r="CU593" s="1"/>
      <c r="CV593" s="1"/>
      <c r="CW593" s="1"/>
      <c r="CX593" s="1"/>
      <c r="CY593" s="1"/>
      <c r="CZ593" s="1"/>
    </row>
    <row r="594" spans="1:104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  <c r="CC594" s="1"/>
      <c r="CD594" s="1"/>
      <c r="CE594" s="1"/>
      <c r="CF594" s="1"/>
      <c r="CG594" s="1"/>
      <c r="CH594" s="1"/>
      <c r="CI594" s="1"/>
      <c r="CJ594" s="1"/>
      <c r="CK594" s="1"/>
      <c r="CL594" s="1"/>
      <c r="CM594" s="1"/>
      <c r="CN594" s="1"/>
      <c r="CO594" s="1"/>
      <c r="CP594" s="1"/>
      <c r="CQ594" s="1"/>
      <c r="CR594" s="1"/>
      <c r="CS594" s="1"/>
      <c r="CT594" s="1"/>
      <c r="CU594" s="1"/>
      <c r="CV594" s="1"/>
      <c r="CW594" s="1"/>
      <c r="CX594" s="1"/>
      <c r="CY594" s="1"/>
      <c r="CZ594" s="1"/>
    </row>
    <row r="595" spans="1:104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  <c r="CC595" s="1"/>
      <c r="CD595" s="1"/>
      <c r="CE595" s="1"/>
      <c r="CF595" s="1"/>
      <c r="CG595" s="1"/>
      <c r="CH595" s="1"/>
      <c r="CI595" s="1"/>
      <c r="CJ595" s="1"/>
      <c r="CK595" s="1"/>
      <c r="CL595" s="1"/>
      <c r="CM595" s="1"/>
      <c r="CN595" s="1"/>
      <c r="CO595" s="1"/>
      <c r="CP595" s="1"/>
      <c r="CQ595" s="1"/>
      <c r="CR595" s="1"/>
      <c r="CS595" s="1"/>
      <c r="CT595" s="1"/>
      <c r="CU595" s="1"/>
      <c r="CV595" s="1"/>
      <c r="CW595" s="1"/>
      <c r="CX595" s="1"/>
      <c r="CY595" s="1"/>
      <c r="CZ595" s="1"/>
    </row>
    <row r="596" spans="1:104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  <c r="CC596" s="1"/>
      <c r="CD596" s="1"/>
      <c r="CE596" s="1"/>
      <c r="CF596" s="1"/>
      <c r="CG596" s="1"/>
      <c r="CH596" s="1"/>
      <c r="CI596" s="1"/>
      <c r="CJ596" s="1"/>
      <c r="CK596" s="1"/>
      <c r="CL596" s="1"/>
      <c r="CM596" s="1"/>
      <c r="CN596" s="1"/>
      <c r="CO596" s="1"/>
      <c r="CP596" s="1"/>
      <c r="CQ596" s="1"/>
      <c r="CR596" s="1"/>
      <c r="CS596" s="1"/>
      <c r="CT596" s="1"/>
      <c r="CU596" s="1"/>
      <c r="CV596" s="1"/>
      <c r="CW596" s="1"/>
      <c r="CX596" s="1"/>
      <c r="CY596" s="1"/>
      <c r="CZ596" s="1"/>
    </row>
    <row r="597" spans="1:104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  <c r="CC597" s="1"/>
      <c r="CD597" s="1"/>
      <c r="CE597" s="1"/>
      <c r="CF597" s="1"/>
      <c r="CG597" s="1"/>
      <c r="CH597" s="1"/>
      <c r="CI597" s="1"/>
      <c r="CJ597" s="1"/>
      <c r="CK597" s="1"/>
      <c r="CL597" s="1"/>
      <c r="CM597" s="1"/>
      <c r="CN597" s="1"/>
      <c r="CO597" s="1"/>
      <c r="CP597" s="1"/>
      <c r="CQ597" s="1"/>
      <c r="CR597" s="1"/>
      <c r="CS597" s="1"/>
      <c r="CT597" s="1"/>
      <c r="CU597" s="1"/>
      <c r="CV597" s="1"/>
      <c r="CW597" s="1"/>
      <c r="CX597" s="1"/>
      <c r="CY597" s="1"/>
      <c r="CZ597" s="1"/>
    </row>
    <row r="598" spans="1:104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  <c r="CC598" s="1"/>
      <c r="CD598" s="1"/>
      <c r="CE598" s="1"/>
      <c r="CF598" s="1"/>
      <c r="CG598" s="1"/>
      <c r="CH598" s="1"/>
      <c r="CI598" s="1"/>
      <c r="CJ598" s="1"/>
      <c r="CK598" s="1"/>
      <c r="CL598" s="1"/>
      <c r="CM598" s="1"/>
      <c r="CN598" s="1"/>
      <c r="CO598" s="1"/>
      <c r="CP598" s="1"/>
      <c r="CQ598" s="1"/>
      <c r="CR598" s="1"/>
      <c r="CS598" s="1"/>
      <c r="CT598" s="1"/>
      <c r="CU598" s="1"/>
      <c r="CV598" s="1"/>
      <c r="CW598" s="1"/>
      <c r="CX598" s="1"/>
      <c r="CY598" s="1"/>
      <c r="CZ598" s="1"/>
    </row>
    <row r="599" spans="1:104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  <c r="CC599" s="1"/>
      <c r="CD599" s="1"/>
      <c r="CE599" s="1"/>
      <c r="CF599" s="1"/>
      <c r="CG599" s="1"/>
      <c r="CH599" s="1"/>
      <c r="CI599" s="1"/>
      <c r="CJ599" s="1"/>
      <c r="CK599" s="1"/>
      <c r="CL599" s="1"/>
      <c r="CM599" s="1"/>
      <c r="CN599" s="1"/>
      <c r="CO599" s="1"/>
      <c r="CP599" s="1"/>
      <c r="CQ599" s="1"/>
      <c r="CR599" s="1"/>
      <c r="CS599" s="1"/>
      <c r="CT599" s="1"/>
      <c r="CU599" s="1"/>
      <c r="CV599" s="1"/>
      <c r="CW599" s="1"/>
      <c r="CX599" s="1"/>
      <c r="CY599" s="1"/>
      <c r="CZ599" s="1"/>
    </row>
    <row r="600" spans="1:104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  <c r="CC600" s="1"/>
      <c r="CD600" s="1"/>
      <c r="CE600" s="1"/>
      <c r="CF600" s="1"/>
      <c r="CG600" s="1"/>
      <c r="CH600" s="1"/>
      <c r="CI600" s="1"/>
      <c r="CJ600" s="1"/>
      <c r="CK600" s="1"/>
      <c r="CL600" s="1"/>
      <c r="CM600" s="1"/>
      <c r="CN600" s="1"/>
      <c r="CO600" s="1"/>
      <c r="CP600" s="1"/>
      <c r="CQ600" s="1"/>
      <c r="CR600" s="1"/>
      <c r="CS600" s="1"/>
      <c r="CT600" s="1"/>
      <c r="CU600" s="1"/>
      <c r="CV600" s="1"/>
      <c r="CW600" s="1"/>
      <c r="CX600" s="1"/>
      <c r="CY600" s="1"/>
      <c r="CZ600" s="1"/>
    </row>
    <row r="601" spans="1:104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  <c r="CC601" s="1"/>
      <c r="CD601" s="1"/>
      <c r="CE601" s="1"/>
      <c r="CF601" s="1"/>
      <c r="CG601" s="1"/>
      <c r="CH601" s="1"/>
      <c r="CI601" s="1"/>
      <c r="CJ601" s="1"/>
      <c r="CK601" s="1"/>
      <c r="CL601" s="1"/>
      <c r="CM601" s="1"/>
      <c r="CN601" s="1"/>
      <c r="CO601" s="1"/>
      <c r="CP601" s="1"/>
      <c r="CQ601" s="1"/>
      <c r="CR601" s="1"/>
      <c r="CS601" s="1"/>
      <c r="CT601" s="1"/>
      <c r="CU601" s="1"/>
      <c r="CV601" s="1"/>
      <c r="CW601" s="1"/>
      <c r="CX601" s="1"/>
      <c r="CY601" s="1"/>
      <c r="CZ601" s="1"/>
    </row>
    <row r="602" spans="1:104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  <c r="CC602" s="1"/>
      <c r="CD602" s="1"/>
      <c r="CE602" s="1"/>
      <c r="CF602" s="1"/>
      <c r="CG602" s="1"/>
      <c r="CH602" s="1"/>
      <c r="CI602" s="1"/>
      <c r="CJ602" s="1"/>
      <c r="CK602" s="1"/>
      <c r="CL602" s="1"/>
      <c r="CM602" s="1"/>
      <c r="CN602" s="1"/>
      <c r="CO602" s="1"/>
      <c r="CP602" s="1"/>
      <c r="CQ602" s="1"/>
      <c r="CR602" s="1"/>
      <c r="CS602" s="1"/>
      <c r="CT602" s="1"/>
      <c r="CU602" s="1"/>
      <c r="CV602" s="1"/>
      <c r="CW602" s="1"/>
      <c r="CX602" s="1"/>
      <c r="CY602" s="1"/>
      <c r="CZ602" s="1"/>
    </row>
    <row r="603" spans="1:104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  <c r="CC603" s="1"/>
      <c r="CD603" s="1"/>
      <c r="CE603" s="1"/>
      <c r="CF603" s="1"/>
      <c r="CG603" s="1"/>
      <c r="CH603" s="1"/>
      <c r="CI603" s="1"/>
      <c r="CJ603" s="1"/>
      <c r="CK603" s="1"/>
      <c r="CL603" s="1"/>
      <c r="CM603" s="1"/>
      <c r="CN603" s="1"/>
      <c r="CO603" s="1"/>
      <c r="CP603" s="1"/>
      <c r="CQ603" s="1"/>
      <c r="CR603" s="1"/>
      <c r="CS603" s="1"/>
      <c r="CT603" s="1"/>
      <c r="CU603" s="1"/>
      <c r="CV603" s="1"/>
      <c r="CW603" s="1"/>
      <c r="CX603" s="1"/>
      <c r="CY603" s="1"/>
      <c r="CZ603" s="1"/>
    </row>
    <row r="604" spans="1:104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  <c r="CC604" s="1"/>
      <c r="CD604" s="1"/>
      <c r="CE604" s="1"/>
      <c r="CF604" s="1"/>
      <c r="CG604" s="1"/>
      <c r="CH604" s="1"/>
      <c r="CI604" s="1"/>
      <c r="CJ604" s="1"/>
      <c r="CK604" s="1"/>
      <c r="CL604" s="1"/>
      <c r="CM604" s="1"/>
      <c r="CN604" s="1"/>
      <c r="CO604" s="1"/>
      <c r="CP604" s="1"/>
      <c r="CQ604" s="1"/>
      <c r="CR604" s="1"/>
      <c r="CS604" s="1"/>
      <c r="CT604" s="1"/>
      <c r="CU604" s="1"/>
      <c r="CV604" s="1"/>
      <c r="CW604" s="1"/>
      <c r="CX604" s="1"/>
      <c r="CY604" s="1"/>
      <c r="CZ604" s="1"/>
    </row>
    <row r="605" spans="1:104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  <c r="CC605" s="1"/>
      <c r="CD605" s="1"/>
      <c r="CE605" s="1"/>
      <c r="CF605" s="1"/>
      <c r="CG605" s="1"/>
      <c r="CH605" s="1"/>
      <c r="CI605" s="1"/>
      <c r="CJ605" s="1"/>
      <c r="CK605" s="1"/>
      <c r="CL605" s="1"/>
      <c r="CM605" s="1"/>
      <c r="CN605" s="1"/>
      <c r="CO605" s="1"/>
      <c r="CP605" s="1"/>
      <c r="CQ605" s="1"/>
      <c r="CR605" s="1"/>
      <c r="CS605" s="1"/>
      <c r="CT605" s="1"/>
      <c r="CU605" s="1"/>
      <c r="CV605" s="1"/>
      <c r="CW605" s="1"/>
      <c r="CX605" s="1"/>
      <c r="CY605" s="1"/>
      <c r="CZ605" s="1"/>
    </row>
    <row r="606" spans="1:104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  <c r="CC606" s="1"/>
      <c r="CD606" s="1"/>
      <c r="CE606" s="1"/>
      <c r="CF606" s="1"/>
      <c r="CG606" s="1"/>
      <c r="CH606" s="1"/>
      <c r="CI606" s="1"/>
      <c r="CJ606" s="1"/>
      <c r="CK606" s="1"/>
      <c r="CL606" s="1"/>
      <c r="CM606" s="1"/>
      <c r="CN606" s="1"/>
      <c r="CO606" s="1"/>
      <c r="CP606" s="1"/>
      <c r="CQ606" s="1"/>
      <c r="CR606" s="1"/>
      <c r="CS606" s="1"/>
      <c r="CT606" s="1"/>
      <c r="CU606" s="1"/>
      <c r="CV606" s="1"/>
      <c r="CW606" s="1"/>
      <c r="CX606" s="1"/>
      <c r="CY606" s="1"/>
      <c r="CZ606" s="1"/>
    </row>
    <row r="607" spans="1:104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  <c r="CC607" s="1"/>
      <c r="CD607" s="1"/>
      <c r="CE607" s="1"/>
      <c r="CF607" s="1"/>
      <c r="CG607" s="1"/>
      <c r="CH607" s="1"/>
      <c r="CI607" s="1"/>
      <c r="CJ607" s="1"/>
      <c r="CK607" s="1"/>
      <c r="CL607" s="1"/>
      <c r="CM607" s="1"/>
      <c r="CN607" s="1"/>
      <c r="CO607" s="1"/>
      <c r="CP607" s="1"/>
      <c r="CQ607" s="1"/>
      <c r="CR607" s="1"/>
      <c r="CS607" s="1"/>
      <c r="CT607" s="1"/>
      <c r="CU607" s="1"/>
      <c r="CV607" s="1"/>
      <c r="CW607" s="1"/>
      <c r="CX607" s="1"/>
      <c r="CY607" s="1"/>
      <c r="CZ607" s="1"/>
    </row>
    <row r="608" spans="1:104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  <c r="CC608" s="1"/>
      <c r="CD608" s="1"/>
      <c r="CE608" s="1"/>
      <c r="CF608" s="1"/>
      <c r="CG608" s="1"/>
      <c r="CH608" s="1"/>
      <c r="CI608" s="1"/>
      <c r="CJ608" s="1"/>
      <c r="CK608" s="1"/>
      <c r="CL608" s="1"/>
      <c r="CM608" s="1"/>
      <c r="CN608" s="1"/>
      <c r="CO608" s="1"/>
      <c r="CP608" s="1"/>
      <c r="CQ608" s="1"/>
      <c r="CR608" s="1"/>
      <c r="CS608" s="1"/>
      <c r="CT608" s="1"/>
      <c r="CU608" s="1"/>
      <c r="CV608" s="1"/>
      <c r="CW608" s="1"/>
      <c r="CX608" s="1"/>
      <c r="CY608" s="1"/>
      <c r="CZ608" s="1"/>
    </row>
    <row r="609" spans="1:104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  <c r="CC609" s="1"/>
      <c r="CD609" s="1"/>
      <c r="CE609" s="1"/>
      <c r="CF609" s="1"/>
      <c r="CG609" s="1"/>
      <c r="CH609" s="1"/>
      <c r="CI609" s="1"/>
      <c r="CJ609" s="1"/>
      <c r="CK609" s="1"/>
      <c r="CL609" s="1"/>
      <c r="CM609" s="1"/>
      <c r="CN609" s="1"/>
      <c r="CO609" s="1"/>
      <c r="CP609" s="1"/>
      <c r="CQ609" s="1"/>
      <c r="CR609" s="1"/>
      <c r="CS609" s="1"/>
      <c r="CT609" s="1"/>
      <c r="CU609" s="1"/>
      <c r="CV609" s="1"/>
      <c r="CW609" s="1"/>
      <c r="CX609" s="1"/>
      <c r="CY609" s="1"/>
      <c r="CZ609" s="1"/>
    </row>
    <row r="610" spans="1:104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  <c r="CC610" s="1"/>
      <c r="CD610" s="1"/>
      <c r="CE610" s="1"/>
      <c r="CF610" s="1"/>
      <c r="CG610" s="1"/>
      <c r="CH610" s="1"/>
      <c r="CI610" s="1"/>
      <c r="CJ610" s="1"/>
      <c r="CK610" s="1"/>
      <c r="CL610" s="1"/>
      <c r="CM610" s="1"/>
      <c r="CN610" s="1"/>
      <c r="CO610" s="1"/>
      <c r="CP610" s="1"/>
      <c r="CQ610" s="1"/>
      <c r="CR610" s="1"/>
      <c r="CS610" s="1"/>
      <c r="CT610" s="1"/>
      <c r="CU610" s="1"/>
      <c r="CV610" s="1"/>
      <c r="CW610" s="1"/>
      <c r="CX610" s="1"/>
      <c r="CY610" s="1"/>
      <c r="CZ610" s="1"/>
    </row>
    <row r="611" spans="1:104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  <c r="CC611" s="1"/>
      <c r="CD611" s="1"/>
      <c r="CE611" s="1"/>
      <c r="CF611" s="1"/>
      <c r="CG611" s="1"/>
      <c r="CH611" s="1"/>
      <c r="CI611" s="1"/>
      <c r="CJ611" s="1"/>
      <c r="CK611" s="1"/>
      <c r="CL611" s="1"/>
      <c r="CM611" s="1"/>
      <c r="CN611" s="1"/>
      <c r="CO611" s="1"/>
      <c r="CP611" s="1"/>
      <c r="CQ611" s="1"/>
      <c r="CR611" s="1"/>
      <c r="CS611" s="1"/>
      <c r="CT611" s="1"/>
      <c r="CU611" s="1"/>
      <c r="CV611" s="1"/>
      <c r="CW611" s="1"/>
      <c r="CX611" s="1"/>
      <c r="CY611" s="1"/>
      <c r="CZ611" s="1"/>
    </row>
    <row r="612" spans="1:104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  <c r="CC612" s="1"/>
      <c r="CD612" s="1"/>
      <c r="CE612" s="1"/>
      <c r="CF612" s="1"/>
      <c r="CG612" s="1"/>
      <c r="CH612" s="1"/>
      <c r="CI612" s="1"/>
      <c r="CJ612" s="1"/>
      <c r="CK612" s="1"/>
      <c r="CL612" s="1"/>
      <c r="CM612" s="1"/>
      <c r="CN612" s="1"/>
      <c r="CO612" s="1"/>
      <c r="CP612" s="1"/>
      <c r="CQ612" s="1"/>
      <c r="CR612" s="1"/>
      <c r="CS612" s="1"/>
      <c r="CT612" s="1"/>
      <c r="CU612" s="1"/>
      <c r="CV612" s="1"/>
      <c r="CW612" s="1"/>
      <c r="CX612" s="1"/>
      <c r="CY612" s="1"/>
      <c r="CZ612" s="1"/>
    </row>
    <row r="613" spans="1:104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  <c r="BO613" s="1"/>
      <c r="BP613" s="1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  <c r="CC613" s="1"/>
      <c r="CD613" s="1"/>
      <c r="CE613" s="1"/>
      <c r="CF613" s="1"/>
      <c r="CG613" s="1"/>
      <c r="CH613" s="1"/>
      <c r="CI613" s="1"/>
      <c r="CJ613" s="1"/>
      <c r="CK613" s="1"/>
      <c r="CL613" s="1"/>
      <c r="CM613" s="1"/>
      <c r="CN613" s="1"/>
      <c r="CO613" s="1"/>
      <c r="CP613" s="1"/>
      <c r="CQ613" s="1"/>
      <c r="CR613" s="1"/>
      <c r="CS613" s="1"/>
      <c r="CT613" s="1"/>
      <c r="CU613" s="1"/>
      <c r="CV613" s="1"/>
      <c r="CW613" s="1"/>
      <c r="CX613" s="1"/>
      <c r="CY613" s="1"/>
      <c r="CZ613" s="1"/>
    </row>
    <row r="614" spans="1:104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  <c r="BO614" s="1"/>
      <c r="BP614" s="1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  <c r="CC614" s="1"/>
      <c r="CD614" s="1"/>
      <c r="CE614" s="1"/>
      <c r="CF614" s="1"/>
      <c r="CG614" s="1"/>
      <c r="CH614" s="1"/>
      <c r="CI614" s="1"/>
      <c r="CJ614" s="1"/>
      <c r="CK614" s="1"/>
      <c r="CL614" s="1"/>
      <c r="CM614" s="1"/>
      <c r="CN614" s="1"/>
      <c r="CO614" s="1"/>
      <c r="CP614" s="1"/>
      <c r="CQ614" s="1"/>
      <c r="CR614" s="1"/>
      <c r="CS614" s="1"/>
      <c r="CT614" s="1"/>
      <c r="CU614" s="1"/>
      <c r="CV614" s="1"/>
      <c r="CW614" s="1"/>
      <c r="CX614" s="1"/>
      <c r="CY614" s="1"/>
      <c r="CZ614" s="1"/>
    </row>
    <row r="615" spans="1:104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  <c r="BP615" s="1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  <c r="CC615" s="1"/>
      <c r="CD615" s="1"/>
      <c r="CE615" s="1"/>
      <c r="CF615" s="1"/>
      <c r="CG615" s="1"/>
      <c r="CH615" s="1"/>
      <c r="CI615" s="1"/>
      <c r="CJ615" s="1"/>
      <c r="CK615" s="1"/>
      <c r="CL615" s="1"/>
      <c r="CM615" s="1"/>
      <c r="CN615" s="1"/>
      <c r="CO615" s="1"/>
      <c r="CP615" s="1"/>
      <c r="CQ615" s="1"/>
      <c r="CR615" s="1"/>
      <c r="CS615" s="1"/>
      <c r="CT615" s="1"/>
      <c r="CU615" s="1"/>
      <c r="CV615" s="1"/>
      <c r="CW615" s="1"/>
      <c r="CX615" s="1"/>
      <c r="CY615" s="1"/>
      <c r="CZ615" s="1"/>
    </row>
    <row r="616" spans="1:104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  <c r="BP616" s="1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  <c r="CC616" s="1"/>
      <c r="CD616" s="1"/>
      <c r="CE616" s="1"/>
      <c r="CF616" s="1"/>
      <c r="CG616" s="1"/>
      <c r="CH616" s="1"/>
      <c r="CI616" s="1"/>
      <c r="CJ616" s="1"/>
      <c r="CK616" s="1"/>
      <c r="CL616" s="1"/>
      <c r="CM616" s="1"/>
      <c r="CN616" s="1"/>
      <c r="CO616" s="1"/>
      <c r="CP616" s="1"/>
      <c r="CQ616" s="1"/>
      <c r="CR616" s="1"/>
      <c r="CS616" s="1"/>
      <c r="CT616" s="1"/>
      <c r="CU616" s="1"/>
      <c r="CV616" s="1"/>
      <c r="CW616" s="1"/>
      <c r="CX616" s="1"/>
      <c r="CY616" s="1"/>
      <c r="CZ616" s="1"/>
    </row>
    <row r="617" spans="1:104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  <c r="BP617" s="1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  <c r="CC617" s="1"/>
      <c r="CD617" s="1"/>
      <c r="CE617" s="1"/>
      <c r="CF617" s="1"/>
      <c r="CG617" s="1"/>
      <c r="CH617" s="1"/>
      <c r="CI617" s="1"/>
      <c r="CJ617" s="1"/>
      <c r="CK617" s="1"/>
      <c r="CL617" s="1"/>
      <c r="CM617" s="1"/>
      <c r="CN617" s="1"/>
      <c r="CO617" s="1"/>
      <c r="CP617" s="1"/>
      <c r="CQ617" s="1"/>
      <c r="CR617" s="1"/>
      <c r="CS617" s="1"/>
      <c r="CT617" s="1"/>
      <c r="CU617" s="1"/>
      <c r="CV617" s="1"/>
      <c r="CW617" s="1"/>
      <c r="CX617" s="1"/>
      <c r="CY617" s="1"/>
      <c r="CZ617" s="1"/>
    </row>
    <row r="618" spans="1:104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  <c r="CC618" s="1"/>
      <c r="CD618" s="1"/>
      <c r="CE618" s="1"/>
      <c r="CF618" s="1"/>
      <c r="CG618" s="1"/>
      <c r="CH618" s="1"/>
      <c r="CI618" s="1"/>
      <c r="CJ618" s="1"/>
      <c r="CK618" s="1"/>
      <c r="CL618" s="1"/>
      <c r="CM618" s="1"/>
      <c r="CN618" s="1"/>
      <c r="CO618" s="1"/>
      <c r="CP618" s="1"/>
      <c r="CQ618" s="1"/>
      <c r="CR618" s="1"/>
      <c r="CS618" s="1"/>
      <c r="CT618" s="1"/>
      <c r="CU618" s="1"/>
      <c r="CV618" s="1"/>
      <c r="CW618" s="1"/>
      <c r="CX618" s="1"/>
      <c r="CY618" s="1"/>
      <c r="CZ618" s="1"/>
    </row>
    <row r="619" spans="1:104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  <c r="CC619" s="1"/>
      <c r="CD619" s="1"/>
      <c r="CE619" s="1"/>
      <c r="CF619" s="1"/>
      <c r="CG619" s="1"/>
      <c r="CH619" s="1"/>
      <c r="CI619" s="1"/>
      <c r="CJ619" s="1"/>
      <c r="CK619" s="1"/>
      <c r="CL619" s="1"/>
      <c r="CM619" s="1"/>
      <c r="CN619" s="1"/>
      <c r="CO619" s="1"/>
      <c r="CP619" s="1"/>
      <c r="CQ619" s="1"/>
      <c r="CR619" s="1"/>
      <c r="CS619" s="1"/>
      <c r="CT619" s="1"/>
      <c r="CU619" s="1"/>
      <c r="CV619" s="1"/>
      <c r="CW619" s="1"/>
      <c r="CX619" s="1"/>
      <c r="CY619" s="1"/>
      <c r="CZ619" s="1"/>
    </row>
    <row r="620" spans="1:104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  <c r="CC620" s="1"/>
      <c r="CD620" s="1"/>
      <c r="CE620" s="1"/>
      <c r="CF620" s="1"/>
      <c r="CG620" s="1"/>
      <c r="CH620" s="1"/>
      <c r="CI620" s="1"/>
      <c r="CJ620" s="1"/>
      <c r="CK620" s="1"/>
      <c r="CL620" s="1"/>
      <c r="CM620" s="1"/>
      <c r="CN620" s="1"/>
      <c r="CO620" s="1"/>
      <c r="CP620" s="1"/>
      <c r="CQ620" s="1"/>
      <c r="CR620" s="1"/>
      <c r="CS620" s="1"/>
      <c r="CT620" s="1"/>
      <c r="CU620" s="1"/>
      <c r="CV620" s="1"/>
      <c r="CW620" s="1"/>
      <c r="CX620" s="1"/>
      <c r="CY620" s="1"/>
      <c r="CZ620" s="1"/>
    </row>
    <row r="621" spans="1:104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  <c r="CC621" s="1"/>
      <c r="CD621" s="1"/>
      <c r="CE621" s="1"/>
      <c r="CF621" s="1"/>
      <c r="CG621" s="1"/>
      <c r="CH621" s="1"/>
      <c r="CI621" s="1"/>
      <c r="CJ621" s="1"/>
      <c r="CK621" s="1"/>
      <c r="CL621" s="1"/>
      <c r="CM621" s="1"/>
      <c r="CN621" s="1"/>
      <c r="CO621" s="1"/>
      <c r="CP621" s="1"/>
      <c r="CQ621" s="1"/>
      <c r="CR621" s="1"/>
      <c r="CS621" s="1"/>
      <c r="CT621" s="1"/>
      <c r="CU621" s="1"/>
      <c r="CV621" s="1"/>
      <c r="CW621" s="1"/>
      <c r="CX621" s="1"/>
      <c r="CY621" s="1"/>
      <c r="CZ621" s="1"/>
    </row>
    <row r="622" spans="1:104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  <c r="CC622" s="1"/>
      <c r="CD622" s="1"/>
      <c r="CE622" s="1"/>
      <c r="CF622" s="1"/>
      <c r="CG622" s="1"/>
      <c r="CH622" s="1"/>
      <c r="CI622" s="1"/>
      <c r="CJ622" s="1"/>
      <c r="CK622" s="1"/>
      <c r="CL622" s="1"/>
      <c r="CM622" s="1"/>
      <c r="CN622" s="1"/>
      <c r="CO622" s="1"/>
      <c r="CP622" s="1"/>
      <c r="CQ622" s="1"/>
      <c r="CR622" s="1"/>
      <c r="CS622" s="1"/>
      <c r="CT622" s="1"/>
      <c r="CU622" s="1"/>
      <c r="CV622" s="1"/>
      <c r="CW622" s="1"/>
      <c r="CX622" s="1"/>
      <c r="CY622" s="1"/>
      <c r="CZ622" s="1"/>
    </row>
    <row r="623" spans="1:104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  <c r="BO623" s="1"/>
      <c r="BP623" s="1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  <c r="CC623" s="1"/>
      <c r="CD623" s="1"/>
      <c r="CE623" s="1"/>
      <c r="CF623" s="1"/>
      <c r="CG623" s="1"/>
      <c r="CH623" s="1"/>
      <c r="CI623" s="1"/>
      <c r="CJ623" s="1"/>
      <c r="CK623" s="1"/>
      <c r="CL623" s="1"/>
      <c r="CM623" s="1"/>
      <c r="CN623" s="1"/>
      <c r="CO623" s="1"/>
      <c r="CP623" s="1"/>
      <c r="CQ623" s="1"/>
      <c r="CR623" s="1"/>
      <c r="CS623" s="1"/>
      <c r="CT623" s="1"/>
      <c r="CU623" s="1"/>
      <c r="CV623" s="1"/>
      <c r="CW623" s="1"/>
      <c r="CX623" s="1"/>
      <c r="CY623" s="1"/>
      <c r="CZ623" s="1"/>
    </row>
    <row r="624" spans="1:104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  <c r="BO624" s="1"/>
      <c r="BP624" s="1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  <c r="CC624" s="1"/>
      <c r="CD624" s="1"/>
      <c r="CE624" s="1"/>
      <c r="CF624" s="1"/>
      <c r="CG624" s="1"/>
      <c r="CH624" s="1"/>
      <c r="CI624" s="1"/>
      <c r="CJ624" s="1"/>
      <c r="CK624" s="1"/>
      <c r="CL624" s="1"/>
      <c r="CM624" s="1"/>
      <c r="CN624" s="1"/>
      <c r="CO624" s="1"/>
      <c r="CP624" s="1"/>
      <c r="CQ624" s="1"/>
      <c r="CR624" s="1"/>
      <c r="CS624" s="1"/>
      <c r="CT624" s="1"/>
      <c r="CU624" s="1"/>
      <c r="CV624" s="1"/>
      <c r="CW624" s="1"/>
      <c r="CX624" s="1"/>
      <c r="CY624" s="1"/>
      <c r="CZ624" s="1"/>
    </row>
    <row r="625" spans="1:104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  <c r="BO625" s="1"/>
      <c r="BP625" s="1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  <c r="CC625" s="1"/>
      <c r="CD625" s="1"/>
      <c r="CE625" s="1"/>
      <c r="CF625" s="1"/>
      <c r="CG625" s="1"/>
      <c r="CH625" s="1"/>
      <c r="CI625" s="1"/>
      <c r="CJ625" s="1"/>
      <c r="CK625" s="1"/>
      <c r="CL625" s="1"/>
      <c r="CM625" s="1"/>
      <c r="CN625" s="1"/>
      <c r="CO625" s="1"/>
      <c r="CP625" s="1"/>
      <c r="CQ625" s="1"/>
      <c r="CR625" s="1"/>
      <c r="CS625" s="1"/>
      <c r="CT625" s="1"/>
      <c r="CU625" s="1"/>
      <c r="CV625" s="1"/>
      <c r="CW625" s="1"/>
      <c r="CX625" s="1"/>
      <c r="CY625" s="1"/>
      <c r="CZ625" s="1"/>
    </row>
    <row r="626" spans="1:104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  <c r="BO626" s="1"/>
      <c r="BP626" s="1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  <c r="CC626" s="1"/>
      <c r="CD626" s="1"/>
      <c r="CE626" s="1"/>
      <c r="CF626" s="1"/>
      <c r="CG626" s="1"/>
      <c r="CH626" s="1"/>
      <c r="CI626" s="1"/>
      <c r="CJ626" s="1"/>
      <c r="CK626" s="1"/>
      <c r="CL626" s="1"/>
      <c r="CM626" s="1"/>
      <c r="CN626" s="1"/>
      <c r="CO626" s="1"/>
      <c r="CP626" s="1"/>
      <c r="CQ626" s="1"/>
      <c r="CR626" s="1"/>
      <c r="CS626" s="1"/>
      <c r="CT626" s="1"/>
      <c r="CU626" s="1"/>
      <c r="CV626" s="1"/>
      <c r="CW626" s="1"/>
      <c r="CX626" s="1"/>
      <c r="CY626" s="1"/>
      <c r="CZ626" s="1"/>
    </row>
    <row r="627" spans="1:104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  <c r="BO627" s="1"/>
      <c r="BP627" s="1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  <c r="CC627" s="1"/>
      <c r="CD627" s="1"/>
      <c r="CE627" s="1"/>
      <c r="CF627" s="1"/>
      <c r="CG627" s="1"/>
      <c r="CH627" s="1"/>
      <c r="CI627" s="1"/>
      <c r="CJ627" s="1"/>
      <c r="CK627" s="1"/>
      <c r="CL627" s="1"/>
      <c r="CM627" s="1"/>
      <c r="CN627" s="1"/>
      <c r="CO627" s="1"/>
      <c r="CP627" s="1"/>
      <c r="CQ627" s="1"/>
      <c r="CR627" s="1"/>
      <c r="CS627" s="1"/>
      <c r="CT627" s="1"/>
      <c r="CU627" s="1"/>
      <c r="CV627" s="1"/>
      <c r="CW627" s="1"/>
      <c r="CX627" s="1"/>
      <c r="CY627" s="1"/>
      <c r="CZ627" s="1"/>
    </row>
    <row r="628" spans="1:104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  <c r="BO628" s="1"/>
      <c r="BP628" s="1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  <c r="CC628" s="1"/>
      <c r="CD628" s="1"/>
      <c r="CE628" s="1"/>
      <c r="CF628" s="1"/>
      <c r="CG628" s="1"/>
      <c r="CH628" s="1"/>
      <c r="CI628" s="1"/>
      <c r="CJ628" s="1"/>
      <c r="CK628" s="1"/>
      <c r="CL628" s="1"/>
      <c r="CM628" s="1"/>
      <c r="CN628" s="1"/>
      <c r="CO628" s="1"/>
      <c r="CP628" s="1"/>
      <c r="CQ628" s="1"/>
      <c r="CR628" s="1"/>
      <c r="CS628" s="1"/>
      <c r="CT628" s="1"/>
      <c r="CU628" s="1"/>
      <c r="CV628" s="1"/>
      <c r="CW628" s="1"/>
      <c r="CX628" s="1"/>
      <c r="CY628" s="1"/>
      <c r="CZ628" s="1"/>
    </row>
    <row r="629" spans="1:104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  <c r="BO629" s="1"/>
      <c r="BP629" s="1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  <c r="CC629" s="1"/>
      <c r="CD629" s="1"/>
      <c r="CE629" s="1"/>
      <c r="CF629" s="1"/>
      <c r="CG629" s="1"/>
      <c r="CH629" s="1"/>
      <c r="CI629" s="1"/>
      <c r="CJ629" s="1"/>
      <c r="CK629" s="1"/>
      <c r="CL629" s="1"/>
      <c r="CM629" s="1"/>
      <c r="CN629" s="1"/>
      <c r="CO629" s="1"/>
      <c r="CP629" s="1"/>
      <c r="CQ629" s="1"/>
      <c r="CR629" s="1"/>
      <c r="CS629" s="1"/>
      <c r="CT629" s="1"/>
      <c r="CU629" s="1"/>
      <c r="CV629" s="1"/>
      <c r="CW629" s="1"/>
      <c r="CX629" s="1"/>
      <c r="CY629" s="1"/>
      <c r="CZ629" s="1"/>
    </row>
    <row r="630" spans="1:104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  <c r="BO630" s="1"/>
      <c r="BP630" s="1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  <c r="CC630" s="1"/>
      <c r="CD630" s="1"/>
      <c r="CE630" s="1"/>
      <c r="CF630" s="1"/>
      <c r="CG630" s="1"/>
      <c r="CH630" s="1"/>
      <c r="CI630" s="1"/>
      <c r="CJ630" s="1"/>
      <c r="CK630" s="1"/>
      <c r="CL630" s="1"/>
      <c r="CM630" s="1"/>
      <c r="CN630" s="1"/>
      <c r="CO630" s="1"/>
      <c r="CP630" s="1"/>
      <c r="CQ630" s="1"/>
      <c r="CR630" s="1"/>
      <c r="CS630" s="1"/>
      <c r="CT630" s="1"/>
      <c r="CU630" s="1"/>
      <c r="CV630" s="1"/>
      <c r="CW630" s="1"/>
      <c r="CX630" s="1"/>
      <c r="CY630" s="1"/>
      <c r="CZ630" s="1"/>
    </row>
    <row r="631" spans="1:104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  <c r="BO631" s="1"/>
      <c r="BP631" s="1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  <c r="CC631" s="1"/>
      <c r="CD631" s="1"/>
      <c r="CE631" s="1"/>
      <c r="CF631" s="1"/>
      <c r="CG631" s="1"/>
      <c r="CH631" s="1"/>
      <c r="CI631" s="1"/>
      <c r="CJ631" s="1"/>
      <c r="CK631" s="1"/>
      <c r="CL631" s="1"/>
      <c r="CM631" s="1"/>
      <c r="CN631" s="1"/>
      <c r="CO631" s="1"/>
      <c r="CP631" s="1"/>
      <c r="CQ631" s="1"/>
      <c r="CR631" s="1"/>
      <c r="CS631" s="1"/>
      <c r="CT631" s="1"/>
      <c r="CU631" s="1"/>
      <c r="CV631" s="1"/>
      <c r="CW631" s="1"/>
      <c r="CX631" s="1"/>
      <c r="CY631" s="1"/>
      <c r="CZ631" s="1"/>
    </row>
  </sheetData>
  <autoFilter ref="C17:AI65" xr:uid="{C42F1097-70FB-4FF4-B20E-056270B42879}"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6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</autoFilter>
  <mergeCells count="355">
    <mergeCell ref="D11:N11"/>
    <mergeCell ref="D10:N10"/>
    <mergeCell ref="D8:F8"/>
    <mergeCell ref="H8:J8"/>
    <mergeCell ref="L8:N8"/>
    <mergeCell ref="P8:R8"/>
    <mergeCell ref="D5:F5"/>
    <mergeCell ref="H5:J5"/>
    <mergeCell ref="L5:N5"/>
    <mergeCell ref="P5:R5"/>
    <mergeCell ref="G18:O18"/>
    <mergeCell ref="Z18:AC18"/>
    <mergeCell ref="G31:O31"/>
    <mergeCell ref="Z19:AC19"/>
    <mergeCell ref="AD18:AI18"/>
    <mergeCell ref="AD19:AI19"/>
    <mergeCell ref="G17:O17"/>
    <mergeCell ref="Z17:AC17"/>
    <mergeCell ref="AD17:AI17"/>
    <mergeCell ref="S17:T17"/>
    <mergeCell ref="S18:T18"/>
    <mergeCell ref="S19:T19"/>
    <mergeCell ref="G19:O19"/>
    <mergeCell ref="G22:O22"/>
    <mergeCell ref="Z22:AC22"/>
    <mergeCell ref="G23:O23"/>
    <mergeCell ref="Z23:AC23"/>
    <mergeCell ref="AD22:AI22"/>
    <mergeCell ref="AD23:AI23"/>
    <mergeCell ref="G20:O20"/>
    <mergeCell ref="Z20:AC20"/>
    <mergeCell ref="G21:O21"/>
    <mergeCell ref="Z21:AC21"/>
    <mergeCell ref="AD20:AI20"/>
    <mergeCell ref="S20:T20"/>
    <mergeCell ref="S21:T21"/>
    <mergeCell ref="S22:T22"/>
    <mergeCell ref="S23:T23"/>
    <mergeCell ref="G26:O26"/>
    <mergeCell ref="Z26:AC26"/>
    <mergeCell ref="G27:O27"/>
    <mergeCell ref="Z27:AC27"/>
    <mergeCell ref="AD26:AI26"/>
    <mergeCell ref="AD27:AI27"/>
    <mergeCell ref="G24:O24"/>
    <mergeCell ref="Z24:AC24"/>
    <mergeCell ref="G25:O25"/>
    <mergeCell ref="Z25:AC25"/>
    <mergeCell ref="AD24:AI24"/>
    <mergeCell ref="AD25:AI25"/>
    <mergeCell ref="S24:T24"/>
    <mergeCell ref="S25:T25"/>
    <mergeCell ref="S26:T26"/>
    <mergeCell ref="S27:T27"/>
    <mergeCell ref="G30:O30"/>
    <mergeCell ref="Z30:AC30"/>
    <mergeCell ref="Z31:AC31"/>
    <mergeCell ref="AD30:AI30"/>
    <mergeCell ref="AD31:AI31"/>
    <mergeCell ref="G28:O28"/>
    <mergeCell ref="Z28:AC28"/>
    <mergeCell ref="G29:O29"/>
    <mergeCell ref="Z29:AC29"/>
    <mergeCell ref="AD28:AI28"/>
    <mergeCell ref="AD29:AI29"/>
    <mergeCell ref="S28:T28"/>
    <mergeCell ref="S29:T29"/>
    <mergeCell ref="S30:T30"/>
    <mergeCell ref="S31:T31"/>
    <mergeCell ref="G34:O34"/>
    <mergeCell ref="Z34:AC34"/>
    <mergeCell ref="G35:O35"/>
    <mergeCell ref="Z35:AC35"/>
    <mergeCell ref="AD34:AI34"/>
    <mergeCell ref="AD35:AI35"/>
    <mergeCell ref="G32:O32"/>
    <mergeCell ref="Z32:AC32"/>
    <mergeCell ref="G33:O33"/>
    <mergeCell ref="Z33:AC33"/>
    <mergeCell ref="AD32:AI32"/>
    <mergeCell ref="AD33:AI33"/>
    <mergeCell ref="S32:T32"/>
    <mergeCell ref="S33:T33"/>
    <mergeCell ref="S34:T34"/>
    <mergeCell ref="S35:T35"/>
    <mergeCell ref="G38:O38"/>
    <mergeCell ref="Z38:AC38"/>
    <mergeCell ref="G39:O39"/>
    <mergeCell ref="Z39:AC39"/>
    <mergeCell ref="AD38:AI38"/>
    <mergeCell ref="AD39:AI39"/>
    <mergeCell ref="G36:O36"/>
    <mergeCell ref="Z36:AC36"/>
    <mergeCell ref="G37:O37"/>
    <mergeCell ref="Z37:AC37"/>
    <mergeCell ref="AD36:AI36"/>
    <mergeCell ref="AD37:AI37"/>
    <mergeCell ref="S36:T36"/>
    <mergeCell ref="S37:T37"/>
    <mergeCell ref="S38:T38"/>
    <mergeCell ref="S39:T39"/>
    <mergeCell ref="G42:O42"/>
    <mergeCell ref="Z42:AC42"/>
    <mergeCell ref="G43:O43"/>
    <mergeCell ref="Z43:AC43"/>
    <mergeCell ref="AD42:AI42"/>
    <mergeCell ref="AD43:AI43"/>
    <mergeCell ref="G40:O40"/>
    <mergeCell ref="Z40:AC40"/>
    <mergeCell ref="G41:O41"/>
    <mergeCell ref="Z41:AC41"/>
    <mergeCell ref="AD40:AI40"/>
    <mergeCell ref="AD41:AI41"/>
    <mergeCell ref="S40:T40"/>
    <mergeCell ref="S41:T41"/>
    <mergeCell ref="S42:T42"/>
    <mergeCell ref="S43:T43"/>
    <mergeCell ref="G46:O46"/>
    <mergeCell ref="Z46:AC46"/>
    <mergeCell ref="G47:O47"/>
    <mergeCell ref="Z47:AC47"/>
    <mergeCell ref="AD46:AI46"/>
    <mergeCell ref="AD47:AI47"/>
    <mergeCell ref="G44:O44"/>
    <mergeCell ref="Z44:AC44"/>
    <mergeCell ref="G45:O45"/>
    <mergeCell ref="Z45:AC45"/>
    <mergeCell ref="AD44:AI44"/>
    <mergeCell ref="AD45:AI45"/>
    <mergeCell ref="S44:T44"/>
    <mergeCell ref="S45:T45"/>
    <mergeCell ref="S46:T46"/>
    <mergeCell ref="S47:T47"/>
    <mergeCell ref="G50:O50"/>
    <mergeCell ref="Z50:AC50"/>
    <mergeCell ref="G51:O51"/>
    <mergeCell ref="Z51:AC51"/>
    <mergeCell ref="AD50:AI50"/>
    <mergeCell ref="AD51:AI51"/>
    <mergeCell ref="G48:O48"/>
    <mergeCell ref="Z48:AC48"/>
    <mergeCell ref="G49:O49"/>
    <mergeCell ref="Z49:AC49"/>
    <mergeCell ref="AD48:AI48"/>
    <mergeCell ref="AD49:AI49"/>
    <mergeCell ref="S48:T48"/>
    <mergeCell ref="S49:T49"/>
    <mergeCell ref="S50:T50"/>
    <mergeCell ref="S51:T51"/>
    <mergeCell ref="G54:O54"/>
    <mergeCell ref="Z54:AC54"/>
    <mergeCell ref="G55:O55"/>
    <mergeCell ref="Z55:AC55"/>
    <mergeCell ref="AD54:AI54"/>
    <mergeCell ref="AD55:AI55"/>
    <mergeCell ref="G52:O52"/>
    <mergeCell ref="Z52:AC52"/>
    <mergeCell ref="G53:O53"/>
    <mergeCell ref="Z53:AC53"/>
    <mergeCell ref="AD52:AI52"/>
    <mergeCell ref="AD53:AI53"/>
    <mergeCell ref="S52:T52"/>
    <mergeCell ref="S53:T53"/>
    <mergeCell ref="S54:T54"/>
    <mergeCell ref="S55:T55"/>
    <mergeCell ref="G58:O58"/>
    <mergeCell ref="Z58:AC58"/>
    <mergeCell ref="G59:O59"/>
    <mergeCell ref="Z59:AC59"/>
    <mergeCell ref="AD58:AI58"/>
    <mergeCell ref="AD59:AI59"/>
    <mergeCell ref="G56:O56"/>
    <mergeCell ref="Z56:AC56"/>
    <mergeCell ref="G57:O57"/>
    <mergeCell ref="Z57:AC57"/>
    <mergeCell ref="AD56:AI56"/>
    <mergeCell ref="AD57:AI57"/>
    <mergeCell ref="S56:T56"/>
    <mergeCell ref="S57:T57"/>
    <mergeCell ref="S58:T58"/>
    <mergeCell ref="S59:T59"/>
    <mergeCell ref="G62:O62"/>
    <mergeCell ref="Z62:AC62"/>
    <mergeCell ref="G63:O63"/>
    <mergeCell ref="Z63:AC63"/>
    <mergeCell ref="AD62:AI62"/>
    <mergeCell ref="AD63:AI63"/>
    <mergeCell ref="G60:O60"/>
    <mergeCell ref="Z60:AC60"/>
    <mergeCell ref="G61:O61"/>
    <mergeCell ref="Z61:AC61"/>
    <mergeCell ref="AD60:AI60"/>
    <mergeCell ref="AD61:AI61"/>
    <mergeCell ref="S60:T60"/>
    <mergeCell ref="S61:T61"/>
    <mergeCell ref="S62:T62"/>
    <mergeCell ref="S63:T63"/>
    <mergeCell ref="G66:O66"/>
    <mergeCell ref="Z66:AC66"/>
    <mergeCell ref="G67:O67"/>
    <mergeCell ref="Z67:AC67"/>
    <mergeCell ref="AD66:AI66"/>
    <mergeCell ref="AD67:AI67"/>
    <mergeCell ref="G64:O64"/>
    <mergeCell ref="Z64:AC64"/>
    <mergeCell ref="G65:O65"/>
    <mergeCell ref="Z65:AC65"/>
    <mergeCell ref="AD64:AI64"/>
    <mergeCell ref="AD65:AI65"/>
    <mergeCell ref="S64:T64"/>
    <mergeCell ref="S65:T65"/>
    <mergeCell ref="S66:T66"/>
    <mergeCell ref="S67:T67"/>
    <mergeCell ref="C2:AJ2"/>
    <mergeCell ref="P4:R4"/>
    <mergeCell ref="P7:R7"/>
    <mergeCell ref="D4:F4"/>
    <mergeCell ref="H4:J4"/>
    <mergeCell ref="L4:N4"/>
    <mergeCell ref="D7:F7"/>
    <mergeCell ref="H7:J7"/>
    <mergeCell ref="L7:N7"/>
    <mergeCell ref="AH4:AI4"/>
    <mergeCell ref="AH5:AI5"/>
    <mergeCell ref="AH6:AI6"/>
    <mergeCell ref="AH7:AI7"/>
    <mergeCell ref="X7:Z7"/>
    <mergeCell ref="X5:Z5"/>
    <mergeCell ref="X4:Z4"/>
    <mergeCell ref="AB4:AG4"/>
    <mergeCell ref="AB7:AG7"/>
    <mergeCell ref="AB6:AG6"/>
    <mergeCell ref="AB5:AG5"/>
    <mergeCell ref="G68:O68"/>
    <mergeCell ref="G69:O69"/>
    <mergeCell ref="G70:O70"/>
    <mergeCell ref="G71:O71"/>
    <mergeCell ref="G72:O72"/>
    <mergeCell ref="G73:O73"/>
    <mergeCell ref="G74:O74"/>
    <mergeCell ref="G75:O75"/>
    <mergeCell ref="G76:O76"/>
    <mergeCell ref="G77:O77"/>
    <mergeCell ref="Z68:AC68"/>
    <mergeCell ref="AD68:AI68"/>
    <mergeCell ref="Z69:AC69"/>
    <mergeCell ref="AD69:AI69"/>
    <mergeCell ref="Z70:AC70"/>
    <mergeCell ref="AD70:AI70"/>
    <mergeCell ref="Z71:AC71"/>
    <mergeCell ref="AD71:AI71"/>
    <mergeCell ref="Z72:AC72"/>
    <mergeCell ref="AD72:AI72"/>
    <mergeCell ref="Z73:AC73"/>
    <mergeCell ref="AD73:AI73"/>
    <mergeCell ref="Z74:AC74"/>
    <mergeCell ref="AD74:AI74"/>
    <mergeCell ref="Z75:AC75"/>
    <mergeCell ref="AD75:AI75"/>
    <mergeCell ref="Z76:AC76"/>
    <mergeCell ref="AD76:AI76"/>
    <mergeCell ref="Z77:AC77"/>
    <mergeCell ref="AD77:AI77"/>
    <mergeCell ref="S68:T68"/>
    <mergeCell ref="S69:T69"/>
    <mergeCell ref="S70:T70"/>
    <mergeCell ref="S71:T71"/>
    <mergeCell ref="S72:T72"/>
    <mergeCell ref="S73:T73"/>
    <mergeCell ref="S74:T74"/>
    <mergeCell ref="S75:T75"/>
    <mergeCell ref="S76:T76"/>
    <mergeCell ref="S77:T77"/>
    <mergeCell ref="S78:T78"/>
    <mergeCell ref="S79:T79"/>
    <mergeCell ref="S89:T89"/>
    <mergeCell ref="S90:T90"/>
    <mergeCell ref="S91:T91"/>
    <mergeCell ref="S92:T92"/>
    <mergeCell ref="S93:T93"/>
    <mergeCell ref="S94:T94"/>
    <mergeCell ref="S80:T80"/>
    <mergeCell ref="S81:T81"/>
    <mergeCell ref="S82:T82"/>
    <mergeCell ref="S83:T83"/>
    <mergeCell ref="S84:T84"/>
    <mergeCell ref="S85:T85"/>
    <mergeCell ref="S86:T86"/>
    <mergeCell ref="S87:T87"/>
    <mergeCell ref="S88:T88"/>
    <mergeCell ref="G78:O78"/>
    <mergeCell ref="G79:O79"/>
    <mergeCell ref="G80:O80"/>
    <mergeCell ref="G81:O81"/>
    <mergeCell ref="G82:O82"/>
    <mergeCell ref="G83:O83"/>
    <mergeCell ref="G84:O84"/>
    <mergeCell ref="G85:O85"/>
    <mergeCell ref="G86:O86"/>
    <mergeCell ref="G87:O87"/>
    <mergeCell ref="G88:O88"/>
    <mergeCell ref="G89:O89"/>
    <mergeCell ref="G90:O90"/>
    <mergeCell ref="G91:O91"/>
    <mergeCell ref="G92:O92"/>
    <mergeCell ref="G93:O93"/>
    <mergeCell ref="G94:O94"/>
    <mergeCell ref="T4:V4"/>
    <mergeCell ref="T5:V5"/>
    <mergeCell ref="T8:V8"/>
    <mergeCell ref="T7:V7"/>
    <mergeCell ref="P11:Z11"/>
    <mergeCell ref="P10:Z10"/>
    <mergeCell ref="Z80:AC80"/>
    <mergeCell ref="Z81:AC81"/>
    <mergeCell ref="Z82:AC82"/>
    <mergeCell ref="Z83:AC83"/>
    <mergeCell ref="Z84:AC84"/>
    <mergeCell ref="Z85:AC85"/>
    <mergeCell ref="Z86:AC86"/>
    <mergeCell ref="Z87:AC87"/>
    <mergeCell ref="Z88:AC88"/>
    <mergeCell ref="Z89:AC89"/>
    <mergeCell ref="AB11:AD11"/>
    <mergeCell ref="AB10:AD10"/>
    <mergeCell ref="AF11:AI11"/>
    <mergeCell ref="AF10:AI10"/>
    <mergeCell ref="Z78:AC78"/>
    <mergeCell ref="Z79:AC79"/>
    <mergeCell ref="AH8:AI8"/>
    <mergeCell ref="X8:Z8"/>
    <mergeCell ref="AB8:AG8"/>
    <mergeCell ref="AD21:AI21"/>
    <mergeCell ref="Z90:AC90"/>
    <mergeCell ref="Z91:AC91"/>
    <mergeCell ref="Z92:AC92"/>
    <mergeCell ref="Z93:AC93"/>
    <mergeCell ref="Z94:AC94"/>
    <mergeCell ref="AD78:AI78"/>
    <mergeCell ref="AD79:AI79"/>
    <mergeCell ref="AD80:AI80"/>
    <mergeCell ref="AD81:AI81"/>
    <mergeCell ref="AD82:AI82"/>
    <mergeCell ref="AD83:AI83"/>
    <mergeCell ref="AD84:AI84"/>
    <mergeCell ref="AD85:AI85"/>
    <mergeCell ref="AD86:AI86"/>
    <mergeCell ref="AD87:AI87"/>
    <mergeCell ref="AD88:AI88"/>
    <mergeCell ref="AD89:AI89"/>
    <mergeCell ref="AD90:AI90"/>
    <mergeCell ref="AD91:AI91"/>
    <mergeCell ref="AD92:AI92"/>
    <mergeCell ref="AD93:AI93"/>
    <mergeCell ref="AD94:AI94"/>
  </mergeCells>
  <dataValidations count="1">
    <dataValidation type="list" allowBlank="1" showInputMessage="1" showErrorMessage="1" sqref="D5:F5" xr:uid="{DC1D8DD0-4484-476F-95A8-E025C66F82EA}">
      <formula1>ProjectList</formula1>
    </dataValidation>
  </dataValidations>
  <pageMargins left="0.7" right="0.7" top="0.75" bottom="0.75" header="0.3" footer="0.3"/>
  <headerFooter>
    <oddFooter>&amp;C_x000D_&amp;1#&amp;"Trebuchet MS"&amp;8&amp;K22505F Saipem Classification - General Use</oddFooter>
  </headerFooter>
  <drawing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2958761-E79A-45D6-8D1F-CA5E3D6578A7}">
          <x14:formula1>
            <xm:f>TemplateList!$E$2:$E$47</xm:f>
          </x14:formula1>
          <xm:sqref>D11:N11</xm:sqref>
        </x14:dataValidation>
        <x14:dataValidation type="list" allowBlank="1" showInputMessage="1" showErrorMessage="1" xr:uid="{42C4D99C-A603-40C7-BC53-F00131BAF235}">
          <x14:formula1>
            <xm:f>TemplateList!$A$2:$A$4</xm:f>
          </x14:formula1>
          <xm:sqref>H5:J5</xm:sqref>
        </x14:dataValidation>
        <x14:dataValidation type="list" allowBlank="1" showInputMessage="1" showErrorMessage="1" xr:uid="{656213F0-0261-48F5-9A0E-3BFEE14E78FA}">
          <x14:formula1>
            <xm:f>TemplateList!$C$2:$C$4</xm:f>
          </x14:formula1>
          <xm:sqref>L5:N5</xm:sqref>
        </x14:dataValidation>
        <x14:dataValidation type="list" allowBlank="1" showInputMessage="1" showErrorMessage="1" xr:uid="{AAED7A27-E8A0-4F82-A1B0-4B416537D9B8}">
          <x14:formula1>
            <xm:f>TemplateList!$I$2:$I$6</xm:f>
          </x14:formula1>
          <xm:sqref>D8:F8</xm:sqref>
        </x14:dataValidation>
        <x14:dataValidation type="list" allowBlank="1" showInputMessage="1" showErrorMessage="1" xr:uid="{4DC70508-2A0C-4107-A2A5-CCB0E2846958}">
          <x14:formula1>
            <xm:f>TemplateList!$K$2:$K$8</xm:f>
          </x14:formula1>
          <xm:sqref>H8:J8</xm:sqref>
        </x14:dataValidation>
        <x14:dataValidation type="list" allowBlank="1" showInputMessage="1" showErrorMessage="1" xr:uid="{4F6AFB8D-4303-46F1-8A45-879E1270059A}">
          <x14:formula1>
            <xm:f>TemplateList!$M$2:$M$4</xm:f>
          </x14:formula1>
          <xm:sqref>L8:N8</xm:sqref>
        </x14:dataValidation>
        <x14:dataValidation type="list" allowBlank="1" showInputMessage="1" showErrorMessage="1" xr:uid="{2A778C73-17CA-4BF0-A341-8522905B377A}">
          <x14:formula1>
            <xm:f>TemplateList!$O$2:$O$5</xm:f>
          </x14:formula1>
          <xm:sqref>P8:R8</xm:sqref>
        </x14:dataValidation>
        <x14:dataValidation type="list" allowBlank="1" showInputMessage="1" showErrorMessage="1" xr:uid="{0BF473B2-7327-489B-A0C3-E130F310A2F6}">
          <x14:formula1>
            <xm:f>TemplateList!$G$2:$G$7</xm:f>
          </x14:formula1>
          <xm:sqref>T5</xm:sqref>
        </x14:dataValidation>
        <x14:dataValidation type="list" operator="equal" allowBlank="1" showInputMessage="1" showErrorMessage="1" xr:uid="{18F0B5E0-BAC4-4BDC-AEC9-6590DE18DAED}">
          <x14:formula1>
            <xm:f>TemplateList!$S$2</xm:f>
          </x14:formula1>
          <xm:sqref>X5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4D4AD-01DD-47FF-9F4B-0E998A3B2C65}">
  <sheetPr codeName="Sheet8"/>
  <dimension ref="A1:CX459"/>
  <sheetViews>
    <sheetView tabSelected="1" zoomScale="55" zoomScaleNormal="55" workbookViewId="0">
      <selection activeCell="E13" sqref="E13"/>
    </sheetView>
  </sheetViews>
  <sheetFormatPr defaultRowHeight="13.8" outlineLevelCol="1" x14ac:dyDescent="0.25"/>
  <cols>
    <col min="1" max="1" width="20.69921875" style="121" customWidth="1" outlineLevel="1"/>
    <col min="2" max="2" width="55.09765625" customWidth="1" outlineLevel="1"/>
    <col min="3" max="3" width="36" customWidth="1" outlineLevel="1"/>
    <col min="4" max="4" width="31.8984375" customWidth="1" outlineLevel="1"/>
    <col min="5" max="5" width="44.296875" customWidth="1" outlineLevel="1"/>
    <col min="6" max="6" width="31.8984375" customWidth="1" outlineLevel="1"/>
    <col min="7" max="7" width="37.8984375" customWidth="1" outlineLevel="1"/>
    <col min="8" max="11" width="20.69921875" customWidth="1" outlineLevel="1"/>
    <col min="12" max="13" width="20.69921875" style="142" customWidth="1" outlineLevel="1"/>
    <col min="14" max="15" width="20.69921875" customWidth="1" outlineLevel="1"/>
    <col min="16" max="16" width="23.296875" customWidth="1" outlineLevel="1"/>
    <col min="17" max="17" width="42.296875" bestFit="1" customWidth="1"/>
    <col min="18" max="18" width="81.69921875" customWidth="1"/>
    <col min="19" max="20" width="20.69921875" style="134" customWidth="1"/>
    <col min="21" max="21" width="32.09765625" bestFit="1" customWidth="1"/>
    <col min="22" max="22" width="20.69921875" customWidth="1"/>
    <col min="23" max="23" width="87.09765625" bestFit="1" customWidth="1"/>
    <col min="24" max="24" width="30.59765625" customWidth="1"/>
    <col min="25" max="25" width="20.69921875" customWidth="1"/>
  </cols>
  <sheetData>
    <row r="1" spans="1:102" ht="30" x14ac:dyDescent="0.25">
      <c r="A1" s="46" t="s">
        <v>132</v>
      </c>
      <c r="B1" s="46" t="s">
        <v>133</v>
      </c>
      <c r="C1" s="46" t="s">
        <v>135</v>
      </c>
      <c r="D1" s="46" t="s">
        <v>5</v>
      </c>
      <c r="E1" s="46"/>
      <c r="F1" s="47" t="s">
        <v>134</v>
      </c>
      <c r="G1" s="47" t="s">
        <v>136</v>
      </c>
      <c r="H1" s="47" t="s">
        <v>137</v>
      </c>
      <c r="I1" s="47" t="s">
        <v>138</v>
      </c>
      <c r="J1" s="47" t="s">
        <v>139</v>
      </c>
      <c r="K1" s="47" t="s">
        <v>140</v>
      </c>
      <c r="L1" s="122" t="s">
        <v>141</v>
      </c>
      <c r="M1" s="122" t="s">
        <v>142</v>
      </c>
      <c r="N1" s="47" t="s">
        <v>143</v>
      </c>
      <c r="O1" s="47" t="s">
        <v>144</v>
      </c>
      <c r="P1" s="47" t="s">
        <v>145</v>
      </c>
      <c r="Q1" s="47" t="s">
        <v>9</v>
      </c>
      <c r="R1" s="47" t="s">
        <v>3</v>
      </c>
      <c r="S1" s="122" t="s">
        <v>146</v>
      </c>
      <c r="T1" s="122" t="s">
        <v>147</v>
      </c>
      <c r="U1" s="47" t="s">
        <v>148</v>
      </c>
      <c r="V1" s="47" t="s">
        <v>149</v>
      </c>
      <c r="W1" s="47" t="s">
        <v>150</v>
      </c>
      <c r="X1" s="47" t="s">
        <v>151</v>
      </c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3"/>
      <c r="BJ1" s="23"/>
      <c r="BK1" s="23"/>
      <c r="BL1" s="23"/>
      <c r="BM1" s="23"/>
      <c r="BN1" s="23"/>
      <c r="BO1" s="23"/>
      <c r="BP1" s="23"/>
      <c r="BQ1" s="23"/>
      <c r="BR1" s="23"/>
      <c r="BS1" s="23"/>
      <c r="BT1" s="23"/>
      <c r="BU1" s="23"/>
      <c r="BV1" s="23"/>
      <c r="BW1" s="23"/>
      <c r="BX1" s="23"/>
      <c r="BY1" s="23"/>
      <c r="BZ1" s="23"/>
      <c r="CA1" s="23"/>
      <c r="CB1" s="23"/>
      <c r="CC1" s="23"/>
      <c r="CD1" s="23"/>
      <c r="CE1" s="23"/>
      <c r="CF1" s="23"/>
      <c r="CG1" s="23"/>
      <c r="CH1" s="23"/>
      <c r="CI1" s="23"/>
      <c r="CJ1" s="23"/>
      <c r="CK1" s="23"/>
      <c r="CL1" s="23"/>
      <c r="CM1" s="23"/>
      <c r="CN1" s="23"/>
      <c r="CO1" s="23"/>
      <c r="CP1" s="23"/>
      <c r="CQ1" s="23"/>
      <c r="CR1" s="23"/>
      <c r="CS1" s="23"/>
      <c r="CT1" s="23"/>
      <c r="CU1" s="23"/>
      <c r="CV1" s="23"/>
      <c r="CW1" s="23"/>
      <c r="CX1" s="23"/>
    </row>
    <row r="2" spans="1:102" ht="15" x14ac:dyDescent="0.25">
      <c r="A2" s="143" t="s">
        <v>152</v>
      </c>
      <c r="B2" s="54" t="s">
        <v>155</v>
      </c>
      <c r="C2" s="55" t="s">
        <v>215</v>
      </c>
      <c r="D2" s="56" t="s">
        <v>20</v>
      </c>
      <c r="E2" s="48" t="s">
        <v>442</v>
      </c>
      <c r="F2" s="55" t="s">
        <v>221</v>
      </c>
      <c r="G2" s="57" t="s">
        <v>224</v>
      </c>
      <c r="H2" s="94"/>
      <c r="I2" s="95"/>
      <c r="J2" s="95">
        <v>4.583333333333333</v>
      </c>
      <c r="K2" s="95">
        <f>J2</f>
        <v>4.583333333333333</v>
      </c>
      <c r="L2" s="135">
        <f>(60*4)</f>
        <v>240</v>
      </c>
      <c r="M2" s="135">
        <f>L2*12</f>
        <v>2880</v>
      </c>
      <c r="N2" s="96">
        <f>S2/M2</f>
        <v>0</v>
      </c>
      <c r="O2" s="96">
        <f>V2/M2</f>
        <v>0</v>
      </c>
      <c r="P2" s="97"/>
      <c r="Q2" s="56"/>
      <c r="R2" s="56"/>
      <c r="S2" s="123">
        <v>0</v>
      </c>
      <c r="T2" s="124">
        <f t="shared" ref="T2:T65" si="0">S2*I2</f>
        <v>0</v>
      </c>
      <c r="U2" s="56"/>
      <c r="V2" s="150"/>
      <c r="W2" s="56"/>
      <c r="X2" s="58"/>
    </row>
    <row r="3" spans="1:102" ht="15" x14ac:dyDescent="0.25">
      <c r="A3" s="144" t="s">
        <v>153</v>
      </c>
      <c r="B3" s="59" t="s">
        <v>156</v>
      </c>
      <c r="C3" s="59" t="s">
        <v>216</v>
      </c>
      <c r="D3" s="60" t="s">
        <v>219</v>
      </c>
      <c r="E3" s="49" t="s">
        <v>219</v>
      </c>
      <c r="F3" s="59" t="s">
        <v>222</v>
      </c>
      <c r="G3" s="59" t="s">
        <v>225</v>
      </c>
      <c r="H3" s="98">
        <v>57.21</v>
      </c>
      <c r="I3" s="99">
        <v>61.93</v>
      </c>
      <c r="J3" s="83"/>
      <c r="K3" s="83">
        <f>I3</f>
        <v>61.93</v>
      </c>
      <c r="L3" s="136">
        <f>M3/12</f>
        <v>174.91666666666666</v>
      </c>
      <c r="M3" s="136">
        <v>2099</v>
      </c>
      <c r="N3" s="100">
        <f t="shared" ref="N3:N66" si="1">S3/M3</f>
        <v>0</v>
      </c>
      <c r="O3" s="100">
        <f t="shared" ref="O3:O66" si="2">V3/M3</f>
        <v>0</v>
      </c>
      <c r="P3" s="71"/>
      <c r="Q3" s="60"/>
      <c r="R3" s="60"/>
      <c r="S3" s="125">
        <v>0</v>
      </c>
      <c r="T3" s="126">
        <f t="shared" si="0"/>
        <v>0</v>
      </c>
      <c r="U3" s="60"/>
      <c r="V3" s="151"/>
      <c r="W3" s="60"/>
      <c r="X3" s="61"/>
    </row>
    <row r="4" spans="1:102" ht="15" x14ac:dyDescent="0.25">
      <c r="A4" s="145">
        <v>667100</v>
      </c>
      <c r="B4" s="60" t="s">
        <v>157</v>
      </c>
      <c r="C4" s="59" t="s">
        <v>216</v>
      </c>
      <c r="D4" s="60" t="s">
        <v>219</v>
      </c>
      <c r="E4" s="49" t="s">
        <v>219</v>
      </c>
      <c r="F4" s="59" t="s">
        <v>222</v>
      </c>
      <c r="G4" s="59" t="s">
        <v>225</v>
      </c>
      <c r="H4" s="98">
        <v>57.21</v>
      </c>
      <c r="I4" s="99">
        <v>61.93</v>
      </c>
      <c r="J4" s="83"/>
      <c r="K4" s="83">
        <f>I4</f>
        <v>61.93</v>
      </c>
      <c r="L4" s="136">
        <f>M4/12</f>
        <v>174.91666666666666</v>
      </c>
      <c r="M4" s="136">
        <v>2099</v>
      </c>
      <c r="N4" s="100">
        <f t="shared" si="1"/>
        <v>0</v>
      </c>
      <c r="O4" s="100">
        <f t="shared" si="2"/>
        <v>0</v>
      </c>
      <c r="P4" s="71"/>
      <c r="Q4" s="60"/>
      <c r="R4" s="60"/>
      <c r="S4" s="125">
        <v>0</v>
      </c>
      <c r="T4" s="126">
        <f t="shared" si="0"/>
        <v>0</v>
      </c>
      <c r="U4" s="60"/>
      <c r="V4" s="151"/>
      <c r="W4" s="60"/>
      <c r="X4" s="61"/>
    </row>
    <row r="5" spans="1:102" ht="15" x14ac:dyDescent="0.25">
      <c r="A5" s="144" t="s">
        <v>153</v>
      </c>
      <c r="B5" s="59" t="s">
        <v>158</v>
      </c>
      <c r="C5" s="59" t="s">
        <v>216</v>
      </c>
      <c r="D5" s="60" t="s">
        <v>219</v>
      </c>
      <c r="E5" s="49" t="s">
        <v>219</v>
      </c>
      <c r="F5" s="59" t="s">
        <v>222</v>
      </c>
      <c r="G5" s="59" t="s">
        <v>225</v>
      </c>
      <c r="H5" s="98">
        <v>57.21</v>
      </c>
      <c r="I5" s="99">
        <v>61.93</v>
      </c>
      <c r="J5" s="83"/>
      <c r="K5" s="83">
        <f>I5</f>
        <v>61.93</v>
      </c>
      <c r="L5" s="136">
        <f>M5/12</f>
        <v>174.91666666666666</v>
      </c>
      <c r="M5" s="136">
        <v>2099</v>
      </c>
      <c r="N5" s="100">
        <f t="shared" si="1"/>
        <v>0</v>
      </c>
      <c r="O5" s="100">
        <f t="shared" si="2"/>
        <v>0</v>
      </c>
      <c r="P5" s="71"/>
      <c r="Q5" s="60"/>
      <c r="R5" s="60"/>
      <c r="S5" s="125">
        <v>0</v>
      </c>
      <c r="T5" s="126">
        <f t="shared" si="0"/>
        <v>0</v>
      </c>
      <c r="U5" s="60"/>
      <c r="V5" s="151"/>
      <c r="W5" s="60"/>
      <c r="X5" s="61"/>
    </row>
    <row r="6" spans="1:102" ht="15" x14ac:dyDescent="0.25">
      <c r="A6" s="145" t="s">
        <v>152</v>
      </c>
      <c r="B6" s="59" t="s">
        <v>159</v>
      </c>
      <c r="C6" s="62" t="s">
        <v>215</v>
      </c>
      <c r="D6" s="60" t="s">
        <v>20</v>
      </c>
      <c r="E6" s="50" t="s">
        <v>441</v>
      </c>
      <c r="F6" s="59" t="s">
        <v>221</v>
      </c>
      <c r="G6" s="59" t="s">
        <v>224</v>
      </c>
      <c r="H6" s="98"/>
      <c r="I6" s="99"/>
      <c r="J6" s="83">
        <v>5.416666666666667</v>
      </c>
      <c r="K6" s="99">
        <f>J6</f>
        <v>5.416666666666667</v>
      </c>
      <c r="L6" s="136">
        <f>(60*4)</f>
        <v>240</v>
      </c>
      <c r="M6" s="136">
        <f>L6*12</f>
        <v>2880</v>
      </c>
      <c r="N6" s="100">
        <f t="shared" si="1"/>
        <v>0</v>
      </c>
      <c r="O6" s="100">
        <f t="shared" si="2"/>
        <v>0</v>
      </c>
      <c r="P6" s="71"/>
      <c r="Q6" s="60"/>
      <c r="R6" s="60"/>
      <c r="S6" s="125">
        <v>0</v>
      </c>
      <c r="T6" s="126">
        <f t="shared" si="0"/>
        <v>0</v>
      </c>
      <c r="U6" s="60"/>
      <c r="V6" s="151"/>
      <c r="W6" s="60"/>
      <c r="X6" s="61"/>
    </row>
    <row r="7" spans="1:102" ht="15" x14ac:dyDescent="0.25">
      <c r="A7" s="145" t="s">
        <v>152</v>
      </c>
      <c r="B7" s="63" t="s">
        <v>160</v>
      </c>
      <c r="C7" s="62" t="s">
        <v>215</v>
      </c>
      <c r="D7" s="60" t="s">
        <v>20</v>
      </c>
      <c r="E7" s="50" t="s">
        <v>442</v>
      </c>
      <c r="F7" s="62" t="s">
        <v>221</v>
      </c>
      <c r="G7" s="59" t="s">
        <v>224</v>
      </c>
      <c r="H7" s="98"/>
      <c r="I7" s="99"/>
      <c r="J7" s="99">
        <v>5.416666666666667</v>
      </c>
      <c r="K7" s="99">
        <f>J7</f>
        <v>5.416666666666667</v>
      </c>
      <c r="L7" s="136">
        <f>(60*4)</f>
        <v>240</v>
      </c>
      <c r="M7" s="136">
        <f>L7*12</f>
        <v>2880</v>
      </c>
      <c r="N7" s="100">
        <f t="shared" si="1"/>
        <v>1</v>
      </c>
      <c r="O7" s="100" t="e">
        <f t="shared" si="2"/>
        <v>#REF!</v>
      </c>
      <c r="P7" s="71"/>
      <c r="Q7" s="64" t="s">
        <v>230</v>
      </c>
      <c r="R7" s="60" t="s">
        <v>251</v>
      </c>
      <c r="S7" s="126">
        <f>((60*4)*12)</f>
        <v>2880</v>
      </c>
      <c r="T7" s="126">
        <f t="shared" si="0"/>
        <v>0</v>
      </c>
      <c r="U7" s="60" t="s">
        <v>252</v>
      </c>
      <c r="V7" s="151" t="e">
        <f>[1]!Tabella1[[#This Row],[Booking Hours]]</f>
        <v>#REF!</v>
      </c>
      <c r="W7" s="60" t="e">
        <f>[1]!Tabella1[[#This Row],[Booking Period]]</f>
        <v>#REF!</v>
      </c>
      <c r="X7" s="65"/>
    </row>
    <row r="8" spans="1:102" ht="15" x14ac:dyDescent="0.25">
      <c r="A8" s="144" t="s">
        <v>153</v>
      </c>
      <c r="B8" s="59" t="s">
        <v>36</v>
      </c>
      <c r="C8" s="59" t="s">
        <v>217</v>
      </c>
      <c r="D8" s="63" t="s">
        <v>220</v>
      </c>
      <c r="E8" s="49" t="s">
        <v>440</v>
      </c>
      <c r="F8" s="59" t="s">
        <v>222</v>
      </c>
      <c r="G8" s="59" t="s">
        <v>226</v>
      </c>
      <c r="H8" s="82">
        <v>84.82</v>
      </c>
      <c r="I8" s="83">
        <v>91.81</v>
      </c>
      <c r="J8" s="83"/>
      <c r="K8" s="83">
        <f t="shared" ref="K8:K13" si="3">I8</f>
        <v>91.81</v>
      </c>
      <c r="L8" s="137">
        <v>182</v>
      </c>
      <c r="M8" s="136">
        <f>L8*12</f>
        <v>2184</v>
      </c>
      <c r="N8" s="100">
        <f t="shared" si="1"/>
        <v>0.65934065934065933</v>
      </c>
      <c r="O8" s="100">
        <f t="shared" si="2"/>
        <v>0.18315018315018314</v>
      </c>
      <c r="P8" s="71"/>
      <c r="Q8" s="66" t="s">
        <v>231</v>
      </c>
      <c r="R8" s="63" t="s">
        <v>253</v>
      </c>
      <c r="S8" s="127">
        <f>((60*4)*12)/2</f>
        <v>1440</v>
      </c>
      <c r="T8" s="126">
        <f t="shared" si="0"/>
        <v>132206.39999999999</v>
      </c>
      <c r="U8" s="67" t="s">
        <v>252</v>
      </c>
      <c r="V8" s="151">
        <v>400</v>
      </c>
      <c r="W8" s="60" t="s">
        <v>254</v>
      </c>
      <c r="X8" s="68"/>
    </row>
    <row r="9" spans="1:102" ht="15" x14ac:dyDescent="0.25">
      <c r="A9" s="144" t="s">
        <v>153</v>
      </c>
      <c r="B9" s="59" t="s">
        <v>36</v>
      </c>
      <c r="C9" s="59" t="s">
        <v>217</v>
      </c>
      <c r="D9" s="63" t="s">
        <v>220</v>
      </c>
      <c r="E9" s="49" t="s">
        <v>440</v>
      </c>
      <c r="F9" s="59" t="s">
        <v>222</v>
      </c>
      <c r="G9" s="59" t="s">
        <v>226</v>
      </c>
      <c r="H9" s="82">
        <v>84.82</v>
      </c>
      <c r="I9" s="83">
        <v>91.81</v>
      </c>
      <c r="J9" s="83"/>
      <c r="K9" s="83">
        <f t="shared" si="3"/>
        <v>91.81</v>
      </c>
      <c r="L9" s="136">
        <f>M9/12</f>
        <v>181.75</v>
      </c>
      <c r="M9" s="136">
        <v>2181</v>
      </c>
      <c r="N9" s="100">
        <f t="shared" si="1"/>
        <v>2.7510316368638238E-2</v>
      </c>
      <c r="O9" s="100">
        <f t="shared" si="2"/>
        <v>0</v>
      </c>
      <c r="P9" s="71"/>
      <c r="Q9" s="64" t="s">
        <v>232</v>
      </c>
      <c r="R9" s="63" t="s">
        <v>255</v>
      </c>
      <c r="S9" s="126">
        <v>60</v>
      </c>
      <c r="T9" s="126">
        <f t="shared" si="0"/>
        <v>5508.6</v>
      </c>
      <c r="U9" s="67" t="s">
        <v>256</v>
      </c>
      <c r="V9" s="151"/>
      <c r="W9" s="63" t="s">
        <v>257</v>
      </c>
      <c r="X9" s="65"/>
    </row>
    <row r="10" spans="1:102" ht="15" x14ac:dyDescent="0.25">
      <c r="A10" s="144" t="s">
        <v>153</v>
      </c>
      <c r="B10" s="59" t="s">
        <v>36</v>
      </c>
      <c r="C10" s="59" t="s">
        <v>217</v>
      </c>
      <c r="D10" s="63" t="s">
        <v>220</v>
      </c>
      <c r="E10" s="49" t="s">
        <v>440</v>
      </c>
      <c r="F10" s="59" t="s">
        <v>222</v>
      </c>
      <c r="G10" s="59" t="s">
        <v>226</v>
      </c>
      <c r="H10" s="82">
        <v>84.82</v>
      </c>
      <c r="I10" s="83">
        <v>91.81</v>
      </c>
      <c r="J10" s="83"/>
      <c r="K10" s="83">
        <f t="shared" si="3"/>
        <v>91.81</v>
      </c>
      <c r="L10" s="136">
        <f>M10/12</f>
        <v>181.75</v>
      </c>
      <c r="M10" s="136">
        <v>2181</v>
      </c>
      <c r="N10" s="100">
        <f t="shared" si="1"/>
        <v>2.7510316368638238E-2</v>
      </c>
      <c r="O10" s="100">
        <f t="shared" si="2"/>
        <v>0</v>
      </c>
      <c r="P10" s="71"/>
      <c r="Q10" s="64" t="s">
        <v>233</v>
      </c>
      <c r="R10" s="63" t="s">
        <v>255</v>
      </c>
      <c r="S10" s="126">
        <v>60</v>
      </c>
      <c r="T10" s="126">
        <f t="shared" si="0"/>
        <v>5508.6</v>
      </c>
      <c r="U10" s="67" t="s">
        <v>256</v>
      </c>
      <c r="V10" s="151"/>
      <c r="W10" s="71" t="s">
        <v>100</v>
      </c>
      <c r="X10" s="65"/>
    </row>
    <row r="11" spans="1:102" ht="15" x14ac:dyDescent="0.25">
      <c r="A11" s="144" t="s">
        <v>153</v>
      </c>
      <c r="B11" s="59" t="s">
        <v>36</v>
      </c>
      <c r="C11" s="59" t="s">
        <v>217</v>
      </c>
      <c r="D11" s="63" t="s">
        <v>220</v>
      </c>
      <c r="E11" s="49" t="s">
        <v>440</v>
      </c>
      <c r="F11" s="59" t="s">
        <v>222</v>
      </c>
      <c r="G11" s="59" t="s">
        <v>226</v>
      </c>
      <c r="H11" s="82">
        <v>84.82</v>
      </c>
      <c r="I11" s="83">
        <v>91.81</v>
      </c>
      <c r="J11" s="83"/>
      <c r="K11" s="83">
        <f t="shared" si="3"/>
        <v>91.81</v>
      </c>
      <c r="L11" s="136">
        <f>M11/12</f>
        <v>181.75</v>
      </c>
      <c r="M11" s="136">
        <v>2181</v>
      </c>
      <c r="N11" s="100">
        <f t="shared" si="1"/>
        <v>2.7510316368638238E-2</v>
      </c>
      <c r="O11" s="100" t="e">
        <f t="shared" si="2"/>
        <v>#REF!</v>
      </c>
      <c r="P11" s="71"/>
      <c r="Q11" s="64" t="s">
        <v>234</v>
      </c>
      <c r="R11" s="63" t="s">
        <v>255</v>
      </c>
      <c r="S11" s="126">
        <v>60</v>
      </c>
      <c r="T11" s="126">
        <f t="shared" si="0"/>
        <v>5508.6</v>
      </c>
      <c r="U11" s="67" t="s">
        <v>258</v>
      </c>
      <c r="V11" s="151" t="e">
        <f>[1]!Tabella1[[#This Row],[Booking Hours]]</f>
        <v>#REF!</v>
      </c>
      <c r="W11" s="60" t="e">
        <f>[1]!Tabella1[[#This Row],[Booking Period]]</f>
        <v>#REF!</v>
      </c>
      <c r="X11" s="65"/>
    </row>
    <row r="12" spans="1:102" ht="15" x14ac:dyDescent="0.25">
      <c r="A12" s="144" t="s">
        <v>153</v>
      </c>
      <c r="B12" s="59" t="s">
        <v>36</v>
      </c>
      <c r="C12" s="59" t="s">
        <v>217</v>
      </c>
      <c r="D12" s="63" t="s">
        <v>220</v>
      </c>
      <c r="E12" s="49" t="s">
        <v>440</v>
      </c>
      <c r="F12" s="59" t="s">
        <v>222</v>
      </c>
      <c r="G12" s="59" t="s">
        <v>226</v>
      </c>
      <c r="H12" s="82">
        <v>84.82</v>
      </c>
      <c r="I12" s="83">
        <v>91.81</v>
      </c>
      <c r="J12" s="83"/>
      <c r="K12" s="83">
        <f t="shared" si="3"/>
        <v>91.81</v>
      </c>
      <c r="L12" s="136">
        <f>M12/12</f>
        <v>181.75</v>
      </c>
      <c r="M12" s="136">
        <v>2181</v>
      </c>
      <c r="N12" s="100">
        <f t="shared" si="1"/>
        <v>2.7510316368638238E-2</v>
      </c>
      <c r="O12" s="100">
        <f t="shared" si="2"/>
        <v>0</v>
      </c>
      <c r="P12" s="71"/>
      <c r="Q12" s="64" t="s">
        <v>235</v>
      </c>
      <c r="R12" s="63" t="s">
        <v>255</v>
      </c>
      <c r="S12" s="126">
        <v>60</v>
      </c>
      <c r="T12" s="126">
        <f t="shared" si="0"/>
        <v>5508.6</v>
      </c>
      <c r="U12" s="67" t="s">
        <v>259</v>
      </c>
      <c r="V12" s="152"/>
      <c r="W12" s="153" t="s">
        <v>260</v>
      </c>
      <c r="X12" s="65"/>
    </row>
    <row r="13" spans="1:102" ht="30" x14ac:dyDescent="0.25">
      <c r="A13" s="144" t="s">
        <v>153</v>
      </c>
      <c r="B13" s="59" t="s">
        <v>36</v>
      </c>
      <c r="C13" s="59" t="s">
        <v>217</v>
      </c>
      <c r="D13" s="63" t="s">
        <v>220</v>
      </c>
      <c r="E13" s="49" t="s">
        <v>440</v>
      </c>
      <c r="F13" s="59" t="s">
        <v>222</v>
      </c>
      <c r="G13" s="59" t="s">
        <v>226</v>
      </c>
      <c r="H13" s="82">
        <v>84.82</v>
      </c>
      <c r="I13" s="83">
        <v>91.81</v>
      </c>
      <c r="J13" s="83"/>
      <c r="K13" s="83">
        <f t="shared" si="3"/>
        <v>91.81</v>
      </c>
      <c r="L13" s="136">
        <f>M13/12</f>
        <v>181.75</v>
      </c>
      <c r="M13" s="136">
        <v>2181</v>
      </c>
      <c r="N13" s="100">
        <f t="shared" si="1"/>
        <v>9.9037138927097659E-2</v>
      </c>
      <c r="O13" s="100" t="e">
        <f t="shared" si="2"/>
        <v>#REF!</v>
      </c>
      <c r="P13" s="71"/>
      <c r="Q13" s="64" t="s">
        <v>230</v>
      </c>
      <c r="R13" s="63" t="s">
        <v>261</v>
      </c>
      <c r="S13" s="126">
        <v>216</v>
      </c>
      <c r="T13" s="126">
        <f t="shared" si="0"/>
        <v>19830.96</v>
      </c>
      <c r="U13" s="67" t="s">
        <v>252</v>
      </c>
      <c r="V13" s="151" t="e">
        <f>[1]!Tabella1[[#This Row],[Booking Hours]]</f>
        <v>#REF!</v>
      </c>
      <c r="W13" s="63" t="e">
        <f>[1]!Tabella1[[#This Row],[Booking Period]]</f>
        <v>#REF!</v>
      </c>
      <c r="X13" s="65"/>
    </row>
    <row r="14" spans="1:102" ht="15" x14ac:dyDescent="0.25">
      <c r="A14" s="145" t="s">
        <v>152</v>
      </c>
      <c r="B14" s="59" t="s">
        <v>161</v>
      </c>
      <c r="C14" s="62" t="s">
        <v>215</v>
      </c>
      <c r="D14" s="67" t="s">
        <v>28</v>
      </c>
      <c r="E14" s="49" t="s">
        <v>28</v>
      </c>
      <c r="F14" s="59" t="s">
        <v>221</v>
      </c>
      <c r="G14" s="59" t="s">
        <v>224</v>
      </c>
      <c r="H14" s="98"/>
      <c r="I14" s="99"/>
      <c r="J14" s="83">
        <v>6.666666666666667</v>
      </c>
      <c r="K14" s="99">
        <f t="shared" ref="K14:K40" si="4">J14</f>
        <v>6.666666666666667</v>
      </c>
      <c r="L14" s="136">
        <f t="shared" ref="L14:L40" si="5">(60*4)</f>
        <v>240</v>
      </c>
      <c r="M14" s="136">
        <f t="shared" ref="M14:M40" si="6">L14*12</f>
        <v>2880</v>
      </c>
      <c r="N14" s="100">
        <f t="shared" si="1"/>
        <v>1.6666666666666666E-2</v>
      </c>
      <c r="O14" s="100">
        <f t="shared" si="2"/>
        <v>0</v>
      </c>
      <c r="P14" s="71"/>
      <c r="Q14" s="64" t="s">
        <v>236</v>
      </c>
      <c r="R14" s="63" t="s">
        <v>262</v>
      </c>
      <c r="S14" s="126">
        <v>48</v>
      </c>
      <c r="T14" s="126">
        <f t="shared" si="0"/>
        <v>0</v>
      </c>
      <c r="U14" s="63" t="s">
        <v>263</v>
      </c>
      <c r="V14" s="151">
        <v>0</v>
      </c>
      <c r="W14" s="60" t="s">
        <v>264</v>
      </c>
      <c r="X14" s="65"/>
    </row>
    <row r="15" spans="1:102" ht="15" x14ac:dyDescent="0.25">
      <c r="A15" s="145" t="s">
        <v>152</v>
      </c>
      <c r="B15" s="59" t="s">
        <v>161</v>
      </c>
      <c r="C15" s="62" t="s">
        <v>215</v>
      </c>
      <c r="D15" s="67" t="s">
        <v>28</v>
      </c>
      <c r="E15" s="49" t="s">
        <v>28</v>
      </c>
      <c r="F15" s="59" t="s">
        <v>221</v>
      </c>
      <c r="G15" s="59" t="s">
        <v>224</v>
      </c>
      <c r="H15" s="98"/>
      <c r="I15" s="99"/>
      <c r="J15" s="83">
        <v>6.666666666666667</v>
      </c>
      <c r="K15" s="99">
        <f t="shared" si="4"/>
        <v>6.666666666666667</v>
      </c>
      <c r="L15" s="136">
        <f t="shared" si="5"/>
        <v>240</v>
      </c>
      <c r="M15" s="136">
        <f t="shared" si="6"/>
        <v>2880</v>
      </c>
      <c r="N15" s="100">
        <f t="shared" si="1"/>
        <v>1.6666666666666666E-2</v>
      </c>
      <c r="O15" s="100" t="e">
        <f t="shared" si="2"/>
        <v>#REF!</v>
      </c>
      <c r="P15" s="71"/>
      <c r="Q15" s="64" t="s">
        <v>237</v>
      </c>
      <c r="R15" s="63" t="s">
        <v>262</v>
      </c>
      <c r="S15" s="128">
        <v>48</v>
      </c>
      <c r="T15" s="126">
        <f t="shared" si="0"/>
        <v>0</v>
      </c>
      <c r="U15" s="63" t="s">
        <v>263</v>
      </c>
      <c r="V15" s="151" t="e">
        <f>[1]!Tabella1[[#This Row],[Booking Hours]]</f>
        <v>#REF!</v>
      </c>
      <c r="W15" s="60" t="e">
        <f>[1]!Tabella1[[#This Row],[Booking Period]]</f>
        <v>#REF!</v>
      </c>
      <c r="X15" s="70"/>
    </row>
    <row r="16" spans="1:102" ht="15" x14ac:dyDescent="0.25">
      <c r="A16" s="145" t="s">
        <v>152</v>
      </c>
      <c r="B16" s="59" t="s">
        <v>161</v>
      </c>
      <c r="C16" s="62" t="s">
        <v>215</v>
      </c>
      <c r="D16" s="67" t="s">
        <v>28</v>
      </c>
      <c r="E16" s="49" t="s">
        <v>28</v>
      </c>
      <c r="F16" s="59" t="s">
        <v>221</v>
      </c>
      <c r="G16" s="59" t="s">
        <v>224</v>
      </c>
      <c r="H16" s="98"/>
      <c r="I16" s="99"/>
      <c r="J16" s="83">
        <v>6.666666666666667</v>
      </c>
      <c r="K16" s="99">
        <f t="shared" si="4"/>
        <v>6.666666666666667</v>
      </c>
      <c r="L16" s="136">
        <f t="shared" si="5"/>
        <v>240</v>
      </c>
      <c r="M16" s="136">
        <f t="shared" si="6"/>
        <v>2880</v>
      </c>
      <c r="N16" s="100">
        <f t="shared" si="1"/>
        <v>0.05</v>
      </c>
      <c r="O16" s="100" t="e">
        <f t="shared" si="2"/>
        <v>#REF!</v>
      </c>
      <c r="P16" s="71"/>
      <c r="Q16" s="66" t="s">
        <v>238</v>
      </c>
      <c r="R16" s="63" t="s">
        <v>262</v>
      </c>
      <c r="S16" s="128">
        <v>144</v>
      </c>
      <c r="T16" s="126">
        <f t="shared" si="0"/>
        <v>0</v>
      </c>
      <c r="U16" s="63" t="s">
        <v>263</v>
      </c>
      <c r="V16" s="151" t="e">
        <f>[1]!Tabella1[[#This Row],[Booking Hours]]</f>
        <v>#REF!</v>
      </c>
      <c r="W16" s="60" t="e">
        <f>[1]!Tabella1[[#This Row],[Booking Period]]</f>
        <v>#REF!</v>
      </c>
      <c r="X16" s="70"/>
    </row>
    <row r="17" spans="1:24" ht="15" x14ac:dyDescent="0.25">
      <c r="A17" s="145" t="s">
        <v>152</v>
      </c>
      <c r="B17" s="59" t="s">
        <v>161</v>
      </c>
      <c r="C17" s="62" t="s">
        <v>215</v>
      </c>
      <c r="D17" s="67" t="s">
        <v>28</v>
      </c>
      <c r="E17" s="49" t="s">
        <v>28</v>
      </c>
      <c r="F17" s="59" t="s">
        <v>221</v>
      </c>
      <c r="G17" s="59" t="s">
        <v>224</v>
      </c>
      <c r="H17" s="98"/>
      <c r="I17" s="99"/>
      <c r="J17" s="83">
        <v>6.666666666666667</v>
      </c>
      <c r="K17" s="99">
        <f t="shared" si="4"/>
        <v>6.666666666666667</v>
      </c>
      <c r="L17" s="136">
        <f t="shared" si="5"/>
        <v>240</v>
      </c>
      <c r="M17" s="136">
        <f t="shared" si="6"/>
        <v>2880</v>
      </c>
      <c r="N17" s="100">
        <f t="shared" si="1"/>
        <v>0.05</v>
      </c>
      <c r="O17" s="100" t="e">
        <f t="shared" si="2"/>
        <v>#REF!</v>
      </c>
      <c r="P17" s="71"/>
      <c r="Q17" s="64" t="s">
        <v>230</v>
      </c>
      <c r="R17" s="63" t="s">
        <v>262</v>
      </c>
      <c r="S17" s="128">
        <v>144</v>
      </c>
      <c r="T17" s="126">
        <f t="shared" si="0"/>
        <v>0</v>
      </c>
      <c r="U17" s="63" t="s">
        <v>263</v>
      </c>
      <c r="V17" s="151" t="e">
        <f>[1]!Tabella1[[#This Row],[Booking Hours]]</f>
        <v>#REF!</v>
      </c>
      <c r="W17" s="63" t="e">
        <f>[1]!Tabella1[[#This Row],[Booking Period]]</f>
        <v>#REF!</v>
      </c>
      <c r="X17" s="70"/>
    </row>
    <row r="18" spans="1:24" ht="15" x14ac:dyDescent="0.25">
      <c r="A18" s="145" t="s">
        <v>152</v>
      </c>
      <c r="B18" s="59" t="s">
        <v>161</v>
      </c>
      <c r="C18" s="62" t="s">
        <v>215</v>
      </c>
      <c r="D18" s="67" t="s">
        <v>28</v>
      </c>
      <c r="E18" s="49" t="s">
        <v>28</v>
      </c>
      <c r="F18" s="59" t="s">
        <v>221</v>
      </c>
      <c r="G18" s="59" t="s">
        <v>224</v>
      </c>
      <c r="H18" s="98"/>
      <c r="I18" s="99"/>
      <c r="J18" s="83">
        <v>6.666666666666667</v>
      </c>
      <c r="K18" s="99">
        <f t="shared" si="4"/>
        <v>6.666666666666667</v>
      </c>
      <c r="L18" s="136">
        <f t="shared" si="5"/>
        <v>240</v>
      </c>
      <c r="M18" s="136">
        <f t="shared" si="6"/>
        <v>2880</v>
      </c>
      <c r="N18" s="100">
        <f t="shared" si="1"/>
        <v>0.05</v>
      </c>
      <c r="O18" s="100" t="e">
        <f t="shared" si="2"/>
        <v>#REF!</v>
      </c>
      <c r="P18" s="71"/>
      <c r="Q18" s="64" t="s">
        <v>234</v>
      </c>
      <c r="R18" s="63" t="s">
        <v>262</v>
      </c>
      <c r="S18" s="128">
        <v>144</v>
      </c>
      <c r="T18" s="126">
        <f t="shared" si="0"/>
        <v>0</v>
      </c>
      <c r="U18" s="63" t="s">
        <v>265</v>
      </c>
      <c r="V18" s="151" t="e">
        <f>[1]!Tabella1[[#This Row],[Booking Hours]]</f>
        <v>#REF!</v>
      </c>
      <c r="W18" s="60" t="e">
        <f>[1]!Tabella1[[#This Row],[Booking Period]]</f>
        <v>#REF!</v>
      </c>
      <c r="X18" s="70"/>
    </row>
    <row r="19" spans="1:24" ht="15" x14ac:dyDescent="0.25">
      <c r="A19" s="145" t="s">
        <v>152</v>
      </c>
      <c r="B19" s="59" t="s">
        <v>161</v>
      </c>
      <c r="C19" s="62" t="s">
        <v>215</v>
      </c>
      <c r="D19" s="67" t="s">
        <v>28</v>
      </c>
      <c r="E19" s="49" t="s">
        <v>28</v>
      </c>
      <c r="F19" s="59" t="s">
        <v>221</v>
      </c>
      <c r="G19" s="59" t="s">
        <v>224</v>
      </c>
      <c r="H19" s="98"/>
      <c r="I19" s="99"/>
      <c r="J19" s="83">
        <v>6.666666666666667</v>
      </c>
      <c r="K19" s="99">
        <f t="shared" si="4"/>
        <v>6.666666666666667</v>
      </c>
      <c r="L19" s="136">
        <f t="shared" si="5"/>
        <v>240</v>
      </c>
      <c r="M19" s="136">
        <f t="shared" si="6"/>
        <v>2880</v>
      </c>
      <c r="N19" s="100">
        <f t="shared" si="1"/>
        <v>1.2500000000000001E-2</v>
      </c>
      <c r="O19" s="100">
        <f t="shared" si="2"/>
        <v>0</v>
      </c>
      <c r="P19" s="71"/>
      <c r="Q19" s="64" t="s">
        <v>235</v>
      </c>
      <c r="R19" s="63" t="s">
        <v>262</v>
      </c>
      <c r="S19" s="128">
        <v>36</v>
      </c>
      <c r="T19" s="126">
        <f t="shared" si="0"/>
        <v>0</v>
      </c>
      <c r="U19" s="63" t="s">
        <v>266</v>
      </c>
      <c r="V19" s="151"/>
      <c r="W19" s="153" t="s">
        <v>260</v>
      </c>
      <c r="X19" s="70"/>
    </row>
    <row r="20" spans="1:24" ht="15" x14ac:dyDescent="0.25">
      <c r="A20" s="145" t="s">
        <v>152</v>
      </c>
      <c r="B20" s="59" t="s">
        <v>161</v>
      </c>
      <c r="C20" s="62" t="s">
        <v>215</v>
      </c>
      <c r="D20" s="67" t="s">
        <v>28</v>
      </c>
      <c r="E20" s="49" t="s">
        <v>28</v>
      </c>
      <c r="F20" s="59" t="s">
        <v>221</v>
      </c>
      <c r="G20" s="59" t="s">
        <v>224</v>
      </c>
      <c r="H20" s="98"/>
      <c r="I20" s="99"/>
      <c r="J20" s="83">
        <v>6.666666666666667</v>
      </c>
      <c r="K20" s="99">
        <f t="shared" si="4"/>
        <v>6.666666666666667</v>
      </c>
      <c r="L20" s="136">
        <f t="shared" si="5"/>
        <v>240</v>
      </c>
      <c r="M20" s="136">
        <f t="shared" si="6"/>
        <v>2880</v>
      </c>
      <c r="N20" s="100">
        <f t="shared" si="1"/>
        <v>0.1</v>
      </c>
      <c r="O20" s="100">
        <f t="shared" si="2"/>
        <v>7.6388888888888895E-2</v>
      </c>
      <c r="P20" s="71"/>
      <c r="Q20" s="64" t="s">
        <v>232</v>
      </c>
      <c r="R20" s="63" t="s">
        <v>262</v>
      </c>
      <c r="S20" s="128">
        <v>288</v>
      </c>
      <c r="T20" s="126">
        <f t="shared" si="0"/>
        <v>0</v>
      </c>
      <c r="U20" s="63" t="s">
        <v>263</v>
      </c>
      <c r="V20" s="151">
        <v>220</v>
      </c>
      <c r="W20" s="63" t="e">
        <f>[1]!Tabella1[[#This Row],[Booking Period]]</f>
        <v>#REF!</v>
      </c>
      <c r="X20" s="70"/>
    </row>
    <row r="21" spans="1:24" ht="15" x14ac:dyDescent="0.25">
      <c r="A21" s="145" t="s">
        <v>152</v>
      </c>
      <c r="B21" s="59" t="s">
        <v>161</v>
      </c>
      <c r="C21" s="62" t="s">
        <v>215</v>
      </c>
      <c r="D21" s="67" t="s">
        <v>28</v>
      </c>
      <c r="E21" s="49" t="s">
        <v>28</v>
      </c>
      <c r="F21" s="59" t="s">
        <v>221</v>
      </c>
      <c r="G21" s="59" t="s">
        <v>224</v>
      </c>
      <c r="H21" s="98"/>
      <c r="I21" s="99"/>
      <c r="J21" s="83">
        <v>6.666666666666667</v>
      </c>
      <c r="K21" s="99">
        <f t="shared" si="4"/>
        <v>6.666666666666667</v>
      </c>
      <c r="L21" s="136">
        <f t="shared" si="5"/>
        <v>240</v>
      </c>
      <c r="M21" s="136">
        <f t="shared" si="6"/>
        <v>2880</v>
      </c>
      <c r="N21" s="100">
        <f t="shared" si="1"/>
        <v>0.05</v>
      </c>
      <c r="O21" s="100">
        <f t="shared" si="2"/>
        <v>0</v>
      </c>
      <c r="P21" s="71"/>
      <c r="Q21" s="64" t="s">
        <v>233</v>
      </c>
      <c r="R21" s="63" t="s">
        <v>262</v>
      </c>
      <c r="S21" s="128">
        <v>144</v>
      </c>
      <c r="T21" s="126">
        <f t="shared" si="0"/>
        <v>0</v>
      </c>
      <c r="U21" s="63" t="s">
        <v>263</v>
      </c>
      <c r="V21" s="151"/>
      <c r="W21" s="71" t="s">
        <v>100</v>
      </c>
      <c r="X21" s="70"/>
    </row>
    <row r="22" spans="1:24" ht="15" x14ac:dyDescent="0.25">
      <c r="A22" s="145" t="s">
        <v>152</v>
      </c>
      <c r="B22" s="59" t="s">
        <v>161</v>
      </c>
      <c r="C22" s="62" t="s">
        <v>215</v>
      </c>
      <c r="D22" s="67" t="s">
        <v>28</v>
      </c>
      <c r="E22" s="49" t="s">
        <v>28</v>
      </c>
      <c r="F22" s="59" t="s">
        <v>221</v>
      </c>
      <c r="G22" s="59" t="s">
        <v>224</v>
      </c>
      <c r="H22" s="98"/>
      <c r="I22" s="99"/>
      <c r="J22" s="83">
        <v>6.666666666666667</v>
      </c>
      <c r="K22" s="99">
        <f t="shared" si="4"/>
        <v>6.666666666666667</v>
      </c>
      <c r="L22" s="136">
        <f t="shared" si="5"/>
        <v>240</v>
      </c>
      <c r="M22" s="136">
        <f t="shared" si="6"/>
        <v>2880</v>
      </c>
      <c r="N22" s="100">
        <f t="shared" si="1"/>
        <v>1.6666666666666666E-2</v>
      </c>
      <c r="O22" s="100" t="e">
        <f t="shared" si="2"/>
        <v>#REF!</v>
      </c>
      <c r="P22" s="71"/>
      <c r="Q22" s="64" t="s">
        <v>239</v>
      </c>
      <c r="R22" s="63" t="s">
        <v>262</v>
      </c>
      <c r="S22" s="128">
        <v>48</v>
      </c>
      <c r="T22" s="126">
        <f t="shared" si="0"/>
        <v>0</v>
      </c>
      <c r="U22" s="63" t="s">
        <v>263</v>
      </c>
      <c r="V22" s="151" t="e">
        <f>[1]!Tabella1[[#This Row],[Booking Hours]]</f>
        <v>#REF!</v>
      </c>
      <c r="W22" s="60" t="e">
        <f>[1]!Tabella1[[#This Row],[Booking Period]]</f>
        <v>#REF!</v>
      </c>
      <c r="X22" s="70"/>
    </row>
    <row r="23" spans="1:24" ht="15" x14ac:dyDescent="0.25">
      <c r="A23" s="145" t="s">
        <v>152</v>
      </c>
      <c r="B23" s="59" t="s">
        <v>161</v>
      </c>
      <c r="C23" s="62" t="s">
        <v>215</v>
      </c>
      <c r="D23" s="67" t="s">
        <v>28</v>
      </c>
      <c r="E23" s="49" t="s">
        <v>28</v>
      </c>
      <c r="F23" s="59" t="s">
        <v>221</v>
      </c>
      <c r="G23" s="59" t="s">
        <v>224</v>
      </c>
      <c r="H23" s="98"/>
      <c r="I23" s="99"/>
      <c r="J23" s="83">
        <v>6.666666666666667</v>
      </c>
      <c r="K23" s="99">
        <f t="shared" si="4"/>
        <v>6.666666666666667</v>
      </c>
      <c r="L23" s="136">
        <f t="shared" si="5"/>
        <v>240</v>
      </c>
      <c r="M23" s="136">
        <f t="shared" si="6"/>
        <v>2880</v>
      </c>
      <c r="N23" s="100">
        <f t="shared" si="1"/>
        <v>1.6666666666666666E-2</v>
      </c>
      <c r="O23" s="100">
        <f t="shared" si="2"/>
        <v>0</v>
      </c>
      <c r="P23" s="71"/>
      <c r="Q23" s="64" t="s">
        <v>236</v>
      </c>
      <c r="R23" s="63" t="s">
        <v>267</v>
      </c>
      <c r="S23" s="128">
        <v>48</v>
      </c>
      <c r="T23" s="126">
        <f t="shared" si="0"/>
        <v>0</v>
      </c>
      <c r="U23" s="63" t="s">
        <v>263</v>
      </c>
      <c r="V23" s="151">
        <v>0</v>
      </c>
      <c r="W23" s="60" t="s">
        <v>264</v>
      </c>
      <c r="X23" s="70"/>
    </row>
    <row r="24" spans="1:24" ht="15" x14ac:dyDescent="0.25">
      <c r="A24" s="145" t="s">
        <v>152</v>
      </c>
      <c r="B24" s="59" t="s">
        <v>161</v>
      </c>
      <c r="C24" s="62" t="s">
        <v>215</v>
      </c>
      <c r="D24" s="67" t="s">
        <v>28</v>
      </c>
      <c r="E24" s="49" t="s">
        <v>28</v>
      </c>
      <c r="F24" s="59" t="s">
        <v>221</v>
      </c>
      <c r="G24" s="59" t="s">
        <v>224</v>
      </c>
      <c r="H24" s="98"/>
      <c r="I24" s="99"/>
      <c r="J24" s="83">
        <v>6.666666666666667</v>
      </c>
      <c r="K24" s="99">
        <f t="shared" si="4"/>
        <v>6.666666666666667</v>
      </c>
      <c r="L24" s="136">
        <f t="shared" si="5"/>
        <v>240</v>
      </c>
      <c r="M24" s="136">
        <f t="shared" si="6"/>
        <v>2880</v>
      </c>
      <c r="N24" s="100">
        <f t="shared" si="1"/>
        <v>1.6666666666666666E-2</v>
      </c>
      <c r="O24" s="100" t="e">
        <f t="shared" si="2"/>
        <v>#REF!</v>
      </c>
      <c r="P24" s="71"/>
      <c r="Q24" s="64" t="s">
        <v>237</v>
      </c>
      <c r="R24" s="63" t="s">
        <v>267</v>
      </c>
      <c r="S24" s="128">
        <v>48</v>
      </c>
      <c r="T24" s="126">
        <f t="shared" si="0"/>
        <v>0</v>
      </c>
      <c r="U24" s="63" t="s">
        <v>263</v>
      </c>
      <c r="V24" s="151" t="e">
        <f>[1]!Tabella1[[#This Row],[Booking Hours]]</f>
        <v>#REF!</v>
      </c>
      <c r="W24" s="60" t="e">
        <f>[1]!Tabella1[[#This Row],[Booking Period]]</f>
        <v>#REF!</v>
      </c>
      <c r="X24" s="70"/>
    </row>
    <row r="25" spans="1:24" ht="15" x14ac:dyDescent="0.25">
      <c r="A25" s="145" t="s">
        <v>152</v>
      </c>
      <c r="B25" s="59" t="s">
        <v>161</v>
      </c>
      <c r="C25" s="62" t="s">
        <v>215</v>
      </c>
      <c r="D25" s="67" t="s">
        <v>28</v>
      </c>
      <c r="E25" s="49" t="s">
        <v>28</v>
      </c>
      <c r="F25" s="59" t="s">
        <v>221</v>
      </c>
      <c r="G25" s="59" t="s">
        <v>224</v>
      </c>
      <c r="H25" s="98"/>
      <c r="I25" s="99"/>
      <c r="J25" s="83">
        <v>6.666666666666667</v>
      </c>
      <c r="K25" s="99">
        <f t="shared" si="4"/>
        <v>6.666666666666667</v>
      </c>
      <c r="L25" s="136">
        <f t="shared" si="5"/>
        <v>240</v>
      </c>
      <c r="M25" s="136">
        <f t="shared" si="6"/>
        <v>2880</v>
      </c>
      <c r="N25" s="100">
        <f t="shared" si="1"/>
        <v>0.05</v>
      </c>
      <c r="O25" s="100" t="e">
        <f t="shared" si="2"/>
        <v>#REF!</v>
      </c>
      <c r="P25" s="71"/>
      <c r="Q25" s="66" t="s">
        <v>238</v>
      </c>
      <c r="R25" s="63" t="s">
        <v>267</v>
      </c>
      <c r="S25" s="128">
        <v>144</v>
      </c>
      <c r="T25" s="126">
        <f t="shared" si="0"/>
        <v>0</v>
      </c>
      <c r="U25" s="63" t="s">
        <v>263</v>
      </c>
      <c r="V25" s="151" t="e">
        <f>[1]!Tabella1[[#This Row],[Booking Hours]]</f>
        <v>#REF!</v>
      </c>
      <c r="W25" s="60" t="e">
        <f>[1]!Tabella1[[#This Row],[Booking Period]]</f>
        <v>#REF!</v>
      </c>
      <c r="X25" s="70"/>
    </row>
    <row r="26" spans="1:24" ht="15" x14ac:dyDescent="0.25">
      <c r="A26" s="145" t="s">
        <v>152</v>
      </c>
      <c r="B26" s="59" t="s">
        <v>161</v>
      </c>
      <c r="C26" s="62" t="s">
        <v>215</v>
      </c>
      <c r="D26" s="67" t="s">
        <v>28</v>
      </c>
      <c r="E26" s="49" t="s">
        <v>28</v>
      </c>
      <c r="F26" s="59" t="s">
        <v>221</v>
      </c>
      <c r="G26" s="59" t="s">
        <v>224</v>
      </c>
      <c r="H26" s="98"/>
      <c r="I26" s="99"/>
      <c r="J26" s="83">
        <v>6.666666666666667</v>
      </c>
      <c r="K26" s="99">
        <f t="shared" si="4"/>
        <v>6.666666666666667</v>
      </c>
      <c r="L26" s="136">
        <f t="shared" si="5"/>
        <v>240</v>
      </c>
      <c r="M26" s="136">
        <f t="shared" si="6"/>
        <v>2880</v>
      </c>
      <c r="N26" s="100">
        <f t="shared" si="1"/>
        <v>0.05</v>
      </c>
      <c r="O26" s="100" t="e">
        <f t="shared" si="2"/>
        <v>#REF!</v>
      </c>
      <c r="P26" s="71"/>
      <c r="Q26" s="64" t="s">
        <v>230</v>
      </c>
      <c r="R26" s="63" t="s">
        <v>267</v>
      </c>
      <c r="S26" s="128">
        <v>144</v>
      </c>
      <c r="T26" s="126">
        <f t="shared" si="0"/>
        <v>0</v>
      </c>
      <c r="U26" s="63" t="s">
        <v>263</v>
      </c>
      <c r="V26" s="151" t="e">
        <f>[1]!Tabella1[[#This Row],[Booking Hours]]</f>
        <v>#REF!</v>
      </c>
      <c r="W26" s="63" t="e">
        <f>[1]!Tabella1[[#This Row],[Booking Period]]</f>
        <v>#REF!</v>
      </c>
      <c r="X26" s="70"/>
    </row>
    <row r="27" spans="1:24" ht="15" x14ac:dyDescent="0.25">
      <c r="A27" s="145" t="s">
        <v>152</v>
      </c>
      <c r="B27" s="59" t="s">
        <v>161</v>
      </c>
      <c r="C27" s="62" t="s">
        <v>215</v>
      </c>
      <c r="D27" s="67" t="s">
        <v>28</v>
      </c>
      <c r="E27" s="49" t="s">
        <v>28</v>
      </c>
      <c r="F27" s="59" t="s">
        <v>221</v>
      </c>
      <c r="G27" s="59" t="s">
        <v>224</v>
      </c>
      <c r="H27" s="98"/>
      <c r="I27" s="99"/>
      <c r="J27" s="83">
        <v>6.666666666666667</v>
      </c>
      <c r="K27" s="99">
        <f t="shared" si="4"/>
        <v>6.666666666666667</v>
      </c>
      <c r="L27" s="136">
        <f t="shared" si="5"/>
        <v>240</v>
      </c>
      <c r="M27" s="136">
        <f t="shared" si="6"/>
        <v>2880</v>
      </c>
      <c r="N27" s="100">
        <f t="shared" si="1"/>
        <v>0.05</v>
      </c>
      <c r="O27" s="100" t="e">
        <f t="shared" si="2"/>
        <v>#REF!</v>
      </c>
      <c r="P27" s="71"/>
      <c r="Q27" s="64" t="s">
        <v>234</v>
      </c>
      <c r="R27" s="63" t="s">
        <v>267</v>
      </c>
      <c r="S27" s="128">
        <v>144</v>
      </c>
      <c r="T27" s="126">
        <f t="shared" si="0"/>
        <v>0</v>
      </c>
      <c r="U27" s="63" t="s">
        <v>265</v>
      </c>
      <c r="V27" s="151" t="e">
        <f>[1]!Tabella1[[#This Row],[Booking Hours]]</f>
        <v>#REF!</v>
      </c>
      <c r="W27" s="60" t="e">
        <f>[1]!Tabella1[[#This Row],[Booking Period]]</f>
        <v>#REF!</v>
      </c>
      <c r="X27" s="70"/>
    </row>
    <row r="28" spans="1:24" ht="15" x14ac:dyDescent="0.25">
      <c r="A28" s="145" t="s">
        <v>152</v>
      </c>
      <c r="B28" s="59" t="s">
        <v>161</v>
      </c>
      <c r="C28" s="62" t="s">
        <v>215</v>
      </c>
      <c r="D28" s="67" t="s">
        <v>28</v>
      </c>
      <c r="E28" s="49" t="s">
        <v>28</v>
      </c>
      <c r="F28" s="59" t="s">
        <v>221</v>
      </c>
      <c r="G28" s="59" t="s">
        <v>224</v>
      </c>
      <c r="H28" s="98"/>
      <c r="I28" s="99"/>
      <c r="J28" s="83">
        <v>6.666666666666667</v>
      </c>
      <c r="K28" s="99">
        <f t="shared" si="4"/>
        <v>6.666666666666667</v>
      </c>
      <c r="L28" s="136">
        <f t="shared" si="5"/>
        <v>240</v>
      </c>
      <c r="M28" s="136">
        <f t="shared" si="6"/>
        <v>2880</v>
      </c>
      <c r="N28" s="100">
        <f t="shared" si="1"/>
        <v>1.2500000000000001E-2</v>
      </c>
      <c r="O28" s="100">
        <f t="shared" si="2"/>
        <v>0</v>
      </c>
      <c r="P28" s="71"/>
      <c r="Q28" s="64" t="s">
        <v>235</v>
      </c>
      <c r="R28" s="63" t="s">
        <v>267</v>
      </c>
      <c r="S28" s="128">
        <v>36</v>
      </c>
      <c r="T28" s="126">
        <f t="shared" si="0"/>
        <v>0</v>
      </c>
      <c r="U28" s="63" t="s">
        <v>266</v>
      </c>
      <c r="V28" s="151"/>
      <c r="W28" s="153" t="s">
        <v>260</v>
      </c>
      <c r="X28" s="70"/>
    </row>
    <row r="29" spans="1:24" ht="15" x14ac:dyDescent="0.25">
      <c r="A29" s="145" t="s">
        <v>152</v>
      </c>
      <c r="B29" s="59" t="s">
        <v>161</v>
      </c>
      <c r="C29" s="62" t="s">
        <v>215</v>
      </c>
      <c r="D29" s="67" t="s">
        <v>28</v>
      </c>
      <c r="E29" s="49" t="s">
        <v>28</v>
      </c>
      <c r="F29" s="59" t="s">
        <v>221</v>
      </c>
      <c r="G29" s="59" t="s">
        <v>224</v>
      </c>
      <c r="H29" s="98"/>
      <c r="I29" s="99"/>
      <c r="J29" s="83">
        <v>6.666666666666667</v>
      </c>
      <c r="K29" s="99">
        <f t="shared" si="4"/>
        <v>6.666666666666667</v>
      </c>
      <c r="L29" s="136">
        <f t="shared" si="5"/>
        <v>240</v>
      </c>
      <c r="M29" s="136">
        <f t="shared" si="6"/>
        <v>2880</v>
      </c>
      <c r="N29" s="100">
        <f t="shared" si="1"/>
        <v>0.05</v>
      </c>
      <c r="O29" s="100">
        <f t="shared" si="2"/>
        <v>7.6388888888888895E-2</v>
      </c>
      <c r="P29" s="71"/>
      <c r="Q29" s="64" t="s">
        <v>232</v>
      </c>
      <c r="R29" s="63" t="s">
        <v>267</v>
      </c>
      <c r="S29" s="128">
        <v>144</v>
      </c>
      <c r="T29" s="126">
        <f t="shared" si="0"/>
        <v>0</v>
      </c>
      <c r="U29" s="63" t="s">
        <v>263</v>
      </c>
      <c r="V29" s="151">
        <v>220</v>
      </c>
      <c r="W29" s="63" t="e">
        <f>[1]!Tabella1[[#This Row],[Booking Period]]</f>
        <v>#REF!</v>
      </c>
      <c r="X29" s="70"/>
    </row>
    <row r="30" spans="1:24" ht="15" x14ac:dyDescent="0.25">
      <c r="A30" s="145" t="s">
        <v>152</v>
      </c>
      <c r="B30" s="59" t="s">
        <v>161</v>
      </c>
      <c r="C30" s="62" t="s">
        <v>215</v>
      </c>
      <c r="D30" s="67" t="s">
        <v>28</v>
      </c>
      <c r="E30" s="49" t="s">
        <v>28</v>
      </c>
      <c r="F30" s="59" t="s">
        <v>221</v>
      </c>
      <c r="G30" s="59" t="s">
        <v>224</v>
      </c>
      <c r="H30" s="98"/>
      <c r="I30" s="99"/>
      <c r="J30" s="83">
        <v>6.666666666666667</v>
      </c>
      <c r="K30" s="99">
        <f t="shared" si="4"/>
        <v>6.666666666666667</v>
      </c>
      <c r="L30" s="136">
        <f t="shared" si="5"/>
        <v>240</v>
      </c>
      <c r="M30" s="136">
        <f t="shared" si="6"/>
        <v>2880</v>
      </c>
      <c r="N30" s="100">
        <f t="shared" si="1"/>
        <v>0.05</v>
      </c>
      <c r="O30" s="100">
        <f t="shared" si="2"/>
        <v>0</v>
      </c>
      <c r="P30" s="71"/>
      <c r="Q30" s="64" t="s">
        <v>233</v>
      </c>
      <c r="R30" s="63" t="s">
        <v>267</v>
      </c>
      <c r="S30" s="128">
        <v>144</v>
      </c>
      <c r="T30" s="126">
        <f t="shared" si="0"/>
        <v>0</v>
      </c>
      <c r="U30" s="63" t="s">
        <v>263</v>
      </c>
      <c r="V30" s="151"/>
      <c r="W30" s="71" t="s">
        <v>100</v>
      </c>
      <c r="X30" s="70"/>
    </row>
    <row r="31" spans="1:24" ht="15" x14ac:dyDescent="0.25">
      <c r="A31" s="145" t="s">
        <v>152</v>
      </c>
      <c r="B31" s="59" t="s">
        <v>161</v>
      </c>
      <c r="C31" s="62" t="s">
        <v>215</v>
      </c>
      <c r="D31" s="67" t="s">
        <v>28</v>
      </c>
      <c r="E31" s="49" t="s">
        <v>28</v>
      </c>
      <c r="F31" s="59" t="s">
        <v>221</v>
      </c>
      <c r="G31" s="59" t="s">
        <v>224</v>
      </c>
      <c r="H31" s="98"/>
      <c r="I31" s="99"/>
      <c r="J31" s="83">
        <v>6.666666666666667</v>
      </c>
      <c r="K31" s="99">
        <f t="shared" si="4"/>
        <v>6.666666666666667</v>
      </c>
      <c r="L31" s="136">
        <f t="shared" si="5"/>
        <v>240</v>
      </c>
      <c r="M31" s="136">
        <f t="shared" si="6"/>
        <v>2880</v>
      </c>
      <c r="N31" s="100">
        <f t="shared" si="1"/>
        <v>1.6666666666666666E-2</v>
      </c>
      <c r="O31" s="100" t="e">
        <f t="shared" si="2"/>
        <v>#REF!</v>
      </c>
      <c r="P31" s="71"/>
      <c r="Q31" s="64" t="s">
        <v>239</v>
      </c>
      <c r="R31" s="63" t="s">
        <v>267</v>
      </c>
      <c r="S31" s="128">
        <v>48</v>
      </c>
      <c r="T31" s="126">
        <f t="shared" si="0"/>
        <v>0</v>
      </c>
      <c r="U31" s="63" t="s">
        <v>263</v>
      </c>
      <c r="V31" s="151" t="e">
        <f>[1]!Tabella1[[#This Row],[Booking Hours]]</f>
        <v>#REF!</v>
      </c>
      <c r="W31" s="60" t="e">
        <f>[1]!Tabella1[[#This Row],[Booking Period]]</f>
        <v>#REF!</v>
      </c>
      <c r="X31" s="70"/>
    </row>
    <row r="32" spans="1:24" ht="15" x14ac:dyDescent="0.25">
      <c r="A32" s="145" t="s">
        <v>152</v>
      </c>
      <c r="B32" s="59" t="s">
        <v>161</v>
      </c>
      <c r="C32" s="62" t="s">
        <v>215</v>
      </c>
      <c r="D32" s="67" t="s">
        <v>28</v>
      </c>
      <c r="E32" s="49" t="s">
        <v>28</v>
      </c>
      <c r="F32" s="59" t="s">
        <v>221</v>
      </c>
      <c r="G32" s="59" t="s">
        <v>224</v>
      </c>
      <c r="H32" s="98"/>
      <c r="I32" s="99"/>
      <c r="J32" s="83">
        <v>6.666666666666667</v>
      </c>
      <c r="K32" s="99">
        <f t="shared" si="4"/>
        <v>6.666666666666667</v>
      </c>
      <c r="L32" s="136">
        <f t="shared" si="5"/>
        <v>240</v>
      </c>
      <c r="M32" s="136">
        <f t="shared" si="6"/>
        <v>2880</v>
      </c>
      <c r="N32" s="100">
        <f t="shared" si="1"/>
        <v>2.6041666666666668E-2</v>
      </c>
      <c r="O32" s="100" t="e">
        <f t="shared" si="2"/>
        <v>#REF!</v>
      </c>
      <c r="P32" s="71"/>
      <c r="Q32" s="64" t="s">
        <v>230</v>
      </c>
      <c r="R32" s="63" t="s">
        <v>268</v>
      </c>
      <c r="S32" s="128">
        <v>75</v>
      </c>
      <c r="T32" s="126">
        <f t="shared" si="0"/>
        <v>0</v>
      </c>
      <c r="U32" s="63" t="s">
        <v>269</v>
      </c>
      <c r="V32" s="151" t="e">
        <f>[1]!Tabella1[[#This Row],[Booking Hours]]</f>
        <v>#REF!</v>
      </c>
      <c r="W32" s="63" t="e">
        <f>[1]!Tabella1[[#This Row],[Booking Period]]</f>
        <v>#REF!</v>
      </c>
      <c r="X32" s="70"/>
    </row>
    <row r="33" spans="1:24" ht="15" x14ac:dyDescent="0.25">
      <c r="A33" s="145" t="s">
        <v>152</v>
      </c>
      <c r="B33" s="59" t="s">
        <v>161</v>
      </c>
      <c r="C33" s="62" t="s">
        <v>215</v>
      </c>
      <c r="D33" s="67" t="s">
        <v>28</v>
      </c>
      <c r="E33" s="49" t="s">
        <v>28</v>
      </c>
      <c r="F33" s="59" t="s">
        <v>221</v>
      </c>
      <c r="G33" s="59" t="s">
        <v>224</v>
      </c>
      <c r="H33" s="98"/>
      <c r="I33" s="99"/>
      <c r="J33" s="83">
        <v>6.666666666666667</v>
      </c>
      <c r="K33" s="99">
        <f t="shared" si="4"/>
        <v>6.666666666666667</v>
      </c>
      <c r="L33" s="136">
        <f t="shared" si="5"/>
        <v>240</v>
      </c>
      <c r="M33" s="136">
        <f t="shared" si="6"/>
        <v>2880</v>
      </c>
      <c r="N33" s="100">
        <f t="shared" si="1"/>
        <v>3.4722222222222224E-2</v>
      </c>
      <c r="O33" s="100" t="e">
        <f t="shared" si="2"/>
        <v>#REF!</v>
      </c>
      <c r="P33" s="71"/>
      <c r="Q33" s="64" t="s">
        <v>234</v>
      </c>
      <c r="R33" s="63" t="s">
        <v>268</v>
      </c>
      <c r="S33" s="128">
        <v>100</v>
      </c>
      <c r="T33" s="126">
        <f t="shared" si="0"/>
        <v>0</v>
      </c>
      <c r="U33" s="63" t="s">
        <v>270</v>
      </c>
      <c r="V33" s="151" t="e">
        <f>[1]!Tabella1[[#This Row],[Booking Hours]]</f>
        <v>#REF!</v>
      </c>
      <c r="W33" s="60" t="e">
        <f>[1]!Tabella1[[#This Row],[Booking Period]]</f>
        <v>#REF!</v>
      </c>
      <c r="X33" s="70"/>
    </row>
    <row r="34" spans="1:24" ht="15" x14ac:dyDescent="0.25">
      <c r="A34" s="145" t="s">
        <v>152</v>
      </c>
      <c r="B34" s="59" t="s">
        <v>161</v>
      </c>
      <c r="C34" s="62" t="s">
        <v>215</v>
      </c>
      <c r="D34" s="67" t="s">
        <v>28</v>
      </c>
      <c r="E34" s="49" t="s">
        <v>28</v>
      </c>
      <c r="F34" s="59" t="s">
        <v>221</v>
      </c>
      <c r="G34" s="59" t="s">
        <v>224</v>
      </c>
      <c r="H34" s="98"/>
      <c r="I34" s="99"/>
      <c r="J34" s="83">
        <v>6.666666666666667</v>
      </c>
      <c r="K34" s="99">
        <f t="shared" si="4"/>
        <v>6.666666666666667</v>
      </c>
      <c r="L34" s="136">
        <f t="shared" si="5"/>
        <v>240</v>
      </c>
      <c r="M34" s="136">
        <f t="shared" si="6"/>
        <v>2880</v>
      </c>
      <c r="N34" s="100">
        <f t="shared" si="1"/>
        <v>2.6041666666666668E-2</v>
      </c>
      <c r="O34" s="100">
        <f t="shared" si="2"/>
        <v>0</v>
      </c>
      <c r="P34" s="71"/>
      <c r="Q34" s="64" t="s">
        <v>235</v>
      </c>
      <c r="R34" s="63" t="s">
        <v>268</v>
      </c>
      <c r="S34" s="128">
        <v>75</v>
      </c>
      <c r="T34" s="126">
        <f t="shared" si="0"/>
        <v>0</v>
      </c>
      <c r="U34" s="63" t="s">
        <v>271</v>
      </c>
      <c r="V34" s="151"/>
      <c r="W34" s="153" t="s">
        <v>260</v>
      </c>
      <c r="X34" s="70"/>
    </row>
    <row r="35" spans="1:24" ht="15" x14ac:dyDescent="0.25">
      <c r="A35" s="145" t="s">
        <v>152</v>
      </c>
      <c r="B35" s="59" t="s">
        <v>161</v>
      </c>
      <c r="C35" s="62" t="s">
        <v>215</v>
      </c>
      <c r="D35" s="67" t="s">
        <v>28</v>
      </c>
      <c r="E35" s="49" t="s">
        <v>28</v>
      </c>
      <c r="F35" s="59" t="s">
        <v>221</v>
      </c>
      <c r="G35" s="59" t="s">
        <v>224</v>
      </c>
      <c r="H35" s="98"/>
      <c r="I35" s="99"/>
      <c r="J35" s="83">
        <v>6.666666666666667</v>
      </c>
      <c r="K35" s="99">
        <f t="shared" si="4"/>
        <v>6.666666666666667</v>
      </c>
      <c r="L35" s="136">
        <f t="shared" si="5"/>
        <v>240</v>
      </c>
      <c r="M35" s="136">
        <f t="shared" si="6"/>
        <v>2880</v>
      </c>
      <c r="N35" s="100">
        <f t="shared" si="1"/>
        <v>3.4722222222222224E-2</v>
      </c>
      <c r="O35" s="100">
        <f t="shared" si="2"/>
        <v>2.0833333333333332E-2</v>
      </c>
      <c r="P35" s="71"/>
      <c r="Q35" s="64" t="s">
        <v>232</v>
      </c>
      <c r="R35" s="63" t="s">
        <v>268</v>
      </c>
      <c r="S35" s="128">
        <v>100</v>
      </c>
      <c r="T35" s="126">
        <f t="shared" si="0"/>
        <v>0</v>
      </c>
      <c r="U35" s="63" t="s">
        <v>269</v>
      </c>
      <c r="V35" s="151">
        <v>60</v>
      </c>
      <c r="W35" s="63" t="e">
        <f>[1]!Tabella1[[#This Row],[Booking Period]]</f>
        <v>#REF!</v>
      </c>
      <c r="X35" s="70"/>
    </row>
    <row r="36" spans="1:24" ht="15" x14ac:dyDescent="0.25">
      <c r="A36" s="145" t="s">
        <v>152</v>
      </c>
      <c r="B36" s="59" t="s">
        <v>161</v>
      </c>
      <c r="C36" s="62" t="s">
        <v>215</v>
      </c>
      <c r="D36" s="67" t="s">
        <v>28</v>
      </c>
      <c r="E36" s="49" t="s">
        <v>28</v>
      </c>
      <c r="F36" s="59" t="s">
        <v>221</v>
      </c>
      <c r="G36" s="59" t="s">
        <v>224</v>
      </c>
      <c r="H36" s="98"/>
      <c r="I36" s="99"/>
      <c r="J36" s="83">
        <v>6.666666666666667</v>
      </c>
      <c r="K36" s="99">
        <f t="shared" si="4"/>
        <v>6.666666666666667</v>
      </c>
      <c r="L36" s="136">
        <f t="shared" si="5"/>
        <v>240</v>
      </c>
      <c r="M36" s="136">
        <f t="shared" si="6"/>
        <v>2880</v>
      </c>
      <c r="N36" s="100">
        <f t="shared" si="1"/>
        <v>2.6041666666666668E-2</v>
      </c>
      <c r="O36" s="100">
        <f t="shared" si="2"/>
        <v>0</v>
      </c>
      <c r="P36" s="71"/>
      <c r="Q36" s="64" t="s">
        <v>233</v>
      </c>
      <c r="R36" s="63" t="s">
        <v>268</v>
      </c>
      <c r="S36" s="128">
        <v>75</v>
      </c>
      <c r="T36" s="126">
        <f t="shared" si="0"/>
        <v>0</v>
      </c>
      <c r="U36" s="63" t="s">
        <v>269</v>
      </c>
      <c r="V36" s="151"/>
      <c r="W36" s="71" t="s">
        <v>100</v>
      </c>
      <c r="X36" s="70"/>
    </row>
    <row r="37" spans="1:24" ht="15" x14ac:dyDescent="0.25">
      <c r="A37" s="145" t="s">
        <v>152</v>
      </c>
      <c r="B37" s="59" t="s">
        <v>161</v>
      </c>
      <c r="C37" s="62" t="s">
        <v>215</v>
      </c>
      <c r="D37" s="67" t="s">
        <v>28</v>
      </c>
      <c r="E37" s="49" t="s">
        <v>28</v>
      </c>
      <c r="F37" s="59" t="s">
        <v>221</v>
      </c>
      <c r="G37" s="59" t="s">
        <v>224</v>
      </c>
      <c r="H37" s="98"/>
      <c r="I37" s="99"/>
      <c r="J37" s="83">
        <v>6.666666666666667</v>
      </c>
      <c r="K37" s="99">
        <f t="shared" si="4"/>
        <v>6.666666666666667</v>
      </c>
      <c r="L37" s="136">
        <f t="shared" si="5"/>
        <v>240</v>
      </c>
      <c r="M37" s="136">
        <f t="shared" si="6"/>
        <v>2880</v>
      </c>
      <c r="N37" s="100">
        <f t="shared" si="1"/>
        <v>3.125E-2</v>
      </c>
      <c r="O37" s="100" t="e">
        <f t="shared" si="2"/>
        <v>#REF!</v>
      </c>
      <c r="P37" s="71"/>
      <c r="Q37" s="66" t="s">
        <v>238</v>
      </c>
      <c r="R37" s="63" t="s">
        <v>272</v>
      </c>
      <c r="S37" s="128">
        <v>90</v>
      </c>
      <c r="T37" s="126">
        <f t="shared" si="0"/>
        <v>0</v>
      </c>
      <c r="U37" s="63" t="s">
        <v>263</v>
      </c>
      <c r="V37" s="151" t="e">
        <f>[1]!Tabella1[[#This Row],[Booking Hours]]</f>
        <v>#REF!</v>
      </c>
      <c r="W37" s="60" t="e">
        <f>[1]!Tabella1[[#This Row],[Booking Period]]</f>
        <v>#REF!</v>
      </c>
      <c r="X37" s="70"/>
    </row>
    <row r="38" spans="1:24" ht="15" x14ac:dyDescent="0.25">
      <c r="A38" s="145" t="s">
        <v>152</v>
      </c>
      <c r="B38" s="59" t="s">
        <v>161</v>
      </c>
      <c r="C38" s="62" t="s">
        <v>215</v>
      </c>
      <c r="D38" s="67" t="s">
        <v>28</v>
      </c>
      <c r="E38" s="49" t="s">
        <v>28</v>
      </c>
      <c r="F38" s="59" t="s">
        <v>221</v>
      </c>
      <c r="G38" s="59" t="s">
        <v>224</v>
      </c>
      <c r="H38" s="98"/>
      <c r="I38" s="99"/>
      <c r="J38" s="83">
        <v>6.666666666666667</v>
      </c>
      <c r="K38" s="99">
        <f t="shared" si="4"/>
        <v>6.666666666666667</v>
      </c>
      <c r="L38" s="136">
        <f t="shared" si="5"/>
        <v>240</v>
      </c>
      <c r="M38" s="136">
        <f t="shared" si="6"/>
        <v>2880</v>
      </c>
      <c r="N38" s="100">
        <f t="shared" si="1"/>
        <v>3.125E-2</v>
      </c>
      <c r="O38" s="100" t="e">
        <f t="shared" si="2"/>
        <v>#REF!</v>
      </c>
      <c r="P38" s="71"/>
      <c r="Q38" s="64" t="s">
        <v>230</v>
      </c>
      <c r="R38" s="63" t="s">
        <v>272</v>
      </c>
      <c r="S38" s="128">
        <v>90</v>
      </c>
      <c r="T38" s="126">
        <f t="shared" si="0"/>
        <v>0</v>
      </c>
      <c r="U38" s="63" t="s">
        <v>263</v>
      </c>
      <c r="V38" s="151" t="e">
        <f>[1]!Tabella1[[#This Row],[Booking Hours]]</f>
        <v>#REF!</v>
      </c>
      <c r="W38" s="63" t="e">
        <f>[1]!Tabella1[[#This Row],[Booking Period]]</f>
        <v>#REF!</v>
      </c>
      <c r="X38" s="70"/>
    </row>
    <row r="39" spans="1:24" ht="15" x14ac:dyDescent="0.25">
      <c r="A39" s="145" t="s">
        <v>152</v>
      </c>
      <c r="B39" s="63" t="s">
        <v>162</v>
      </c>
      <c r="C39" s="62" t="s">
        <v>215</v>
      </c>
      <c r="D39" s="60" t="s">
        <v>20</v>
      </c>
      <c r="E39" s="50" t="s">
        <v>442</v>
      </c>
      <c r="F39" s="62" t="s">
        <v>221</v>
      </c>
      <c r="G39" s="59" t="s">
        <v>224</v>
      </c>
      <c r="H39" s="98"/>
      <c r="I39" s="99"/>
      <c r="J39" s="99">
        <v>4.583333333333333</v>
      </c>
      <c r="K39" s="99">
        <f t="shared" si="4"/>
        <v>4.583333333333333</v>
      </c>
      <c r="L39" s="136">
        <f t="shared" si="5"/>
        <v>240</v>
      </c>
      <c r="M39" s="136">
        <f t="shared" si="6"/>
        <v>2880</v>
      </c>
      <c r="N39" s="100">
        <f t="shared" si="1"/>
        <v>0</v>
      </c>
      <c r="O39" s="100">
        <f t="shared" si="2"/>
        <v>0</v>
      </c>
      <c r="P39" s="71" t="s">
        <v>240</v>
      </c>
      <c r="Q39" s="64"/>
      <c r="R39" s="60" t="s">
        <v>273</v>
      </c>
      <c r="S39" s="125"/>
      <c r="T39" s="126">
        <f t="shared" si="0"/>
        <v>0</v>
      </c>
      <c r="U39" s="60" t="s">
        <v>252</v>
      </c>
      <c r="V39" s="151"/>
      <c r="W39" s="60"/>
      <c r="X39" s="61"/>
    </row>
    <row r="40" spans="1:24" ht="15" x14ac:dyDescent="0.25">
      <c r="A40" s="145" t="s">
        <v>152</v>
      </c>
      <c r="B40" s="63" t="s">
        <v>163</v>
      </c>
      <c r="C40" s="62" t="s">
        <v>215</v>
      </c>
      <c r="D40" s="60" t="s">
        <v>20</v>
      </c>
      <c r="E40" s="50" t="s">
        <v>442</v>
      </c>
      <c r="F40" s="62" t="s">
        <v>221</v>
      </c>
      <c r="G40" s="59" t="s">
        <v>224</v>
      </c>
      <c r="H40" s="98"/>
      <c r="I40" s="99"/>
      <c r="J40" s="99">
        <v>5.416666666666667</v>
      </c>
      <c r="K40" s="99">
        <f t="shared" si="4"/>
        <v>5.416666666666667</v>
      </c>
      <c r="L40" s="136">
        <f t="shared" si="5"/>
        <v>240</v>
      </c>
      <c r="M40" s="136">
        <f t="shared" si="6"/>
        <v>2880</v>
      </c>
      <c r="N40" s="100">
        <f t="shared" si="1"/>
        <v>1</v>
      </c>
      <c r="O40" s="100" t="e">
        <f t="shared" si="2"/>
        <v>#REF!</v>
      </c>
      <c r="P40" s="71"/>
      <c r="Q40" s="64" t="s">
        <v>230</v>
      </c>
      <c r="R40" s="60" t="s">
        <v>251</v>
      </c>
      <c r="S40" s="126">
        <f>((60*4)*12)</f>
        <v>2880</v>
      </c>
      <c r="T40" s="126">
        <f t="shared" si="0"/>
        <v>0</v>
      </c>
      <c r="U40" s="60" t="s">
        <v>252</v>
      </c>
      <c r="V40" s="151" t="e">
        <f>[1]!Tabella1[[#This Row],[Booking Hours]]</f>
        <v>#REF!</v>
      </c>
      <c r="W40" s="60" t="e">
        <f>[1]!Tabella1[[#This Row],[Booking Period]]</f>
        <v>#REF!</v>
      </c>
      <c r="X40" s="65"/>
    </row>
    <row r="41" spans="1:24" ht="15" x14ac:dyDescent="0.25">
      <c r="A41" s="144" t="s">
        <v>153</v>
      </c>
      <c r="B41" s="59" t="s">
        <v>15</v>
      </c>
      <c r="C41" s="59" t="s">
        <v>217</v>
      </c>
      <c r="D41" s="63" t="s">
        <v>220</v>
      </c>
      <c r="E41" s="49" t="s">
        <v>220</v>
      </c>
      <c r="F41" s="59" t="s">
        <v>222</v>
      </c>
      <c r="G41" s="59" t="s">
        <v>226</v>
      </c>
      <c r="H41" s="82">
        <v>84.82</v>
      </c>
      <c r="I41" s="99">
        <v>91.81</v>
      </c>
      <c r="J41" s="83"/>
      <c r="K41" s="83">
        <f t="shared" ref="K41:K47" si="7">I41</f>
        <v>91.81</v>
      </c>
      <c r="L41" s="136">
        <f t="shared" ref="L41:L47" si="8">M41/12</f>
        <v>181.75</v>
      </c>
      <c r="M41" s="136">
        <v>2181</v>
      </c>
      <c r="N41" s="100">
        <f t="shared" si="1"/>
        <v>0.55020632737276476</v>
      </c>
      <c r="O41" s="100" t="e">
        <f t="shared" si="2"/>
        <v>#REF!</v>
      </c>
      <c r="P41" s="71"/>
      <c r="Q41" s="64" t="s">
        <v>230</v>
      </c>
      <c r="R41" s="63" t="s">
        <v>274</v>
      </c>
      <c r="S41" s="126">
        <v>1200</v>
      </c>
      <c r="T41" s="126">
        <f t="shared" si="0"/>
        <v>110172</v>
      </c>
      <c r="U41" s="67" t="s">
        <v>252</v>
      </c>
      <c r="V41" s="151" t="e">
        <f>[1]!Tabella1[[#This Row],[Booking Hours]]</f>
        <v>#REF!</v>
      </c>
      <c r="W41" s="63" t="e">
        <f>[1]!Tabella1[[#This Row],[Booking Period]]</f>
        <v>#REF!</v>
      </c>
      <c r="X41" s="65"/>
    </row>
    <row r="42" spans="1:24" ht="15" x14ac:dyDescent="0.25">
      <c r="A42" s="144" t="s">
        <v>153</v>
      </c>
      <c r="B42" s="59" t="s">
        <v>15</v>
      </c>
      <c r="C42" s="59" t="s">
        <v>217</v>
      </c>
      <c r="D42" s="63" t="s">
        <v>220</v>
      </c>
      <c r="E42" s="49" t="s">
        <v>220</v>
      </c>
      <c r="F42" s="59" t="s">
        <v>222</v>
      </c>
      <c r="G42" s="59" t="s">
        <v>226</v>
      </c>
      <c r="H42" s="82">
        <v>84.82</v>
      </c>
      <c r="I42" s="99">
        <v>91.81</v>
      </c>
      <c r="J42" s="83"/>
      <c r="K42" s="83">
        <f t="shared" si="7"/>
        <v>91.81</v>
      </c>
      <c r="L42" s="136">
        <f t="shared" si="8"/>
        <v>181.75</v>
      </c>
      <c r="M42" s="136">
        <v>2181</v>
      </c>
      <c r="N42" s="100">
        <f t="shared" si="1"/>
        <v>9.170105456212746E-2</v>
      </c>
      <c r="O42" s="100">
        <f t="shared" si="2"/>
        <v>9.170105456212746E-2</v>
      </c>
      <c r="P42" s="71"/>
      <c r="Q42" s="64" t="s">
        <v>234</v>
      </c>
      <c r="R42" s="63" t="s">
        <v>18</v>
      </c>
      <c r="S42" s="126">
        <v>200</v>
      </c>
      <c r="T42" s="126">
        <f t="shared" si="0"/>
        <v>18362</v>
      </c>
      <c r="U42" s="67" t="s">
        <v>275</v>
      </c>
      <c r="V42" s="151">
        <v>200</v>
      </c>
      <c r="W42" s="63" t="e">
        <f>[1]!Tabella1[[#This Row],[Booking Period]]</f>
        <v>#REF!</v>
      </c>
      <c r="X42" s="65"/>
    </row>
    <row r="43" spans="1:24" ht="15" x14ac:dyDescent="0.25">
      <c r="A43" s="144" t="s">
        <v>153</v>
      </c>
      <c r="B43" s="59" t="s">
        <v>15</v>
      </c>
      <c r="C43" s="59" t="s">
        <v>217</v>
      </c>
      <c r="D43" s="63" t="s">
        <v>220</v>
      </c>
      <c r="E43" s="49" t="s">
        <v>220</v>
      </c>
      <c r="F43" s="59" t="s">
        <v>222</v>
      </c>
      <c r="G43" s="59" t="s">
        <v>226</v>
      </c>
      <c r="H43" s="82">
        <v>84.82</v>
      </c>
      <c r="I43" s="99">
        <v>91.81</v>
      </c>
      <c r="J43" s="83"/>
      <c r="K43" s="83">
        <f t="shared" si="7"/>
        <v>91.81</v>
      </c>
      <c r="L43" s="136">
        <f t="shared" si="8"/>
        <v>181.75</v>
      </c>
      <c r="M43" s="136">
        <v>2181</v>
      </c>
      <c r="N43" s="100">
        <f t="shared" si="1"/>
        <v>9.170105456212746E-2</v>
      </c>
      <c r="O43" s="100">
        <f t="shared" si="2"/>
        <v>0</v>
      </c>
      <c r="P43" s="71"/>
      <c r="Q43" s="64" t="s">
        <v>232</v>
      </c>
      <c r="R43" s="63" t="s">
        <v>12</v>
      </c>
      <c r="S43" s="126">
        <v>200</v>
      </c>
      <c r="T43" s="126">
        <f t="shared" si="0"/>
        <v>18362</v>
      </c>
      <c r="U43" s="67" t="s">
        <v>256</v>
      </c>
      <c r="V43" s="151"/>
      <c r="W43" s="63" t="s">
        <v>257</v>
      </c>
      <c r="X43" s="65"/>
    </row>
    <row r="44" spans="1:24" ht="15" x14ac:dyDescent="0.25">
      <c r="A44" s="144" t="s">
        <v>153</v>
      </c>
      <c r="B44" s="59" t="s">
        <v>15</v>
      </c>
      <c r="C44" s="59" t="s">
        <v>217</v>
      </c>
      <c r="D44" s="63" t="s">
        <v>220</v>
      </c>
      <c r="E44" s="49" t="s">
        <v>220</v>
      </c>
      <c r="F44" s="59" t="s">
        <v>222</v>
      </c>
      <c r="G44" s="59" t="s">
        <v>226</v>
      </c>
      <c r="H44" s="82">
        <v>84.82</v>
      </c>
      <c r="I44" s="99">
        <v>91.81</v>
      </c>
      <c r="J44" s="83"/>
      <c r="K44" s="83">
        <f t="shared" si="7"/>
        <v>91.81</v>
      </c>
      <c r="L44" s="136">
        <f t="shared" si="8"/>
        <v>181.75</v>
      </c>
      <c r="M44" s="136">
        <v>2181</v>
      </c>
      <c r="N44" s="100">
        <f t="shared" si="1"/>
        <v>9.170105456212746E-2</v>
      </c>
      <c r="O44" s="100">
        <f t="shared" si="2"/>
        <v>0</v>
      </c>
      <c r="P44" s="71"/>
      <c r="Q44" s="64" t="s">
        <v>233</v>
      </c>
      <c r="R44" s="63" t="s">
        <v>12</v>
      </c>
      <c r="S44" s="126">
        <v>200</v>
      </c>
      <c r="T44" s="126">
        <f t="shared" si="0"/>
        <v>18362</v>
      </c>
      <c r="U44" s="67" t="s">
        <v>256</v>
      </c>
      <c r="V44" s="151">
        <v>0</v>
      </c>
      <c r="W44" s="60" t="s">
        <v>264</v>
      </c>
      <c r="X44" s="65"/>
    </row>
    <row r="45" spans="1:24" ht="15" x14ac:dyDescent="0.25">
      <c r="A45" s="144" t="s">
        <v>153</v>
      </c>
      <c r="B45" s="59" t="s">
        <v>15</v>
      </c>
      <c r="C45" s="59" t="s">
        <v>217</v>
      </c>
      <c r="D45" s="63" t="s">
        <v>220</v>
      </c>
      <c r="E45" s="49" t="s">
        <v>220</v>
      </c>
      <c r="F45" s="59" t="s">
        <v>222</v>
      </c>
      <c r="G45" s="59" t="s">
        <v>226</v>
      </c>
      <c r="H45" s="82">
        <v>84.82</v>
      </c>
      <c r="I45" s="99">
        <v>91.81</v>
      </c>
      <c r="J45" s="83"/>
      <c r="K45" s="83">
        <f t="shared" si="7"/>
        <v>91.81</v>
      </c>
      <c r="L45" s="136">
        <f t="shared" si="8"/>
        <v>181.75</v>
      </c>
      <c r="M45" s="136">
        <v>2181</v>
      </c>
      <c r="N45" s="100">
        <f t="shared" si="1"/>
        <v>9.170105456212746E-2</v>
      </c>
      <c r="O45" s="100">
        <f t="shared" si="2"/>
        <v>0</v>
      </c>
      <c r="P45" s="71"/>
      <c r="Q45" s="64" t="s">
        <v>235</v>
      </c>
      <c r="R45" s="63" t="s">
        <v>12</v>
      </c>
      <c r="S45" s="126">
        <v>200</v>
      </c>
      <c r="T45" s="126">
        <f t="shared" si="0"/>
        <v>18362</v>
      </c>
      <c r="U45" s="67" t="s">
        <v>276</v>
      </c>
      <c r="V45" s="151"/>
      <c r="W45" s="153" t="s">
        <v>260</v>
      </c>
      <c r="X45" s="65"/>
    </row>
    <row r="46" spans="1:24" ht="60" x14ac:dyDescent="0.25">
      <c r="A46" s="144" t="s">
        <v>153</v>
      </c>
      <c r="B46" s="59" t="s">
        <v>15</v>
      </c>
      <c r="C46" s="59" t="s">
        <v>217</v>
      </c>
      <c r="D46" s="63" t="s">
        <v>220</v>
      </c>
      <c r="E46" s="49" t="s">
        <v>220</v>
      </c>
      <c r="F46" s="59" t="s">
        <v>222</v>
      </c>
      <c r="G46" s="59" t="s">
        <v>226</v>
      </c>
      <c r="H46" s="82">
        <v>84.82</v>
      </c>
      <c r="I46" s="99">
        <v>91.81</v>
      </c>
      <c r="J46" s="83"/>
      <c r="K46" s="83">
        <f t="shared" si="7"/>
        <v>91.81</v>
      </c>
      <c r="L46" s="136">
        <f t="shared" si="8"/>
        <v>181.75</v>
      </c>
      <c r="M46" s="136">
        <v>2181</v>
      </c>
      <c r="N46" s="100">
        <f t="shared" si="1"/>
        <v>9.170105456212746E-2</v>
      </c>
      <c r="O46" s="100">
        <f t="shared" si="2"/>
        <v>9.170105456212746E-2</v>
      </c>
      <c r="P46" s="71"/>
      <c r="Q46" s="64" t="s">
        <v>241</v>
      </c>
      <c r="R46" s="63" t="s">
        <v>18</v>
      </c>
      <c r="S46" s="126">
        <v>200</v>
      </c>
      <c r="T46" s="126">
        <f t="shared" si="0"/>
        <v>18362</v>
      </c>
      <c r="U46" s="67" t="s">
        <v>276</v>
      </c>
      <c r="V46" s="151">
        <v>200</v>
      </c>
      <c r="W46" s="63" t="s">
        <v>277</v>
      </c>
      <c r="X46" s="65"/>
    </row>
    <row r="47" spans="1:24" ht="15" x14ac:dyDescent="0.25">
      <c r="A47" s="144" t="s">
        <v>153</v>
      </c>
      <c r="B47" s="59" t="s">
        <v>15</v>
      </c>
      <c r="C47" s="59" t="s">
        <v>217</v>
      </c>
      <c r="D47" s="63" t="s">
        <v>220</v>
      </c>
      <c r="E47" s="49" t="s">
        <v>220</v>
      </c>
      <c r="F47" s="59" t="s">
        <v>222</v>
      </c>
      <c r="G47" s="59" t="s">
        <v>226</v>
      </c>
      <c r="H47" s="82">
        <v>84.82</v>
      </c>
      <c r="I47" s="99">
        <v>91.81</v>
      </c>
      <c r="J47" s="83"/>
      <c r="K47" s="83">
        <f t="shared" si="7"/>
        <v>91.81</v>
      </c>
      <c r="L47" s="136">
        <f t="shared" si="8"/>
        <v>181.75</v>
      </c>
      <c r="M47" s="136">
        <v>2181</v>
      </c>
      <c r="N47" s="100">
        <f t="shared" si="1"/>
        <v>0.11462631820265932</v>
      </c>
      <c r="O47" s="100">
        <f t="shared" si="2"/>
        <v>0</v>
      </c>
      <c r="P47" s="71"/>
      <c r="Q47" s="64" t="s">
        <v>242</v>
      </c>
      <c r="R47" s="63" t="s">
        <v>18</v>
      </c>
      <c r="S47" s="126">
        <v>250</v>
      </c>
      <c r="T47" s="126">
        <f t="shared" si="0"/>
        <v>22952.5</v>
      </c>
      <c r="U47" s="67" t="s">
        <v>276</v>
      </c>
      <c r="V47" s="151"/>
      <c r="W47" s="63" t="s">
        <v>25</v>
      </c>
      <c r="X47" s="65"/>
    </row>
    <row r="48" spans="1:24" ht="15" x14ac:dyDescent="0.25">
      <c r="A48" s="145" t="s">
        <v>152</v>
      </c>
      <c r="B48" s="59" t="s">
        <v>164</v>
      </c>
      <c r="C48" s="62" t="s">
        <v>215</v>
      </c>
      <c r="D48" s="60" t="s">
        <v>28</v>
      </c>
      <c r="E48" s="49" t="s">
        <v>28</v>
      </c>
      <c r="F48" s="59" t="s">
        <v>221</v>
      </c>
      <c r="G48" s="59" t="s">
        <v>224</v>
      </c>
      <c r="H48" s="98"/>
      <c r="I48" s="99"/>
      <c r="J48" s="99">
        <v>5.416666666666667</v>
      </c>
      <c r="K48" s="99">
        <f t="shared" ref="K48:K61" si="9">J48</f>
        <v>5.416666666666667</v>
      </c>
      <c r="L48" s="136">
        <f t="shared" ref="L48:L61" si="10">(60*4)</f>
        <v>240</v>
      </c>
      <c r="M48" s="136">
        <f t="shared" ref="M48:M61" si="11">L48*12</f>
        <v>2880</v>
      </c>
      <c r="N48" s="100">
        <f t="shared" si="1"/>
        <v>0.15625</v>
      </c>
      <c r="O48" s="100" t="e">
        <f t="shared" si="2"/>
        <v>#REF!</v>
      </c>
      <c r="P48" s="71"/>
      <c r="Q48" s="66" t="s">
        <v>238</v>
      </c>
      <c r="R48" s="60" t="s">
        <v>278</v>
      </c>
      <c r="S48" s="128">
        <v>450</v>
      </c>
      <c r="T48" s="126">
        <f t="shared" si="0"/>
        <v>0</v>
      </c>
      <c r="U48" s="60" t="s">
        <v>263</v>
      </c>
      <c r="V48" s="151" t="e">
        <f>[1]!Tabella1[[#This Row],[Booking Hours]]/2</f>
        <v>#REF!</v>
      </c>
      <c r="W48" s="60"/>
      <c r="X48" s="70"/>
    </row>
    <row r="49" spans="1:24" ht="15" x14ac:dyDescent="0.25">
      <c r="A49" s="145" t="s">
        <v>152</v>
      </c>
      <c r="B49" s="59" t="s">
        <v>164</v>
      </c>
      <c r="C49" s="62" t="s">
        <v>215</v>
      </c>
      <c r="D49" s="60" t="s">
        <v>28</v>
      </c>
      <c r="E49" s="49" t="s">
        <v>28</v>
      </c>
      <c r="F49" s="59" t="s">
        <v>221</v>
      </c>
      <c r="G49" s="59" t="s">
        <v>224</v>
      </c>
      <c r="H49" s="98"/>
      <c r="I49" s="99"/>
      <c r="J49" s="99">
        <v>5.416666666666667</v>
      </c>
      <c r="K49" s="99">
        <f t="shared" si="9"/>
        <v>5.416666666666667</v>
      </c>
      <c r="L49" s="136">
        <f t="shared" si="10"/>
        <v>240</v>
      </c>
      <c r="M49" s="136">
        <f t="shared" si="11"/>
        <v>2880</v>
      </c>
      <c r="N49" s="100">
        <f t="shared" si="1"/>
        <v>0.15625</v>
      </c>
      <c r="O49" s="100" t="e">
        <f t="shared" si="2"/>
        <v>#REF!</v>
      </c>
      <c r="P49" s="71"/>
      <c r="Q49" s="64" t="s">
        <v>230</v>
      </c>
      <c r="R49" s="60" t="s">
        <v>279</v>
      </c>
      <c r="S49" s="128">
        <v>450</v>
      </c>
      <c r="T49" s="126">
        <f t="shared" si="0"/>
        <v>0</v>
      </c>
      <c r="U49" s="60" t="s">
        <v>263</v>
      </c>
      <c r="V49" s="151" t="e">
        <f>[1]!Tabella1[[#This Row],[Booking Hours]]</f>
        <v>#REF!</v>
      </c>
      <c r="W49" s="63" t="e">
        <f>[1]!Tabella1[[#This Row],[Booking Period]]</f>
        <v>#REF!</v>
      </c>
      <c r="X49" s="70"/>
    </row>
    <row r="50" spans="1:24" ht="15" x14ac:dyDescent="0.25">
      <c r="A50" s="145" t="s">
        <v>152</v>
      </c>
      <c r="B50" s="59" t="s">
        <v>164</v>
      </c>
      <c r="C50" s="62" t="s">
        <v>215</v>
      </c>
      <c r="D50" s="60" t="s">
        <v>28</v>
      </c>
      <c r="E50" s="49" t="s">
        <v>28</v>
      </c>
      <c r="F50" s="59" t="s">
        <v>221</v>
      </c>
      <c r="G50" s="59" t="s">
        <v>224</v>
      </c>
      <c r="H50" s="98"/>
      <c r="I50" s="99"/>
      <c r="J50" s="99">
        <v>5.416666666666667</v>
      </c>
      <c r="K50" s="99">
        <f t="shared" si="9"/>
        <v>5.416666666666667</v>
      </c>
      <c r="L50" s="136">
        <f t="shared" si="10"/>
        <v>240</v>
      </c>
      <c r="M50" s="136">
        <f t="shared" si="11"/>
        <v>2880</v>
      </c>
      <c r="N50" s="100">
        <f t="shared" si="1"/>
        <v>9.375E-2</v>
      </c>
      <c r="O50" s="100">
        <f t="shared" si="2"/>
        <v>0</v>
      </c>
      <c r="P50" s="71"/>
      <c r="Q50" s="64" t="s">
        <v>234</v>
      </c>
      <c r="R50" s="60" t="s">
        <v>278</v>
      </c>
      <c r="S50" s="128">
        <v>270</v>
      </c>
      <c r="T50" s="126">
        <f t="shared" si="0"/>
        <v>0</v>
      </c>
      <c r="U50" s="60" t="s">
        <v>265</v>
      </c>
      <c r="V50" s="151">
        <v>0</v>
      </c>
      <c r="W50" s="60" t="s">
        <v>264</v>
      </c>
      <c r="X50" s="70"/>
    </row>
    <row r="51" spans="1:24" ht="15" x14ac:dyDescent="0.25">
      <c r="A51" s="145" t="s">
        <v>152</v>
      </c>
      <c r="B51" s="59" t="s">
        <v>164</v>
      </c>
      <c r="C51" s="62" t="s">
        <v>215</v>
      </c>
      <c r="D51" s="60" t="s">
        <v>28</v>
      </c>
      <c r="E51" s="49" t="s">
        <v>28</v>
      </c>
      <c r="F51" s="59" t="s">
        <v>221</v>
      </c>
      <c r="G51" s="59" t="s">
        <v>224</v>
      </c>
      <c r="H51" s="98"/>
      <c r="I51" s="99"/>
      <c r="J51" s="99">
        <v>5.416666666666667</v>
      </c>
      <c r="K51" s="99">
        <f t="shared" si="9"/>
        <v>5.416666666666667</v>
      </c>
      <c r="L51" s="136">
        <f t="shared" si="10"/>
        <v>240</v>
      </c>
      <c r="M51" s="136">
        <f t="shared" si="11"/>
        <v>2880</v>
      </c>
      <c r="N51" s="100">
        <f t="shared" si="1"/>
        <v>3.125E-2</v>
      </c>
      <c r="O51" s="100">
        <f t="shared" si="2"/>
        <v>0</v>
      </c>
      <c r="P51" s="71"/>
      <c r="Q51" s="64" t="s">
        <v>235</v>
      </c>
      <c r="R51" s="60" t="s">
        <v>278</v>
      </c>
      <c r="S51" s="128">
        <v>90</v>
      </c>
      <c r="T51" s="126">
        <f t="shared" si="0"/>
        <v>0</v>
      </c>
      <c r="U51" s="60" t="s">
        <v>266</v>
      </c>
      <c r="V51" s="151"/>
      <c r="W51" s="153" t="s">
        <v>260</v>
      </c>
      <c r="X51" s="70"/>
    </row>
    <row r="52" spans="1:24" ht="15" x14ac:dyDescent="0.25">
      <c r="A52" s="145" t="s">
        <v>152</v>
      </c>
      <c r="B52" s="59" t="s">
        <v>164</v>
      </c>
      <c r="C52" s="62" t="s">
        <v>215</v>
      </c>
      <c r="D52" s="60" t="s">
        <v>28</v>
      </c>
      <c r="E52" s="49" t="s">
        <v>28</v>
      </c>
      <c r="F52" s="59" t="s">
        <v>221</v>
      </c>
      <c r="G52" s="59" t="s">
        <v>224</v>
      </c>
      <c r="H52" s="98"/>
      <c r="I52" s="99"/>
      <c r="J52" s="99">
        <v>5.416666666666667</v>
      </c>
      <c r="K52" s="99">
        <f t="shared" si="9"/>
        <v>5.416666666666667</v>
      </c>
      <c r="L52" s="136">
        <f t="shared" si="10"/>
        <v>240</v>
      </c>
      <c r="M52" s="136">
        <f t="shared" si="11"/>
        <v>2880</v>
      </c>
      <c r="N52" s="100">
        <f t="shared" si="1"/>
        <v>0.125</v>
      </c>
      <c r="O52" s="100">
        <f t="shared" si="2"/>
        <v>0.10416666666666667</v>
      </c>
      <c r="P52" s="71"/>
      <c r="Q52" s="64" t="s">
        <v>232</v>
      </c>
      <c r="R52" s="60" t="s">
        <v>278</v>
      </c>
      <c r="S52" s="128">
        <v>360</v>
      </c>
      <c r="T52" s="126">
        <f t="shared" si="0"/>
        <v>0</v>
      </c>
      <c r="U52" s="60" t="s">
        <v>263</v>
      </c>
      <c r="V52" s="151">
        <v>300</v>
      </c>
      <c r="W52" s="63" t="e">
        <f>[1]!Tabella1[[#This Row],[Booking Period]]</f>
        <v>#REF!</v>
      </c>
      <c r="X52" s="70"/>
    </row>
    <row r="53" spans="1:24" ht="15" x14ac:dyDescent="0.25">
      <c r="A53" s="145" t="s">
        <v>152</v>
      </c>
      <c r="B53" s="59" t="s">
        <v>164</v>
      </c>
      <c r="C53" s="62" t="s">
        <v>215</v>
      </c>
      <c r="D53" s="60" t="s">
        <v>28</v>
      </c>
      <c r="E53" s="49" t="s">
        <v>28</v>
      </c>
      <c r="F53" s="59" t="s">
        <v>221</v>
      </c>
      <c r="G53" s="59" t="s">
        <v>224</v>
      </c>
      <c r="H53" s="98"/>
      <c r="I53" s="99"/>
      <c r="J53" s="99">
        <v>5.416666666666667</v>
      </c>
      <c r="K53" s="99">
        <f t="shared" si="9"/>
        <v>5.416666666666667</v>
      </c>
      <c r="L53" s="136">
        <f t="shared" si="10"/>
        <v>240</v>
      </c>
      <c r="M53" s="136">
        <f t="shared" si="11"/>
        <v>2880</v>
      </c>
      <c r="N53" s="100">
        <f t="shared" si="1"/>
        <v>0.125</v>
      </c>
      <c r="O53" s="100">
        <f t="shared" si="2"/>
        <v>0</v>
      </c>
      <c r="P53" s="71"/>
      <c r="Q53" s="64" t="s">
        <v>233</v>
      </c>
      <c r="R53" s="60" t="s">
        <v>278</v>
      </c>
      <c r="S53" s="128">
        <v>360</v>
      </c>
      <c r="T53" s="126">
        <f t="shared" si="0"/>
        <v>0</v>
      </c>
      <c r="U53" s="60" t="s">
        <v>263</v>
      </c>
      <c r="V53" s="151">
        <v>0</v>
      </c>
      <c r="W53" s="60" t="s">
        <v>264</v>
      </c>
      <c r="X53" s="70"/>
    </row>
    <row r="54" spans="1:24" ht="15" x14ac:dyDescent="0.25">
      <c r="A54" s="145" t="s">
        <v>152</v>
      </c>
      <c r="B54" s="59" t="s">
        <v>164</v>
      </c>
      <c r="C54" s="62" t="s">
        <v>215</v>
      </c>
      <c r="D54" s="60" t="s">
        <v>28</v>
      </c>
      <c r="E54" s="49" t="s">
        <v>28</v>
      </c>
      <c r="F54" s="59" t="s">
        <v>221</v>
      </c>
      <c r="G54" s="59" t="s">
        <v>224</v>
      </c>
      <c r="H54" s="98"/>
      <c r="I54" s="99"/>
      <c r="J54" s="99">
        <v>5.416666666666667</v>
      </c>
      <c r="K54" s="99">
        <f t="shared" si="9"/>
        <v>5.416666666666667</v>
      </c>
      <c r="L54" s="136">
        <f t="shared" si="10"/>
        <v>240</v>
      </c>
      <c r="M54" s="136">
        <f t="shared" si="11"/>
        <v>2880</v>
      </c>
      <c r="N54" s="100">
        <f t="shared" si="1"/>
        <v>1.2152777777777778E-2</v>
      </c>
      <c r="O54" s="100" t="e">
        <f t="shared" si="2"/>
        <v>#REF!</v>
      </c>
      <c r="P54" s="71"/>
      <c r="Q54" s="64" t="s">
        <v>230</v>
      </c>
      <c r="R54" s="60" t="s">
        <v>280</v>
      </c>
      <c r="S54" s="128">
        <v>35</v>
      </c>
      <c r="T54" s="126">
        <f t="shared" si="0"/>
        <v>0</v>
      </c>
      <c r="U54" s="60" t="s">
        <v>263</v>
      </c>
      <c r="V54" s="151" t="e">
        <f>[1]!Tabella1[[#This Row],[Booking Hours]]</f>
        <v>#REF!</v>
      </c>
      <c r="W54" s="63" t="e">
        <f>[1]!Tabella1[[#This Row],[Booking Period]]</f>
        <v>#REF!</v>
      </c>
      <c r="X54" s="70"/>
    </row>
    <row r="55" spans="1:24" ht="15" x14ac:dyDescent="0.25">
      <c r="A55" s="145" t="s">
        <v>152</v>
      </c>
      <c r="B55" s="59" t="s">
        <v>164</v>
      </c>
      <c r="C55" s="62" t="s">
        <v>215</v>
      </c>
      <c r="D55" s="60" t="s">
        <v>28</v>
      </c>
      <c r="E55" s="49" t="s">
        <v>28</v>
      </c>
      <c r="F55" s="59" t="s">
        <v>221</v>
      </c>
      <c r="G55" s="59" t="s">
        <v>224</v>
      </c>
      <c r="H55" s="98"/>
      <c r="I55" s="99"/>
      <c r="J55" s="99">
        <v>5.416666666666667</v>
      </c>
      <c r="K55" s="99">
        <f t="shared" si="9"/>
        <v>5.416666666666667</v>
      </c>
      <c r="L55" s="136">
        <f t="shared" si="10"/>
        <v>240</v>
      </c>
      <c r="M55" s="136">
        <f t="shared" si="11"/>
        <v>2880</v>
      </c>
      <c r="N55" s="100">
        <f t="shared" si="1"/>
        <v>1.2152777777777778E-2</v>
      </c>
      <c r="O55" s="100">
        <f t="shared" si="2"/>
        <v>0</v>
      </c>
      <c r="P55" s="71"/>
      <c r="Q55" s="64" t="s">
        <v>234</v>
      </c>
      <c r="R55" s="60" t="s">
        <v>281</v>
      </c>
      <c r="S55" s="128">
        <v>35</v>
      </c>
      <c r="T55" s="126">
        <f t="shared" si="0"/>
        <v>0</v>
      </c>
      <c r="U55" s="60" t="s">
        <v>265</v>
      </c>
      <c r="V55" s="151">
        <v>0</v>
      </c>
      <c r="W55" s="60" t="s">
        <v>264</v>
      </c>
      <c r="X55" s="70"/>
    </row>
    <row r="56" spans="1:24" ht="15" x14ac:dyDescent="0.25">
      <c r="A56" s="145" t="s">
        <v>152</v>
      </c>
      <c r="B56" s="59" t="s">
        <v>164</v>
      </c>
      <c r="C56" s="62" t="s">
        <v>215</v>
      </c>
      <c r="D56" s="60" t="s">
        <v>28</v>
      </c>
      <c r="E56" s="49" t="s">
        <v>28</v>
      </c>
      <c r="F56" s="59" t="s">
        <v>221</v>
      </c>
      <c r="G56" s="59" t="s">
        <v>224</v>
      </c>
      <c r="H56" s="98"/>
      <c r="I56" s="99"/>
      <c r="J56" s="99">
        <v>5.416666666666667</v>
      </c>
      <c r="K56" s="99">
        <f t="shared" si="9"/>
        <v>5.416666666666667</v>
      </c>
      <c r="L56" s="136">
        <f t="shared" si="10"/>
        <v>240</v>
      </c>
      <c r="M56" s="136">
        <f t="shared" si="11"/>
        <v>2880</v>
      </c>
      <c r="N56" s="100">
        <f t="shared" si="1"/>
        <v>1.2152777777777778E-2</v>
      </c>
      <c r="O56" s="100">
        <f t="shared" si="2"/>
        <v>0</v>
      </c>
      <c r="P56" s="71"/>
      <c r="Q56" s="64" t="s">
        <v>235</v>
      </c>
      <c r="R56" s="60" t="s">
        <v>281</v>
      </c>
      <c r="S56" s="128">
        <v>35</v>
      </c>
      <c r="T56" s="126">
        <f t="shared" si="0"/>
        <v>0</v>
      </c>
      <c r="U56" s="60" t="s">
        <v>266</v>
      </c>
      <c r="V56" s="151"/>
      <c r="W56" s="153" t="s">
        <v>260</v>
      </c>
      <c r="X56" s="70"/>
    </row>
    <row r="57" spans="1:24" ht="15" x14ac:dyDescent="0.25">
      <c r="A57" s="145" t="s">
        <v>152</v>
      </c>
      <c r="B57" s="59" t="s">
        <v>164</v>
      </c>
      <c r="C57" s="62" t="s">
        <v>215</v>
      </c>
      <c r="D57" s="60" t="s">
        <v>28</v>
      </c>
      <c r="E57" s="49" t="s">
        <v>28</v>
      </c>
      <c r="F57" s="59" t="s">
        <v>221</v>
      </c>
      <c r="G57" s="59" t="s">
        <v>224</v>
      </c>
      <c r="H57" s="98"/>
      <c r="I57" s="99"/>
      <c r="J57" s="99">
        <v>5.416666666666667</v>
      </c>
      <c r="K57" s="99">
        <f t="shared" si="9"/>
        <v>5.416666666666667</v>
      </c>
      <c r="L57" s="136">
        <f t="shared" si="10"/>
        <v>240</v>
      </c>
      <c r="M57" s="136">
        <f t="shared" si="11"/>
        <v>2880</v>
      </c>
      <c r="N57" s="100">
        <f t="shared" si="1"/>
        <v>1.2152777777777778E-2</v>
      </c>
      <c r="O57" s="100" t="e">
        <f t="shared" si="2"/>
        <v>#REF!</v>
      </c>
      <c r="P57" s="71"/>
      <c r="Q57" s="64" t="s">
        <v>232</v>
      </c>
      <c r="R57" s="60" t="s">
        <v>281</v>
      </c>
      <c r="S57" s="128">
        <v>35</v>
      </c>
      <c r="T57" s="126">
        <f t="shared" si="0"/>
        <v>0</v>
      </c>
      <c r="U57" s="60" t="s">
        <v>263</v>
      </c>
      <c r="V57" s="151" t="e">
        <f>[1]!Tabella1[[#This Row],[Booking Hours]]</f>
        <v>#REF!</v>
      </c>
      <c r="W57" s="63" t="e">
        <f>[1]!Tabella1[[#This Row],[Booking Period]]</f>
        <v>#REF!</v>
      </c>
      <c r="X57" s="70"/>
    </row>
    <row r="58" spans="1:24" ht="15" x14ac:dyDescent="0.25">
      <c r="A58" s="145" t="s">
        <v>152</v>
      </c>
      <c r="B58" s="59" t="s">
        <v>164</v>
      </c>
      <c r="C58" s="62" t="s">
        <v>215</v>
      </c>
      <c r="D58" s="60" t="s">
        <v>28</v>
      </c>
      <c r="E58" s="49" t="s">
        <v>28</v>
      </c>
      <c r="F58" s="59" t="s">
        <v>221</v>
      </c>
      <c r="G58" s="59" t="s">
        <v>224</v>
      </c>
      <c r="H58" s="98"/>
      <c r="I58" s="99"/>
      <c r="J58" s="99">
        <v>5.416666666666667</v>
      </c>
      <c r="K58" s="99">
        <f t="shared" si="9"/>
        <v>5.416666666666667</v>
      </c>
      <c r="L58" s="136">
        <f t="shared" si="10"/>
        <v>240</v>
      </c>
      <c r="M58" s="136">
        <f t="shared" si="11"/>
        <v>2880</v>
      </c>
      <c r="N58" s="100">
        <f t="shared" si="1"/>
        <v>1.2152777777777778E-2</v>
      </c>
      <c r="O58" s="100">
        <f t="shared" si="2"/>
        <v>0</v>
      </c>
      <c r="P58" s="71"/>
      <c r="Q58" s="64" t="s">
        <v>233</v>
      </c>
      <c r="R58" s="60" t="s">
        <v>281</v>
      </c>
      <c r="S58" s="128">
        <v>35</v>
      </c>
      <c r="T58" s="126">
        <f t="shared" si="0"/>
        <v>0</v>
      </c>
      <c r="U58" s="60" t="s">
        <v>263</v>
      </c>
      <c r="V58" s="151">
        <v>0</v>
      </c>
      <c r="W58" s="60" t="s">
        <v>264</v>
      </c>
      <c r="X58" s="70"/>
    </row>
    <row r="59" spans="1:24" ht="15" x14ac:dyDescent="0.25">
      <c r="A59" s="145" t="s">
        <v>152</v>
      </c>
      <c r="B59" s="59" t="s">
        <v>164</v>
      </c>
      <c r="C59" s="62" t="s">
        <v>215</v>
      </c>
      <c r="D59" s="60" t="s">
        <v>28</v>
      </c>
      <c r="E59" s="49" t="s">
        <v>28</v>
      </c>
      <c r="F59" s="59" t="s">
        <v>221</v>
      </c>
      <c r="G59" s="59" t="s">
        <v>224</v>
      </c>
      <c r="H59" s="98"/>
      <c r="I59" s="99"/>
      <c r="J59" s="99">
        <v>5.416666666666667</v>
      </c>
      <c r="K59" s="99">
        <f t="shared" si="9"/>
        <v>5.416666666666667</v>
      </c>
      <c r="L59" s="136">
        <f t="shared" si="10"/>
        <v>240</v>
      </c>
      <c r="M59" s="136">
        <f t="shared" si="11"/>
        <v>2880</v>
      </c>
      <c r="N59" s="100">
        <f t="shared" si="1"/>
        <v>3.125E-2</v>
      </c>
      <c r="O59" s="100">
        <f t="shared" si="2"/>
        <v>0</v>
      </c>
      <c r="P59" s="71"/>
      <c r="Q59" s="64" t="s">
        <v>237</v>
      </c>
      <c r="R59" s="60" t="s">
        <v>282</v>
      </c>
      <c r="S59" s="125">
        <v>90</v>
      </c>
      <c r="T59" s="126">
        <f t="shared" si="0"/>
        <v>0</v>
      </c>
      <c r="U59" s="60" t="s">
        <v>263</v>
      </c>
      <c r="V59" s="151">
        <v>0</v>
      </c>
      <c r="W59" s="60" t="s">
        <v>264</v>
      </c>
      <c r="X59" s="61"/>
    </row>
    <row r="60" spans="1:24" ht="15" x14ac:dyDescent="0.25">
      <c r="A60" s="145" t="s">
        <v>152</v>
      </c>
      <c r="B60" s="59" t="s">
        <v>164</v>
      </c>
      <c r="C60" s="62" t="s">
        <v>215</v>
      </c>
      <c r="D60" s="60" t="s">
        <v>28</v>
      </c>
      <c r="E60" s="49" t="s">
        <v>28</v>
      </c>
      <c r="F60" s="59" t="s">
        <v>221</v>
      </c>
      <c r="G60" s="59" t="s">
        <v>224</v>
      </c>
      <c r="H60" s="98"/>
      <c r="I60" s="99"/>
      <c r="J60" s="99">
        <v>5.416666666666667</v>
      </c>
      <c r="K60" s="99">
        <f t="shared" si="9"/>
        <v>5.416666666666667</v>
      </c>
      <c r="L60" s="136">
        <f t="shared" si="10"/>
        <v>240</v>
      </c>
      <c r="M60" s="136">
        <f t="shared" si="11"/>
        <v>2880</v>
      </c>
      <c r="N60" s="100">
        <f t="shared" si="1"/>
        <v>9.375E-2</v>
      </c>
      <c r="O60" s="100" t="e">
        <f t="shared" si="2"/>
        <v>#REF!</v>
      </c>
      <c r="P60" s="71"/>
      <c r="Q60" s="64" t="s">
        <v>230</v>
      </c>
      <c r="R60" s="60" t="s">
        <v>282</v>
      </c>
      <c r="S60" s="128">
        <v>270</v>
      </c>
      <c r="T60" s="126">
        <f t="shared" si="0"/>
        <v>0</v>
      </c>
      <c r="U60" s="60" t="s">
        <v>263</v>
      </c>
      <c r="V60" s="151" t="e">
        <f>[1]!Tabella1[[#This Row],[Booking Hours]]</f>
        <v>#REF!</v>
      </c>
      <c r="W60" s="63" t="e">
        <f>[1]!Tabella1[[#This Row],[Booking Period]]</f>
        <v>#REF!</v>
      </c>
      <c r="X60" s="70"/>
    </row>
    <row r="61" spans="1:24" ht="15" x14ac:dyDescent="0.25">
      <c r="A61" s="145" t="s">
        <v>152</v>
      </c>
      <c r="B61" s="59" t="s">
        <v>164</v>
      </c>
      <c r="C61" s="62" t="s">
        <v>215</v>
      </c>
      <c r="D61" s="60" t="s">
        <v>28</v>
      </c>
      <c r="E61" s="49" t="s">
        <v>28</v>
      </c>
      <c r="F61" s="59" t="s">
        <v>221</v>
      </c>
      <c r="G61" s="59" t="s">
        <v>224</v>
      </c>
      <c r="H61" s="98"/>
      <c r="I61" s="99"/>
      <c r="J61" s="99">
        <v>5.416666666666667</v>
      </c>
      <c r="K61" s="99">
        <f t="shared" si="9"/>
        <v>5.416666666666667</v>
      </c>
      <c r="L61" s="136">
        <f t="shared" si="10"/>
        <v>240</v>
      </c>
      <c r="M61" s="136">
        <f t="shared" si="11"/>
        <v>2880</v>
      </c>
      <c r="N61" s="100">
        <f t="shared" si="1"/>
        <v>0.10416666666666667</v>
      </c>
      <c r="O61" s="100">
        <f t="shared" si="2"/>
        <v>0</v>
      </c>
      <c r="P61" s="71"/>
      <c r="Q61" s="64" t="s">
        <v>234</v>
      </c>
      <c r="R61" s="60" t="s">
        <v>282</v>
      </c>
      <c r="S61" s="128">
        <v>300</v>
      </c>
      <c r="T61" s="126">
        <f t="shared" si="0"/>
        <v>0</v>
      </c>
      <c r="U61" s="60" t="s">
        <v>265</v>
      </c>
      <c r="V61" s="151">
        <v>0</v>
      </c>
      <c r="W61" s="60" t="s">
        <v>264</v>
      </c>
      <c r="X61" s="70"/>
    </row>
    <row r="62" spans="1:24" ht="30" x14ac:dyDescent="0.25">
      <c r="A62" s="144" t="s">
        <v>153</v>
      </c>
      <c r="B62" s="63" t="s">
        <v>165</v>
      </c>
      <c r="C62" s="59" t="s">
        <v>216</v>
      </c>
      <c r="D62" s="63" t="s">
        <v>20</v>
      </c>
      <c r="E62" s="50" t="s">
        <v>441</v>
      </c>
      <c r="F62" s="59" t="s">
        <v>222</v>
      </c>
      <c r="G62" s="59" t="s">
        <v>225</v>
      </c>
      <c r="H62" s="98">
        <v>57.21</v>
      </c>
      <c r="I62" s="99">
        <v>61.93</v>
      </c>
      <c r="J62" s="83"/>
      <c r="K62" s="83">
        <f>I62</f>
        <v>61.93</v>
      </c>
      <c r="L62" s="136">
        <f>M62/12</f>
        <v>174.91666666666666</v>
      </c>
      <c r="M62" s="136">
        <v>2099</v>
      </c>
      <c r="N62" s="100">
        <f t="shared" si="1"/>
        <v>0.25726536445926634</v>
      </c>
      <c r="O62" s="100">
        <f t="shared" si="2"/>
        <v>0</v>
      </c>
      <c r="P62" s="71"/>
      <c r="Q62" s="66" t="s">
        <v>238</v>
      </c>
      <c r="R62" s="67" t="s">
        <v>283</v>
      </c>
      <c r="S62" s="126">
        <f>((45*4)*6)/2</f>
        <v>540</v>
      </c>
      <c r="T62" s="126">
        <f t="shared" si="0"/>
        <v>33442.199999999997</v>
      </c>
      <c r="U62" s="63" t="s">
        <v>284</v>
      </c>
      <c r="V62" s="151">
        <v>0</v>
      </c>
      <c r="W62" s="63" t="s">
        <v>264</v>
      </c>
      <c r="X62" s="65"/>
    </row>
    <row r="63" spans="1:24" ht="30" x14ac:dyDescent="0.25">
      <c r="A63" s="144" t="s">
        <v>153</v>
      </c>
      <c r="B63" s="63" t="s">
        <v>166</v>
      </c>
      <c r="C63" s="59" t="s">
        <v>216</v>
      </c>
      <c r="D63" s="67" t="s">
        <v>20</v>
      </c>
      <c r="E63" s="50" t="s">
        <v>441</v>
      </c>
      <c r="F63" s="59" t="s">
        <v>222</v>
      </c>
      <c r="G63" s="59" t="s">
        <v>225</v>
      </c>
      <c r="H63" s="98">
        <v>57.21</v>
      </c>
      <c r="I63" s="99">
        <v>61.93</v>
      </c>
      <c r="J63" s="83"/>
      <c r="K63" s="83">
        <f>I63</f>
        <v>61.93</v>
      </c>
      <c r="L63" s="136">
        <f>M63/12</f>
        <v>174.91666666666666</v>
      </c>
      <c r="M63" s="136">
        <v>2099</v>
      </c>
      <c r="N63" s="100">
        <f t="shared" si="1"/>
        <v>0.25726536445926634</v>
      </c>
      <c r="O63" s="100" t="e">
        <f t="shared" si="2"/>
        <v>#REF!</v>
      </c>
      <c r="P63" s="71"/>
      <c r="Q63" s="64" t="s">
        <v>230</v>
      </c>
      <c r="R63" s="67" t="s">
        <v>285</v>
      </c>
      <c r="S63" s="127">
        <f>((45*4)*6)/2</f>
        <v>540</v>
      </c>
      <c r="T63" s="126">
        <f t="shared" si="0"/>
        <v>33442.199999999997</v>
      </c>
      <c r="U63" s="63" t="s">
        <v>284</v>
      </c>
      <c r="V63" s="151" t="e">
        <f>[1]!Tabella1[[#This Row],[Booking Hours]]</f>
        <v>#REF!</v>
      </c>
      <c r="W63" s="63" t="e">
        <f>[1]!Tabella1[[#This Row],[Booking Period]]</f>
        <v>#REF!</v>
      </c>
      <c r="X63" s="68"/>
    </row>
    <row r="64" spans="1:24" ht="15" x14ac:dyDescent="0.25">
      <c r="A64" s="145" t="s">
        <v>152</v>
      </c>
      <c r="B64" s="59" t="s">
        <v>167</v>
      </c>
      <c r="C64" s="62" t="s">
        <v>215</v>
      </c>
      <c r="D64" s="60" t="s">
        <v>20</v>
      </c>
      <c r="E64" s="50" t="s">
        <v>441</v>
      </c>
      <c r="F64" s="59" t="s">
        <v>221</v>
      </c>
      <c r="G64" s="59" t="s">
        <v>224</v>
      </c>
      <c r="H64" s="98"/>
      <c r="I64" s="99"/>
      <c r="J64" s="83">
        <v>6.25</v>
      </c>
      <c r="K64" s="99">
        <f>J64</f>
        <v>6.25</v>
      </c>
      <c r="L64" s="136">
        <f>(60*4)</f>
        <v>240</v>
      </c>
      <c r="M64" s="136">
        <f>L64*12</f>
        <v>2880</v>
      </c>
      <c r="N64" s="100">
        <f t="shared" si="1"/>
        <v>0</v>
      </c>
      <c r="O64" s="100">
        <f t="shared" si="2"/>
        <v>0</v>
      </c>
      <c r="P64" s="71"/>
      <c r="Q64" s="60"/>
      <c r="R64" s="60"/>
      <c r="S64" s="125"/>
      <c r="T64" s="126">
        <f t="shared" si="0"/>
        <v>0</v>
      </c>
      <c r="U64" s="60"/>
      <c r="V64" s="151"/>
      <c r="W64" s="60"/>
      <c r="X64" s="61"/>
    </row>
    <row r="65" spans="1:24" ht="15" x14ac:dyDescent="0.25">
      <c r="A65" s="145" t="s">
        <v>153</v>
      </c>
      <c r="B65" s="72" t="s">
        <v>21</v>
      </c>
      <c r="C65" s="72" t="s">
        <v>216</v>
      </c>
      <c r="D65" s="63" t="s">
        <v>20</v>
      </c>
      <c r="E65" s="50" t="s">
        <v>20</v>
      </c>
      <c r="F65" s="59" t="s">
        <v>222</v>
      </c>
      <c r="G65" s="59" t="s">
        <v>225</v>
      </c>
      <c r="H65" s="98">
        <v>57.21</v>
      </c>
      <c r="I65" s="99">
        <v>61.93</v>
      </c>
      <c r="J65" s="101"/>
      <c r="K65" s="83">
        <f t="shared" ref="K65:K102" si="12">I65</f>
        <v>61.93</v>
      </c>
      <c r="L65" s="136">
        <f t="shared" ref="L65:L102" si="13">M65/12</f>
        <v>174.91666666666666</v>
      </c>
      <c r="M65" s="136">
        <v>2099</v>
      </c>
      <c r="N65" s="100">
        <f t="shared" si="1"/>
        <v>2.8585040495474036E-2</v>
      </c>
      <c r="O65" s="100">
        <f t="shared" si="2"/>
        <v>0</v>
      </c>
      <c r="P65" s="71"/>
      <c r="Q65" s="64" t="s">
        <v>232</v>
      </c>
      <c r="R65" s="63" t="s">
        <v>286</v>
      </c>
      <c r="S65" s="126">
        <v>60</v>
      </c>
      <c r="T65" s="126">
        <f t="shared" si="0"/>
        <v>3715.8</v>
      </c>
      <c r="U65" s="67" t="s">
        <v>256</v>
      </c>
      <c r="V65" s="151"/>
      <c r="W65" s="63" t="s">
        <v>257</v>
      </c>
      <c r="X65" s="65"/>
    </row>
    <row r="66" spans="1:24" ht="15" x14ac:dyDescent="0.25">
      <c r="A66" s="145" t="s">
        <v>153</v>
      </c>
      <c r="B66" s="72" t="s">
        <v>21</v>
      </c>
      <c r="C66" s="72" t="s">
        <v>216</v>
      </c>
      <c r="D66" s="63" t="s">
        <v>20</v>
      </c>
      <c r="E66" s="50" t="s">
        <v>20</v>
      </c>
      <c r="F66" s="59" t="s">
        <v>222</v>
      </c>
      <c r="G66" s="59" t="s">
        <v>225</v>
      </c>
      <c r="H66" s="98">
        <v>57.21</v>
      </c>
      <c r="I66" s="99">
        <v>61.93</v>
      </c>
      <c r="J66" s="101"/>
      <c r="K66" s="83">
        <f t="shared" si="12"/>
        <v>61.93</v>
      </c>
      <c r="L66" s="136">
        <f t="shared" si="13"/>
        <v>174.91666666666666</v>
      </c>
      <c r="M66" s="136">
        <v>2099</v>
      </c>
      <c r="N66" s="100">
        <f t="shared" si="1"/>
        <v>0.11434016198189614</v>
      </c>
      <c r="O66" s="100" t="e">
        <f t="shared" si="2"/>
        <v>#REF!</v>
      </c>
      <c r="P66" s="71"/>
      <c r="Q66" s="64" t="s">
        <v>234</v>
      </c>
      <c r="R66" s="63" t="s">
        <v>287</v>
      </c>
      <c r="S66" s="126">
        <v>240</v>
      </c>
      <c r="T66" s="126">
        <f t="shared" ref="T66:T129" si="14">S66*I66</f>
        <v>14863.2</v>
      </c>
      <c r="U66" s="67" t="s">
        <v>258</v>
      </c>
      <c r="V66" s="151" t="e">
        <f>[1]!Tabella1[[#This Row],[Booking Hours]]</f>
        <v>#REF!</v>
      </c>
      <c r="W66" s="60" t="e">
        <f>[1]!Tabella1[[#This Row],[Booking Period]]</f>
        <v>#REF!</v>
      </c>
      <c r="X66" s="65"/>
    </row>
    <row r="67" spans="1:24" ht="15" x14ac:dyDescent="0.25">
      <c r="A67" s="145" t="s">
        <v>153</v>
      </c>
      <c r="B67" s="72" t="s">
        <v>21</v>
      </c>
      <c r="C67" s="72" t="s">
        <v>216</v>
      </c>
      <c r="D67" s="63" t="s">
        <v>20</v>
      </c>
      <c r="E67" s="50" t="s">
        <v>20</v>
      </c>
      <c r="F67" s="59" t="s">
        <v>222</v>
      </c>
      <c r="G67" s="59" t="s">
        <v>225</v>
      </c>
      <c r="H67" s="98">
        <v>57.21</v>
      </c>
      <c r="I67" s="99">
        <v>61.93</v>
      </c>
      <c r="J67" s="101"/>
      <c r="K67" s="83">
        <f t="shared" si="12"/>
        <v>61.93</v>
      </c>
      <c r="L67" s="136">
        <f t="shared" si="13"/>
        <v>174.91666666666666</v>
      </c>
      <c r="M67" s="136">
        <v>2099</v>
      </c>
      <c r="N67" s="100">
        <f t="shared" ref="N67:N130" si="15">S67/M67</f>
        <v>0.11434016198189614</v>
      </c>
      <c r="O67" s="100" t="e">
        <f t="shared" ref="O67:O130" si="16">V67/M67</f>
        <v>#REF!</v>
      </c>
      <c r="P67" s="71"/>
      <c r="Q67" s="64" t="s">
        <v>234</v>
      </c>
      <c r="R67" s="63" t="s">
        <v>287</v>
      </c>
      <c r="S67" s="126">
        <v>240</v>
      </c>
      <c r="T67" s="126">
        <f t="shared" si="14"/>
        <v>14863.2</v>
      </c>
      <c r="U67" s="67" t="s">
        <v>258</v>
      </c>
      <c r="V67" s="151" t="e">
        <f>[1]!Tabella1[[#This Row],[Booking Hours]]</f>
        <v>#REF!</v>
      </c>
      <c r="W67" s="60" t="e">
        <f>[1]!Tabella1[[#This Row],[Booking Period]]</f>
        <v>#REF!</v>
      </c>
      <c r="X67" s="65"/>
    </row>
    <row r="68" spans="1:24" ht="15" x14ac:dyDescent="0.25">
      <c r="A68" s="145" t="s">
        <v>153</v>
      </c>
      <c r="B68" s="72" t="s">
        <v>21</v>
      </c>
      <c r="C68" s="72" t="s">
        <v>216</v>
      </c>
      <c r="D68" s="63" t="s">
        <v>20</v>
      </c>
      <c r="E68" s="50" t="s">
        <v>20</v>
      </c>
      <c r="F68" s="59" t="s">
        <v>222</v>
      </c>
      <c r="G68" s="59" t="s">
        <v>225</v>
      </c>
      <c r="H68" s="98">
        <v>57.21</v>
      </c>
      <c r="I68" s="99">
        <v>61.93</v>
      </c>
      <c r="J68" s="101"/>
      <c r="K68" s="83">
        <f t="shared" si="12"/>
        <v>61.93</v>
      </c>
      <c r="L68" s="136">
        <f t="shared" si="13"/>
        <v>174.91666666666666</v>
      </c>
      <c r="M68" s="136">
        <v>2099</v>
      </c>
      <c r="N68" s="100">
        <f t="shared" si="15"/>
        <v>2.8585040495474036E-2</v>
      </c>
      <c r="O68" s="100">
        <f t="shared" si="16"/>
        <v>0</v>
      </c>
      <c r="P68" s="71"/>
      <c r="Q68" s="64" t="s">
        <v>235</v>
      </c>
      <c r="R68" s="63" t="s">
        <v>286</v>
      </c>
      <c r="S68" s="126">
        <v>60</v>
      </c>
      <c r="T68" s="126">
        <f t="shared" si="14"/>
        <v>3715.8</v>
      </c>
      <c r="U68" s="67" t="s">
        <v>259</v>
      </c>
      <c r="V68" s="151"/>
      <c r="W68" s="153" t="s">
        <v>260</v>
      </c>
      <c r="X68" s="65"/>
    </row>
    <row r="69" spans="1:24" ht="15" x14ac:dyDescent="0.25">
      <c r="A69" s="145" t="s">
        <v>153</v>
      </c>
      <c r="B69" s="72" t="s">
        <v>21</v>
      </c>
      <c r="C69" s="72" t="s">
        <v>216</v>
      </c>
      <c r="D69" s="63" t="s">
        <v>20</v>
      </c>
      <c r="E69" s="50" t="s">
        <v>20</v>
      </c>
      <c r="F69" s="59" t="s">
        <v>222</v>
      </c>
      <c r="G69" s="59" t="s">
        <v>225</v>
      </c>
      <c r="H69" s="98">
        <v>57.21</v>
      </c>
      <c r="I69" s="99">
        <v>61.93</v>
      </c>
      <c r="J69" s="101"/>
      <c r="K69" s="83">
        <f t="shared" si="12"/>
        <v>61.93</v>
      </c>
      <c r="L69" s="136">
        <f t="shared" si="13"/>
        <v>174.91666666666666</v>
      </c>
      <c r="M69" s="136">
        <v>2099</v>
      </c>
      <c r="N69" s="100">
        <f t="shared" si="15"/>
        <v>4.7641734159123393E-3</v>
      </c>
      <c r="O69" s="100">
        <f t="shared" si="16"/>
        <v>0</v>
      </c>
      <c r="P69" s="71"/>
      <c r="Q69" s="64" t="s">
        <v>232</v>
      </c>
      <c r="R69" s="63" t="s">
        <v>33</v>
      </c>
      <c r="S69" s="126">
        <v>10</v>
      </c>
      <c r="T69" s="126">
        <f t="shared" si="14"/>
        <v>619.29999999999995</v>
      </c>
      <c r="U69" s="67" t="s">
        <v>256</v>
      </c>
      <c r="V69" s="151"/>
      <c r="W69" s="63" t="s">
        <v>257</v>
      </c>
      <c r="X69" s="65"/>
    </row>
    <row r="70" spans="1:24" ht="15" x14ac:dyDescent="0.25">
      <c r="A70" s="145" t="s">
        <v>153</v>
      </c>
      <c r="B70" s="72" t="s">
        <v>21</v>
      </c>
      <c r="C70" s="72" t="s">
        <v>216</v>
      </c>
      <c r="D70" s="63" t="s">
        <v>20</v>
      </c>
      <c r="E70" s="50" t="s">
        <v>20</v>
      </c>
      <c r="F70" s="59" t="s">
        <v>222</v>
      </c>
      <c r="G70" s="59" t="s">
        <v>225</v>
      </c>
      <c r="H70" s="98">
        <v>57.21</v>
      </c>
      <c r="I70" s="99">
        <v>61.93</v>
      </c>
      <c r="J70" s="101"/>
      <c r="K70" s="83">
        <f t="shared" si="12"/>
        <v>61.93</v>
      </c>
      <c r="L70" s="136">
        <f t="shared" si="13"/>
        <v>174.91666666666666</v>
      </c>
      <c r="M70" s="136">
        <v>2099</v>
      </c>
      <c r="N70" s="100">
        <f t="shared" si="15"/>
        <v>4.7641734159123393E-3</v>
      </c>
      <c r="O70" s="100">
        <f t="shared" si="16"/>
        <v>0</v>
      </c>
      <c r="P70" s="71"/>
      <c r="Q70" s="64" t="s">
        <v>233</v>
      </c>
      <c r="R70" s="63" t="s">
        <v>33</v>
      </c>
      <c r="S70" s="126">
        <v>10</v>
      </c>
      <c r="T70" s="126">
        <f t="shared" si="14"/>
        <v>619.29999999999995</v>
      </c>
      <c r="U70" s="67" t="s">
        <v>256</v>
      </c>
      <c r="V70" s="151">
        <v>0</v>
      </c>
      <c r="W70" s="60" t="s">
        <v>264</v>
      </c>
      <c r="X70" s="65"/>
    </row>
    <row r="71" spans="1:24" ht="15" x14ac:dyDescent="0.25">
      <c r="A71" s="145" t="s">
        <v>153</v>
      </c>
      <c r="B71" s="72" t="s">
        <v>21</v>
      </c>
      <c r="C71" s="72" t="s">
        <v>216</v>
      </c>
      <c r="D71" s="63" t="s">
        <v>20</v>
      </c>
      <c r="E71" s="50" t="s">
        <v>20</v>
      </c>
      <c r="F71" s="59" t="s">
        <v>222</v>
      </c>
      <c r="G71" s="59" t="s">
        <v>225</v>
      </c>
      <c r="H71" s="98">
        <v>57.21</v>
      </c>
      <c r="I71" s="99">
        <v>61.93</v>
      </c>
      <c r="J71" s="101"/>
      <c r="K71" s="83">
        <f t="shared" si="12"/>
        <v>61.93</v>
      </c>
      <c r="L71" s="136">
        <f t="shared" si="13"/>
        <v>174.91666666666666</v>
      </c>
      <c r="M71" s="136">
        <v>2099</v>
      </c>
      <c r="N71" s="100">
        <f t="shared" si="15"/>
        <v>4.7641734159123393E-3</v>
      </c>
      <c r="O71" s="100">
        <f t="shared" si="16"/>
        <v>0</v>
      </c>
      <c r="P71" s="71"/>
      <c r="Q71" s="64" t="s">
        <v>235</v>
      </c>
      <c r="R71" s="63" t="s">
        <v>33</v>
      </c>
      <c r="S71" s="126">
        <v>10</v>
      </c>
      <c r="T71" s="126">
        <f t="shared" si="14"/>
        <v>619.29999999999995</v>
      </c>
      <c r="U71" s="67" t="s">
        <v>259</v>
      </c>
      <c r="V71" s="151"/>
      <c r="W71" s="153" t="s">
        <v>260</v>
      </c>
      <c r="X71" s="65"/>
    </row>
    <row r="72" spans="1:24" ht="15" x14ac:dyDescent="0.25">
      <c r="A72" s="145" t="s">
        <v>153</v>
      </c>
      <c r="B72" s="72" t="s">
        <v>21</v>
      </c>
      <c r="C72" s="72" t="s">
        <v>216</v>
      </c>
      <c r="D72" s="63" t="s">
        <v>20</v>
      </c>
      <c r="E72" s="50" t="s">
        <v>20</v>
      </c>
      <c r="F72" s="59" t="s">
        <v>222</v>
      </c>
      <c r="G72" s="59" t="s">
        <v>225</v>
      </c>
      <c r="H72" s="98">
        <v>57.21</v>
      </c>
      <c r="I72" s="99">
        <v>61.93</v>
      </c>
      <c r="J72" s="101"/>
      <c r="K72" s="83">
        <f t="shared" si="12"/>
        <v>61.93</v>
      </c>
      <c r="L72" s="136">
        <f t="shared" si="13"/>
        <v>174.91666666666666</v>
      </c>
      <c r="M72" s="136">
        <v>2099</v>
      </c>
      <c r="N72" s="100">
        <f t="shared" si="15"/>
        <v>5.2405907575035729E-2</v>
      </c>
      <c r="O72" s="100">
        <f t="shared" si="16"/>
        <v>0</v>
      </c>
      <c r="P72" s="71"/>
      <c r="Q72" s="64" t="s">
        <v>232</v>
      </c>
      <c r="R72" s="63" t="s">
        <v>288</v>
      </c>
      <c r="S72" s="126">
        <v>110</v>
      </c>
      <c r="T72" s="126">
        <f t="shared" si="14"/>
        <v>6812.3</v>
      </c>
      <c r="U72" s="67" t="s">
        <v>256</v>
      </c>
      <c r="V72" s="151"/>
      <c r="W72" s="63" t="s">
        <v>257</v>
      </c>
      <c r="X72" s="65"/>
    </row>
    <row r="73" spans="1:24" ht="15" x14ac:dyDescent="0.25">
      <c r="A73" s="145" t="s">
        <v>153</v>
      </c>
      <c r="B73" s="72" t="s">
        <v>21</v>
      </c>
      <c r="C73" s="72" t="s">
        <v>216</v>
      </c>
      <c r="D73" s="63" t="s">
        <v>20</v>
      </c>
      <c r="E73" s="50" t="s">
        <v>20</v>
      </c>
      <c r="F73" s="59" t="s">
        <v>222</v>
      </c>
      <c r="G73" s="59" t="s">
        <v>225</v>
      </c>
      <c r="H73" s="98">
        <v>57.21</v>
      </c>
      <c r="I73" s="99">
        <v>61.93</v>
      </c>
      <c r="J73" s="101"/>
      <c r="K73" s="83">
        <f t="shared" si="12"/>
        <v>61.93</v>
      </c>
      <c r="L73" s="136">
        <f t="shared" si="13"/>
        <v>174.91666666666666</v>
      </c>
      <c r="M73" s="136">
        <v>2099</v>
      </c>
      <c r="N73" s="100">
        <f t="shared" si="15"/>
        <v>5.2405907575035729E-2</v>
      </c>
      <c r="O73" s="100">
        <f t="shared" si="16"/>
        <v>0</v>
      </c>
      <c r="P73" s="71"/>
      <c r="Q73" s="64" t="s">
        <v>233</v>
      </c>
      <c r="R73" s="63" t="s">
        <v>288</v>
      </c>
      <c r="S73" s="126">
        <v>110</v>
      </c>
      <c r="T73" s="126">
        <f t="shared" si="14"/>
        <v>6812.3</v>
      </c>
      <c r="U73" s="67" t="s">
        <v>256</v>
      </c>
      <c r="V73" s="151">
        <v>0</v>
      </c>
      <c r="W73" s="60" t="s">
        <v>264</v>
      </c>
      <c r="X73" s="65"/>
    </row>
    <row r="74" spans="1:24" ht="15" x14ac:dyDescent="0.25">
      <c r="A74" s="145" t="s">
        <v>153</v>
      </c>
      <c r="B74" s="72" t="s">
        <v>21</v>
      </c>
      <c r="C74" s="72" t="s">
        <v>216</v>
      </c>
      <c r="D74" s="63" t="s">
        <v>20</v>
      </c>
      <c r="E74" s="50" t="s">
        <v>20</v>
      </c>
      <c r="F74" s="59" t="s">
        <v>222</v>
      </c>
      <c r="G74" s="59" t="s">
        <v>225</v>
      </c>
      <c r="H74" s="98">
        <v>57.21</v>
      </c>
      <c r="I74" s="99">
        <v>61.93</v>
      </c>
      <c r="J74" s="101"/>
      <c r="K74" s="83">
        <f t="shared" si="12"/>
        <v>61.93</v>
      </c>
      <c r="L74" s="136">
        <f t="shared" si="13"/>
        <v>174.91666666666666</v>
      </c>
      <c r="M74" s="136">
        <v>2099</v>
      </c>
      <c r="N74" s="100">
        <f t="shared" si="15"/>
        <v>5.2405907575035729E-2</v>
      </c>
      <c r="O74" s="100" t="e">
        <f t="shared" si="16"/>
        <v>#REF!</v>
      </c>
      <c r="P74" s="71"/>
      <c r="Q74" s="64" t="s">
        <v>234</v>
      </c>
      <c r="R74" s="63" t="s">
        <v>288</v>
      </c>
      <c r="S74" s="126">
        <v>110</v>
      </c>
      <c r="T74" s="126">
        <f t="shared" si="14"/>
        <v>6812.3</v>
      </c>
      <c r="U74" s="67" t="s">
        <v>258</v>
      </c>
      <c r="V74" s="151" t="e">
        <f>[1]!Tabella1[[#This Row],[Booking Hours]]</f>
        <v>#REF!</v>
      </c>
      <c r="W74" s="60" t="e">
        <f>[1]!Tabella1[[#This Row],[Booking Period]]</f>
        <v>#REF!</v>
      </c>
      <c r="X74" s="65"/>
    </row>
    <row r="75" spans="1:24" ht="15" x14ac:dyDescent="0.25">
      <c r="A75" s="145" t="s">
        <v>153</v>
      </c>
      <c r="B75" s="72" t="s">
        <v>21</v>
      </c>
      <c r="C75" s="72" t="s">
        <v>216</v>
      </c>
      <c r="D75" s="63" t="s">
        <v>20</v>
      </c>
      <c r="E75" s="50" t="s">
        <v>20</v>
      </c>
      <c r="F75" s="59" t="s">
        <v>222</v>
      </c>
      <c r="G75" s="59" t="s">
        <v>225</v>
      </c>
      <c r="H75" s="98">
        <v>57.21</v>
      </c>
      <c r="I75" s="99">
        <v>61.93</v>
      </c>
      <c r="J75" s="101"/>
      <c r="K75" s="83">
        <f t="shared" si="12"/>
        <v>61.93</v>
      </c>
      <c r="L75" s="136">
        <f t="shared" si="13"/>
        <v>174.91666666666666</v>
      </c>
      <c r="M75" s="136">
        <v>2099</v>
      </c>
      <c r="N75" s="100">
        <f t="shared" si="15"/>
        <v>5.2405907575035729E-2</v>
      </c>
      <c r="O75" s="100">
        <f t="shared" si="16"/>
        <v>0</v>
      </c>
      <c r="P75" s="71"/>
      <c r="Q75" s="64" t="s">
        <v>235</v>
      </c>
      <c r="R75" s="63" t="s">
        <v>288</v>
      </c>
      <c r="S75" s="126">
        <v>110</v>
      </c>
      <c r="T75" s="126">
        <f t="shared" si="14"/>
        <v>6812.3</v>
      </c>
      <c r="U75" s="67" t="s">
        <v>259</v>
      </c>
      <c r="V75" s="151"/>
      <c r="W75" s="153" t="s">
        <v>260</v>
      </c>
      <c r="X75" s="65"/>
    </row>
    <row r="76" spans="1:24" ht="15" x14ac:dyDescent="0.25">
      <c r="A76" s="145" t="s">
        <v>153</v>
      </c>
      <c r="B76" s="72" t="s">
        <v>21</v>
      </c>
      <c r="C76" s="72" t="s">
        <v>216</v>
      </c>
      <c r="D76" s="63" t="s">
        <v>20</v>
      </c>
      <c r="E76" s="50" t="s">
        <v>20</v>
      </c>
      <c r="F76" s="59" t="s">
        <v>222</v>
      </c>
      <c r="G76" s="59" t="s">
        <v>225</v>
      </c>
      <c r="H76" s="98">
        <v>57.21</v>
      </c>
      <c r="I76" s="99">
        <v>61.93</v>
      </c>
      <c r="J76" s="101"/>
      <c r="K76" s="83">
        <f t="shared" si="12"/>
        <v>61.93</v>
      </c>
      <c r="L76" s="136">
        <f t="shared" si="13"/>
        <v>174.91666666666666</v>
      </c>
      <c r="M76" s="136">
        <v>2099</v>
      </c>
      <c r="N76" s="100">
        <f t="shared" si="15"/>
        <v>3.3349213911386372E-2</v>
      </c>
      <c r="O76" s="100">
        <f t="shared" si="16"/>
        <v>0</v>
      </c>
      <c r="P76" s="71"/>
      <c r="Q76" s="64" t="s">
        <v>232</v>
      </c>
      <c r="R76" s="63" t="s">
        <v>289</v>
      </c>
      <c r="S76" s="126">
        <v>70</v>
      </c>
      <c r="T76" s="126">
        <f t="shared" si="14"/>
        <v>4335.1000000000004</v>
      </c>
      <c r="U76" s="67" t="s">
        <v>256</v>
      </c>
      <c r="V76" s="151"/>
      <c r="W76" s="63" t="s">
        <v>257</v>
      </c>
      <c r="X76" s="65"/>
    </row>
    <row r="77" spans="1:24" ht="15" x14ac:dyDescent="0.25">
      <c r="A77" s="145" t="s">
        <v>153</v>
      </c>
      <c r="B77" s="72" t="s">
        <v>21</v>
      </c>
      <c r="C77" s="72" t="s">
        <v>216</v>
      </c>
      <c r="D77" s="63" t="s">
        <v>20</v>
      </c>
      <c r="E77" s="50" t="s">
        <v>20</v>
      </c>
      <c r="F77" s="59" t="s">
        <v>222</v>
      </c>
      <c r="G77" s="59" t="s">
        <v>225</v>
      </c>
      <c r="H77" s="98">
        <v>57.21</v>
      </c>
      <c r="I77" s="99">
        <v>61.93</v>
      </c>
      <c r="J77" s="101"/>
      <c r="K77" s="83">
        <f t="shared" si="12"/>
        <v>61.93</v>
      </c>
      <c r="L77" s="136">
        <f t="shared" si="13"/>
        <v>174.91666666666666</v>
      </c>
      <c r="M77" s="136">
        <v>2099</v>
      </c>
      <c r="N77" s="100">
        <f t="shared" si="15"/>
        <v>3.3349213911386372E-2</v>
      </c>
      <c r="O77" s="100">
        <f t="shared" si="16"/>
        <v>0</v>
      </c>
      <c r="P77" s="71"/>
      <c r="Q77" s="64" t="s">
        <v>233</v>
      </c>
      <c r="R77" s="63" t="s">
        <v>289</v>
      </c>
      <c r="S77" s="126">
        <v>70</v>
      </c>
      <c r="T77" s="126">
        <f t="shared" si="14"/>
        <v>4335.1000000000004</v>
      </c>
      <c r="U77" s="67" t="s">
        <v>256</v>
      </c>
      <c r="V77" s="151">
        <v>0</v>
      </c>
      <c r="W77" s="60" t="s">
        <v>264</v>
      </c>
      <c r="X77" s="65"/>
    </row>
    <row r="78" spans="1:24" ht="15" x14ac:dyDescent="0.25">
      <c r="A78" s="145" t="s">
        <v>153</v>
      </c>
      <c r="B78" s="72" t="s">
        <v>21</v>
      </c>
      <c r="C78" s="72" t="s">
        <v>216</v>
      </c>
      <c r="D78" s="63" t="s">
        <v>20</v>
      </c>
      <c r="E78" s="50" t="s">
        <v>20</v>
      </c>
      <c r="F78" s="59" t="s">
        <v>222</v>
      </c>
      <c r="G78" s="59" t="s">
        <v>225</v>
      </c>
      <c r="H78" s="98">
        <v>57.21</v>
      </c>
      <c r="I78" s="99">
        <v>61.93</v>
      </c>
      <c r="J78" s="101"/>
      <c r="K78" s="83">
        <f t="shared" si="12"/>
        <v>61.93</v>
      </c>
      <c r="L78" s="136">
        <f t="shared" si="13"/>
        <v>174.91666666666666</v>
      </c>
      <c r="M78" s="136">
        <v>2099</v>
      </c>
      <c r="N78" s="100">
        <f t="shared" si="15"/>
        <v>3.3349213911386372E-2</v>
      </c>
      <c r="O78" s="100" t="e">
        <f t="shared" si="16"/>
        <v>#REF!</v>
      </c>
      <c r="P78" s="71"/>
      <c r="Q78" s="64" t="s">
        <v>234</v>
      </c>
      <c r="R78" s="63" t="s">
        <v>289</v>
      </c>
      <c r="S78" s="126">
        <v>70</v>
      </c>
      <c r="T78" s="126">
        <f t="shared" si="14"/>
        <v>4335.1000000000004</v>
      </c>
      <c r="U78" s="67" t="s">
        <v>258</v>
      </c>
      <c r="V78" s="151" t="e">
        <f>[1]!Tabella1[[#This Row],[Booking Hours]]</f>
        <v>#REF!</v>
      </c>
      <c r="W78" s="60" t="e">
        <f>[1]!Tabella1[[#This Row],[Booking Period]]</f>
        <v>#REF!</v>
      </c>
      <c r="X78" s="65"/>
    </row>
    <row r="79" spans="1:24" ht="15" x14ac:dyDescent="0.25">
      <c r="A79" s="145" t="s">
        <v>153</v>
      </c>
      <c r="B79" s="72" t="s">
        <v>21</v>
      </c>
      <c r="C79" s="72" t="s">
        <v>216</v>
      </c>
      <c r="D79" s="63" t="s">
        <v>20</v>
      </c>
      <c r="E79" s="50" t="s">
        <v>20</v>
      </c>
      <c r="F79" s="59" t="s">
        <v>222</v>
      </c>
      <c r="G79" s="59" t="s">
        <v>225</v>
      </c>
      <c r="H79" s="98">
        <v>57.21</v>
      </c>
      <c r="I79" s="99">
        <v>61.93</v>
      </c>
      <c r="J79" s="101"/>
      <c r="K79" s="83">
        <f t="shared" si="12"/>
        <v>61.93</v>
      </c>
      <c r="L79" s="136">
        <f t="shared" si="13"/>
        <v>174.91666666666666</v>
      </c>
      <c r="M79" s="136">
        <v>2099</v>
      </c>
      <c r="N79" s="100">
        <f t="shared" si="15"/>
        <v>3.3349213911386372E-2</v>
      </c>
      <c r="O79" s="100">
        <f t="shared" si="16"/>
        <v>0</v>
      </c>
      <c r="P79" s="71"/>
      <c r="Q79" s="64" t="s">
        <v>235</v>
      </c>
      <c r="R79" s="63" t="s">
        <v>289</v>
      </c>
      <c r="S79" s="126">
        <v>70</v>
      </c>
      <c r="T79" s="126">
        <f t="shared" si="14"/>
        <v>4335.1000000000004</v>
      </c>
      <c r="U79" s="67" t="s">
        <v>259</v>
      </c>
      <c r="V79" s="151"/>
      <c r="W79" s="153" t="s">
        <v>260</v>
      </c>
      <c r="X79" s="65"/>
    </row>
    <row r="80" spans="1:24" ht="15" x14ac:dyDescent="0.25">
      <c r="A80" s="145" t="s">
        <v>153</v>
      </c>
      <c r="B80" s="72" t="s">
        <v>21</v>
      </c>
      <c r="C80" s="72" t="s">
        <v>216</v>
      </c>
      <c r="D80" s="63" t="s">
        <v>20</v>
      </c>
      <c r="E80" s="50" t="s">
        <v>20</v>
      </c>
      <c r="F80" s="59" t="s">
        <v>222</v>
      </c>
      <c r="G80" s="59" t="s">
        <v>225</v>
      </c>
      <c r="H80" s="98">
        <v>57.21</v>
      </c>
      <c r="I80" s="99">
        <v>61.93</v>
      </c>
      <c r="J80" s="101"/>
      <c r="K80" s="83">
        <f t="shared" si="12"/>
        <v>61.93</v>
      </c>
      <c r="L80" s="136">
        <f t="shared" si="13"/>
        <v>174.91666666666666</v>
      </c>
      <c r="M80" s="136">
        <v>2099</v>
      </c>
      <c r="N80" s="100">
        <f t="shared" si="15"/>
        <v>9.5283468318246786E-3</v>
      </c>
      <c r="O80" s="100">
        <f t="shared" si="16"/>
        <v>0</v>
      </c>
      <c r="P80" s="71"/>
      <c r="Q80" s="64" t="s">
        <v>232</v>
      </c>
      <c r="R80" s="63" t="s">
        <v>47</v>
      </c>
      <c r="S80" s="126">
        <v>20</v>
      </c>
      <c r="T80" s="126">
        <f t="shared" si="14"/>
        <v>1238.5999999999999</v>
      </c>
      <c r="U80" s="67" t="s">
        <v>256</v>
      </c>
      <c r="V80" s="151"/>
      <c r="W80" s="63" t="s">
        <v>257</v>
      </c>
      <c r="X80" s="65"/>
    </row>
    <row r="81" spans="1:24" ht="15" x14ac:dyDescent="0.25">
      <c r="A81" s="145" t="s">
        <v>153</v>
      </c>
      <c r="B81" s="72" t="s">
        <v>21</v>
      </c>
      <c r="C81" s="72" t="s">
        <v>216</v>
      </c>
      <c r="D81" s="63" t="s">
        <v>20</v>
      </c>
      <c r="E81" s="50" t="s">
        <v>20</v>
      </c>
      <c r="F81" s="59" t="s">
        <v>222</v>
      </c>
      <c r="G81" s="59" t="s">
        <v>225</v>
      </c>
      <c r="H81" s="98">
        <v>57.21</v>
      </c>
      <c r="I81" s="99">
        <v>61.93</v>
      </c>
      <c r="J81" s="101"/>
      <c r="K81" s="83">
        <f t="shared" si="12"/>
        <v>61.93</v>
      </c>
      <c r="L81" s="136">
        <f t="shared" si="13"/>
        <v>174.91666666666666</v>
      </c>
      <c r="M81" s="136">
        <v>2099</v>
      </c>
      <c r="N81" s="100">
        <f t="shared" si="15"/>
        <v>9.5283468318246786E-3</v>
      </c>
      <c r="O81" s="100" t="e">
        <f t="shared" si="16"/>
        <v>#REF!</v>
      </c>
      <c r="P81" s="71"/>
      <c r="Q81" s="64" t="s">
        <v>234</v>
      </c>
      <c r="R81" s="63" t="s">
        <v>47</v>
      </c>
      <c r="S81" s="126">
        <v>20</v>
      </c>
      <c r="T81" s="126">
        <f t="shared" si="14"/>
        <v>1238.5999999999999</v>
      </c>
      <c r="U81" s="67" t="s">
        <v>258</v>
      </c>
      <c r="V81" s="151" t="e">
        <f>[1]!Tabella1[[#This Row],[Booking Hours]]</f>
        <v>#REF!</v>
      </c>
      <c r="W81" s="60" t="e">
        <f>[1]!Tabella1[[#This Row],[Booking Period]]</f>
        <v>#REF!</v>
      </c>
      <c r="X81" s="65"/>
    </row>
    <row r="82" spans="1:24" ht="15" x14ac:dyDescent="0.25">
      <c r="A82" s="145" t="s">
        <v>153</v>
      </c>
      <c r="B82" s="72" t="s">
        <v>21</v>
      </c>
      <c r="C82" s="72" t="s">
        <v>216</v>
      </c>
      <c r="D82" s="63" t="s">
        <v>20</v>
      </c>
      <c r="E82" s="50" t="s">
        <v>20</v>
      </c>
      <c r="F82" s="59" t="s">
        <v>222</v>
      </c>
      <c r="G82" s="59" t="s">
        <v>225</v>
      </c>
      <c r="H82" s="98">
        <v>57.21</v>
      </c>
      <c r="I82" s="99">
        <v>61.93</v>
      </c>
      <c r="J82" s="101"/>
      <c r="K82" s="83">
        <f t="shared" si="12"/>
        <v>61.93</v>
      </c>
      <c r="L82" s="136">
        <f t="shared" si="13"/>
        <v>174.91666666666666</v>
      </c>
      <c r="M82" s="136">
        <v>2099</v>
      </c>
      <c r="N82" s="100">
        <f t="shared" si="15"/>
        <v>9.5283468318246786E-3</v>
      </c>
      <c r="O82" s="100" t="e">
        <f t="shared" si="16"/>
        <v>#REF!</v>
      </c>
      <c r="P82" s="71"/>
      <c r="Q82" s="64" t="s">
        <v>234</v>
      </c>
      <c r="R82" s="63" t="s">
        <v>47</v>
      </c>
      <c r="S82" s="126">
        <v>20</v>
      </c>
      <c r="T82" s="126">
        <f t="shared" si="14"/>
        <v>1238.5999999999999</v>
      </c>
      <c r="U82" s="67" t="s">
        <v>258</v>
      </c>
      <c r="V82" s="151" t="e">
        <f>[1]!Tabella1[[#This Row],[Booking Hours]]</f>
        <v>#REF!</v>
      </c>
      <c r="W82" s="60" t="e">
        <f>[1]!Tabella1[[#This Row],[Booking Period]]</f>
        <v>#REF!</v>
      </c>
      <c r="X82" s="65"/>
    </row>
    <row r="83" spans="1:24" ht="15" x14ac:dyDescent="0.25">
      <c r="A83" s="145" t="s">
        <v>153</v>
      </c>
      <c r="B83" s="72" t="s">
        <v>21</v>
      </c>
      <c r="C83" s="72" t="s">
        <v>216</v>
      </c>
      <c r="D83" s="63" t="s">
        <v>20</v>
      </c>
      <c r="E83" s="50" t="s">
        <v>20</v>
      </c>
      <c r="F83" s="59" t="s">
        <v>222</v>
      </c>
      <c r="G83" s="59" t="s">
        <v>225</v>
      </c>
      <c r="H83" s="98">
        <v>57.21</v>
      </c>
      <c r="I83" s="99">
        <v>61.93</v>
      </c>
      <c r="J83" s="101"/>
      <c r="K83" s="83">
        <f t="shared" si="12"/>
        <v>61.93</v>
      </c>
      <c r="L83" s="136">
        <f t="shared" si="13"/>
        <v>174.91666666666666</v>
      </c>
      <c r="M83" s="136">
        <v>2099</v>
      </c>
      <c r="N83" s="100">
        <f t="shared" si="15"/>
        <v>9.5283468318246786E-3</v>
      </c>
      <c r="O83" s="100">
        <f t="shared" si="16"/>
        <v>0</v>
      </c>
      <c r="P83" s="71"/>
      <c r="Q83" s="64" t="s">
        <v>235</v>
      </c>
      <c r="R83" s="63" t="s">
        <v>47</v>
      </c>
      <c r="S83" s="126">
        <v>20</v>
      </c>
      <c r="T83" s="126">
        <f t="shared" si="14"/>
        <v>1238.5999999999999</v>
      </c>
      <c r="U83" s="67" t="s">
        <v>259</v>
      </c>
      <c r="V83" s="151"/>
      <c r="W83" s="153" t="s">
        <v>260</v>
      </c>
      <c r="X83" s="65"/>
    </row>
    <row r="84" spans="1:24" ht="30" x14ac:dyDescent="0.25">
      <c r="A84" s="145" t="s">
        <v>153</v>
      </c>
      <c r="B84" s="72" t="s">
        <v>21</v>
      </c>
      <c r="C84" s="72" t="s">
        <v>216</v>
      </c>
      <c r="D84" s="63" t="s">
        <v>20</v>
      </c>
      <c r="E84" s="50" t="s">
        <v>20</v>
      </c>
      <c r="F84" s="59" t="s">
        <v>222</v>
      </c>
      <c r="G84" s="59" t="s">
        <v>225</v>
      </c>
      <c r="H84" s="98">
        <v>57.21</v>
      </c>
      <c r="I84" s="99">
        <v>61.93</v>
      </c>
      <c r="J84" s="101"/>
      <c r="K84" s="83">
        <f t="shared" si="12"/>
        <v>61.93</v>
      </c>
      <c r="L84" s="136">
        <f t="shared" si="13"/>
        <v>174.91666666666666</v>
      </c>
      <c r="M84" s="136">
        <v>2099</v>
      </c>
      <c r="N84" s="100">
        <f t="shared" si="15"/>
        <v>0.10290614578370652</v>
      </c>
      <c r="O84" s="100" t="e">
        <f t="shared" si="16"/>
        <v>#REF!</v>
      </c>
      <c r="P84" s="71"/>
      <c r="Q84" s="64" t="s">
        <v>230</v>
      </c>
      <c r="R84" s="63" t="s">
        <v>290</v>
      </c>
      <c r="S84" s="126">
        <v>216</v>
      </c>
      <c r="T84" s="126">
        <f t="shared" si="14"/>
        <v>13376.88</v>
      </c>
      <c r="U84" s="67" t="s">
        <v>252</v>
      </c>
      <c r="V84" s="151" t="e">
        <f>[1]!Tabella1[[#This Row],[Booking Hours]]</f>
        <v>#REF!</v>
      </c>
      <c r="W84" s="60" t="e">
        <f>[1]!Tabella1[[#This Row],[Booking Period]]</f>
        <v>#REF!</v>
      </c>
      <c r="X84" s="65"/>
    </row>
    <row r="85" spans="1:24" ht="15" x14ac:dyDescent="0.25">
      <c r="A85" s="145">
        <v>667100</v>
      </c>
      <c r="B85" s="59" t="s">
        <v>168</v>
      </c>
      <c r="C85" s="59" t="s">
        <v>216</v>
      </c>
      <c r="D85" s="63" t="s">
        <v>28</v>
      </c>
      <c r="E85" s="49" t="s">
        <v>28</v>
      </c>
      <c r="F85" s="59" t="s">
        <v>222</v>
      </c>
      <c r="G85" s="59" t="s">
        <v>225</v>
      </c>
      <c r="H85" s="98">
        <v>57.21</v>
      </c>
      <c r="I85" s="99">
        <v>61.93</v>
      </c>
      <c r="J85" s="83"/>
      <c r="K85" s="83">
        <f t="shared" si="12"/>
        <v>61.93</v>
      </c>
      <c r="L85" s="136">
        <f t="shared" si="13"/>
        <v>174.91666666666666</v>
      </c>
      <c r="M85" s="136">
        <v>2099</v>
      </c>
      <c r="N85" s="100">
        <f t="shared" si="15"/>
        <v>2.2868032396379228E-2</v>
      </c>
      <c r="O85" s="100">
        <f t="shared" si="16"/>
        <v>0</v>
      </c>
      <c r="P85" s="71"/>
      <c r="Q85" s="64" t="s">
        <v>236</v>
      </c>
      <c r="R85" s="63" t="s">
        <v>262</v>
      </c>
      <c r="S85" s="126">
        <v>48</v>
      </c>
      <c r="T85" s="126">
        <f t="shared" si="14"/>
        <v>2972.64</v>
      </c>
      <c r="U85" s="67" t="s">
        <v>263</v>
      </c>
      <c r="V85" s="151">
        <v>0</v>
      </c>
      <c r="W85" s="60" t="s">
        <v>264</v>
      </c>
      <c r="X85" s="65"/>
    </row>
    <row r="86" spans="1:24" ht="15" x14ac:dyDescent="0.25">
      <c r="A86" s="145">
        <v>667100</v>
      </c>
      <c r="B86" s="59" t="s">
        <v>168</v>
      </c>
      <c r="C86" s="59" t="s">
        <v>216</v>
      </c>
      <c r="D86" s="63" t="s">
        <v>28</v>
      </c>
      <c r="E86" s="49" t="s">
        <v>28</v>
      </c>
      <c r="F86" s="59" t="s">
        <v>222</v>
      </c>
      <c r="G86" s="59" t="s">
        <v>225</v>
      </c>
      <c r="H86" s="98">
        <v>57.21</v>
      </c>
      <c r="I86" s="99">
        <v>61.93</v>
      </c>
      <c r="J86" s="83"/>
      <c r="K86" s="83">
        <f t="shared" si="12"/>
        <v>61.93</v>
      </c>
      <c r="L86" s="136">
        <f t="shared" si="13"/>
        <v>174.91666666666666</v>
      </c>
      <c r="M86" s="136">
        <v>2099</v>
      </c>
      <c r="N86" s="100">
        <f t="shared" si="15"/>
        <v>2.2868032396379228E-2</v>
      </c>
      <c r="O86" s="100" t="e">
        <f t="shared" si="16"/>
        <v>#REF!</v>
      </c>
      <c r="P86" s="71"/>
      <c r="Q86" s="64" t="s">
        <v>237</v>
      </c>
      <c r="R86" s="63" t="s">
        <v>262</v>
      </c>
      <c r="S86" s="128">
        <v>48</v>
      </c>
      <c r="T86" s="126">
        <f t="shared" si="14"/>
        <v>2972.64</v>
      </c>
      <c r="U86" s="67" t="s">
        <v>263</v>
      </c>
      <c r="V86" s="151" t="e">
        <f>[1]!Tabella1[[#This Row],[Booking Hours]]</f>
        <v>#REF!</v>
      </c>
      <c r="W86" s="60" t="e">
        <f>[1]!Tabella1[[#This Row],[Booking Period]]</f>
        <v>#REF!</v>
      </c>
      <c r="X86" s="70"/>
    </row>
    <row r="87" spans="1:24" ht="15" x14ac:dyDescent="0.25">
      <c r="A87" s="145">
        <v>667100</v>
      </c>
      <c r="B87" s="59" t="s">
        <v>168</v>
      </c>
      <c r="C87" s="59" t="s">
        <v>216</v>
      </c>
      <c r="D87" s="63" t="s">
        <v>28</v>
      </c>
      <c r="E87" s="49" t="s">
        <v>28</v>
      </c>
      <c r="F87" s="59" t="s">
        <v>222</v>
      </c>
      <c r="G87" s="59" t="s">
        <v>225</v>
      </c>
      <c r="H87" s="98">
        <v>57.21</v>
      </c>
      <c r="I87" s="99">
        <v>61.93</v>
      </c>
      <c r="J87" s="83"/>
      <c r="K87" s="83">
        <f t="shared" si="12"/>
        <v>61.93</v>
      </c>
      <c r="L87" s="136">
        <f t="shared" si="13"/>
        <v>174.91666666666666</v>
      </c>
      <c r="M87" s="136">
        <v>2099</v>
      </c>
      <c r="N87" s="100">
        <f t="shared" si="15"/>
        <v>0.13720819437827536</v>
      </c>
      <c r="O87" s="100" t="e">
        <f t="shared" si="16"/>
        <v>#REF!</v>
      </c>
      <c r="P87" s="71"/>
      <c r="Q87" s="66" t="s">
        <v>238</v>
      </c>
      <c r="R87" s="63" t="s">
        <v>262</v>
      </c>
      <c r="S87" s="128">
        <v>288</v>
      </c>
      <c r="T87" s="126">
        <f t="shared" si="14"/>
        <v>17835.84</v>
      </c>
      <c r="U87" s="67" t="s">
        <v>263</v>
      </c>
      <c r="V87" s="151" t="e">
        <f>[1]!Tabella1[[#This Row],[Booking Hours]]</f>
        <v>#REF!</v>
      </c>
      <c r="W87" s="60" t="e">
        <f>[1]!Tabella1[[#This Row],[Booking Period]]</f>
        <v>#REF!</v>
      </c>
      <c r="X87" s="70"/>
    </row>
    <row r="88" spans="1:24" ht="15" x14ac:dyDescent="0.25">
      <c r="A88" s="145">
        <v>667100</v>
      </c>
      <c r="B88" s="59" t="s">
        <v>168</v>
      </c>
      <c r="C88" s="59" t="s">
        <v>216</v>
      </c>
      <c r="D88" s="63" t="s">
        <v>28</v>
      </c>
      <c r="E88" s="49" t="s">
        <v>28</v>
      </c>
      <c r="F88" s="59" t="s">
        <v>222</v>
      </c>
      <c r="G88" s="59" t="s">
        <v>225</v>
      </c>
      <c r="H88" s="98">
        <v>57.21</v>
      </c>
      <c r="I88" s="99">
        <v>61.93</v>
      </c>
      <c r="J88" s="83"/>
      <c r="K88" s="83">
        <f t="shared" si="12"/>
        <v>61.93</v>
      </c>
      <c r="L88" s="136">
        <f t="shared" si="13"/>
        <v>174.91666666666666</v>
      </c>
      <c r="M88" s="136">
        <v>2099</v>
      </c>
      <c r="N88" s="100">
        <f t="shared" si="15"/>
        <v>6.8604097189137681E-2</v>
      </c>
      <c r="O88" s="100" t="e">
        <f t="shared" si="16"/>
        <v>#REF!</v>
      </c>
      <c r="P88" s="71"/>
      <c r="Q88" s="64" t="s">
        <v>230</v>
      </c>
      <c r="R88" s="63" t="s">
        <v>262</v>
      </c>
      <c r="S88" s="128">
        <v>144</v>
      </c>
      <c r="T88" s="126">
        <f t="shared" si="14"/>
        <v>8917.92</v>
      </c>
      <c r="U88" s="67" t="s">
        <v>263</v>
      </c>
      <c r="V88" s="151" t="e">
        <f>[1]!Tabella1[[#This Row],[Booking Hours]]</f>
        <v>#REF!</v>
      </c>
      <c r="W88" s="63" t="e">
        <f>[1]!Tabella1[[#This Row],[Booking Period]]</f>
        <v>#REF!</v>
      </c>
      <c r="X88" s="70"/>
    </row>
    <row r="89" spans="1:24" ht="15" x14ac:dyDescent="0.25">
      <c r="A89" s="145">
        <v>667100</v>
      </c>
      <c r="B89" s="59" t="s">
        <v>168</v>
      </c>
      <c r="C89" s="59" t="s">
        <v>216</v>
      </c>
      <c r="D89" s="63" t="s">
        <v>28</v>
      </c>
      <c r="E89" s="49" t="s">
        <v>28</v>
      </c>
      <c r="F89" s="59" t="s">
        <v>222</v>
      </c>
      <c r="G89" s="59" t="s">
        <v>225</v>
      </c>
      <c r="H89" s="98">
        <v>57.21</v>
      </c>
      <c r="I89" s="99">
        <v>61.93</v>
      </c>
      <c r="J89" s="83"/>
      <c r="K89" s="83">
        <f t="shared" si="12"/>
        <v>61.93</v>
      </c>
      <c r="L89" s="136">
        <f t="shared" si="13"/>
        <v>174.91666666666666</v>
      </c>
      <c r="M89" s="136">
        <v>2099</v>
      </c>
      <c r="N89" s="100">
        <f t="shared" si="15"/>
        <v>6.8604097189137681E-2</v>
      </c>
      <c r="O89" s="100" t="e">
        <f t="shared" si="16"/>
        <v>#REF!</v>
      </c>
      <c r="P89" s="71"/>
      <c r="Q89" s="64" t="s">
        <v>234</v>
      </c>
      <c r="R89" s="63" t="s">
        <v>262</v>
      </c>
      <c r="S89" s="128">
        <v>144</v>
      </c>
      <c r="T89" s="126">
        <f t="shared" si="14"/>
        <v>8917.92</v>
      </c>
      <c r="U89" s="67" t="s">
        <v>265</v>
      </c>
      <c r="V89" s="151" t="e">
        <f>[1]!Tabella1[[#This Row],[Booking Hours]]</f>
        <v>#REF!</v>
      </c>
      <c r="W89" s="60" t="e">
        <f>[1]!Tabella1[[#This Row],[Booking Period]]</f>
        <v>#REF!</v>
      </c>
      <c r="X89" s="70"/>
    </row>
    <row r="90" spans="1:24" ht="15" x14ac:dyDescent="0.25">
      <c r="A90" s="145">
        <v>667100</v>
      </c>
      <c r="B90" s="59" t="s">
        <v>168</v>
      </c>
      <c r="C90" s="59" t="s">
        <v>216</v>
      </c>
      <c r="D90" s="63" t="s">
        <v>28</v>
      </c>
      <c r="E90" s="49" t="s">
        <v>28</v>
      </c>
      <c r="F90" s="59" t="s">
        <v>222</v>
      </c>
      <c r="G90" s="59" t="s">
        <v>225</v>
      </c>
      <c r="H90" s="98">
        <v>57.21</v>
      </c>
      <c r="I90" s="99">
        <v>61.93</v>
      </c>
      <c r="J90" s="83"/>
      <c r="K90" s="83">
        <f t="shared" si="12"/>
        <v>61.93</v>
      </c>
      <c r="L90" s="136">
        <f t="shared" si="13"/>
        <v>174.91666666666666</v>
      </c>
      <c r="M90" s="136">
        <v>2099</v>
      </c>
      <c r="N90" s="100">
        <f t="shared" si="15"/>
        <v>1.715102429728442E-2</v>
      </c>
      <c r="O90" s="100">
        <f t="shared" si="16"/>
        <v>0</v>
      </c>
      <c r="P90" s="71"/>
      <c r="Q90" s="64" t="s">
        <v>235</v>
      </c>
      <c r="R90" s="63" t="s">
        <v>262</v>
      </c>
      <c r="S90" s="128">
        <v>36</v>
      </c>
      <c r="T90" s="126">
        <f t="shared" si="14"/>
        <v>2229.48</v>
      </c>
      <c r="U90" s="67" t="s">
        <v>266</v>
      </c>
      <c r="V90" s="151"/>
      <c r="W90" s="153" t="s">
        <v>260</v>
      </c>
      <c r="X90" s="70"/>
    </row>
    <row r="91" spans="1:24" ht="15" x14ac:dyDescent="0.25">
      <c r="A91" s="145">
        <v>667100</v>
      </c>
      <c r="B91" s="59" t="s">
        <v>168</v>
      </c>
      <c r="C91" s="59" t="s">
        <v>216</v>
      </c>
      <c r="D91" s="63" t="s">
        <v>28</v>
      </c>
      <c r="E91" s="49" t="s">
        <v>28</v>
      </c>
      <c r="F91" s="59" t="s">
        <v>222</v>
      </c>
      <c r="G91" s="59" t="s">
        <v>225</v>
      </c>
      <c r="H91" s="98">
        <v>57.21</v>
      </c>
      <c r="I91" s="99">
        <v>61.93</v>
      </c>
      <c r="J91" s="83"/>
      <c r="K91" s="83">
        <f t="shared" si="12"/>
        <v>61.93</v>
      </c>
      <c r="L91" s="136">
        <f t="shared" si="13"/>
        <v>174.91666666666666</v>
      </c>
      <c r="M91" s="136">
        <v>2099</v>
      </c>
      <c r="N91" s="100">
        <f t="shared" si="15"/>
        <v>6.8604097189137681E-2</v>
      </c>
      <c r="O91" s="100">
        <f t="shared" si="16"/>
        <v>0</v>
      </c>
      <c r="P91" s="71"/>
      <c r="Q91" s="64" t="s">
        <v>232</v>
      </c>
      <c r="R91" s="63" t="s">
        <v>262</v>
      </c>
      <c r="S91" s="128">
        <v>144</v>
      </c>
      <c r="T91" s="126">
        <f t="shared" si="14"/>
        <v>8917.92</v>
      </c>
      <c r="U91" s="67" t="s">
        <v>263</v>
      </c>
      <c r="V91" s="151">
        <v>0</v>
      </c>
      <c r="W91" s="63" t="s">
        <v>264</v>
      </c>
      <c r="X91" s="70"/>
    </row>
    <row r="92" spans="1:24" ht="15" x14ac:dyDescent="0.25">
      <c r="A92" s="145">
        <v>667100</v>
      </c>
      <c r="B92" s="59" t="s">
        <v>168</v>
      </c>
      <c r="C92" s="59" t="s">
        <v>216</v>
      </c>
      <c r="D92" s="63" t="s">
        <v>28</v>
      </c>
      <c r="E92" s="49" t="s">
        <v>28</v>
      </c>
      <c r="F92" s="59" t="s">
        <v>222</v>
      </c>
      <c r="G92" s="59" t="s">
        <v>225</v>
      </c>
      <c r="H92" s="98">
        <v>57.21</v>
      </c>
      <c r="I92" s="99">
        <v>61.93</v>
      </c>
      <c r="J92" s="83"/>
      <c r="K92" s="83">
        <f t="shared" si="12"/>
        <v>61.93</v>
      </c>
      <c r="L92" s="136">
        <f t="shared" si="13"/>
        <v>174.91666666666666</v>
      </c>
      <c r="M92" s="136">
        <v>2099</v>
      </c>
      <c r="N92" s="100">
        <f t="shared" si="15"/>
        <v>6.8604097189137681E-2</v>
      </c>
      <c r="O92" s="100">
        <f t="shared" si="16"/>
        <v>0</v>
      </c>
      <c r="P92" s="71"/>
      <c r="Q92" s="64" t="s">
        <v>233</v>
      </c>
      <c r="R92" s="63" t="s">
        <v>262</v>
      </c>
      <c r="S92" s="128">
        <v>144</v>
      </c>
      <c r="T92" s="126">
        <f t="shared" si="14"/>
        <v>8917.92</v>
      </c>
      <c r="U92" s="67" t="s">
        <v>263</v>
      </c>
      <c r="V92" s="151"/>
      <c r="W92" s="71" t="s">
        <v>100</v>
      </c>
      <c r="X92" s="70"/>
    </row>
    <row r="93" spans="1:24" ht="15" x14ac:dyDescent="0.25">
      <c r="A93" s="145">
        <v>667100</v>
      </c>
      <c r="B93" s="59" t="s">
        <v>168</v>
      </c>
      <c r="C93" s="59" t="s">
        <v>216</v>
      </c>
      <c r="D93" s="63" t="s">
        <v>28</v>
      </c>
      <c r="E93" s="49" t="s">
        <v>28</v>
      </c>
      <c r="F93" s="59" t="s">
        <v>222</v>
      </c>
      <c r="G93" s="59" t="s">
        <v>225</v>
      </c>
      <c r="H93" s="98">
        <v>57.21</v>
      </c>
      <c r="I93" s="99">
        <v>61.93</v>
      </c>
      <c r="J93" s="83"/>
      <c r="K93" s="83">
        <f t="shared" si="12"/>
        <v>61.93</v>
      </c>
      <c r="L93" s="136">
        <f t="shared" si="13"/>
        <v>174.91666666666666</v>
      </c>
      <c r="M93" s="136">
        <v>2099</v>
      </c>
      <c r="N93" s="100">
        <f t="shared" si="15"/>
        <v>2.2868032396379228E-2</v>
      </c>
      <c r="O93" s="100" t="e">
        <f t="shared" si="16"/>
        <v>#REF!</v>
      </c>
      <c r="P93" s="71"/>
      <c r="Q93" s="64" t="s">
        <v>239</v>
      </c>
      <c r="R93" s="63" t="s">
        <v>262</v>
      </c>
      <c r="S93" s="128">
        <v>48</v>
      </c>
      <c r="T93" s="126">
        <f t="shared" si="14"/>
        <v>2972.64</v>
      </c>
      <c r="U93" s="67" t="s">
        <v>263</v>
      </c>
      <c r="V93" s="151" t="e">
        <f>[1]!Tabella1[[#This Row],[Booking Hours]]</f>
        <v>#REF!</v>
      </c>
      <c r="W93" s="60" t="e">
        <f>[1]!Tabella1[[#This Row],[Booking Period]]</f>
        <v>#REF!</v>
      </c>
      <c r="X93" s="70"/>
    </row>
    <row r="94" spans="1:24" ht="15" x14ac:dyDescent="0.25">
      <c r="A94" s="145">
        <v>667100</v>
      </c>
      <c r="B94" s="59" t="s">
        <v>168</v>
      </c>
      <c r="C94" s="59" t="s">
        <v>216</v>
      </c>
      <c r="D94" s="63" t="s">
        <v>28</v>
      </c>
      <c r="E94" s="49" t="s">
        <v>28</v>
      </c>
      <c r="F94" s="59" t="s">
        <v>222</v>
      </c>
      <c r="G94" s="59" t="s">
        <v>225</v>
      </c>
      <c r="H94" s="98">
        <v>57.21</v>
      </c>
      <c r="I94" s="99">
        <v>61.93</v>
      </c>
      <c r="J94" s="83"/>
      <c r="K94" s="83">
        <f t="shared" si="12"/>
        <v>61.93</v>
      </c>
      <c r="L94" s="136">
        <f t="shared" si="13"/>
        <v>174.91666666666666</v>
      </c>
      <c r="M94" s="136">
        <v>2099</v>
      </c>
      <c r="N94" s="100">
        <f t="shared" si="15"/>
        <v>2.2868032396379228E-2</v>
      </c>
      <c r="O94" s="100">
        <f t="shared" si="16"/>
        <v>0</v>
      </c>
      <c r="P94" s="71"/>
      <c r="Q94" s="64" t="s">
        <v>236</v>
      </c>
      <c r="R94" s="63" t="s">
        <v>267</v>
      </c>
      <c r="S94" s="128">
        <v>48</v>
      </c>
      <c r="T94" s="126">
        <f t="shared" si="14"/>
        <v>2972.64</v>
      </c>
      <c r="U94" s="67" t="s">
        <v>263</v>
      </c>
      <c r="V94" s="151">
        <v>0</v>
      </c>
      <c r="W94" s="60" t="s">
        <v>264</v>
      </c>
      <c r="X94" s="70"/>
    </row>
    <row r="95" spans="1:24" ht="15" x14ac:dyDescent="0.25">
      <c r="A95" s="145">
        <v>667100</v>
      </c>
      <c r="B95" s="59" t="s">
        <v>168</v>
      </c>
      <c r="C95" s="59" t="s">
        <v>216</v>
      </c>
      <c r="D95" s="63" t="s">
        <v>28</v>
      </c>
      <c r="E95" s="49" t="s">
        <v>28</v>
      </c>
      <c r="F95" s="59" t="s">
        <v>222</v>
      </c>
      <c r="G95" s="59" t="s">
        <v>225</v>
      </c>
      <c r="H95" s="98">
        <v>57.21</v>
      </c>
      <c r="I95" s="99">
        <v>61.93</v>
      </c>
      <c r="J95" s="83"/>
      <c r="K95" s="83">
        <f t="shared" si="12"/>
        <v>61.93</v>
      </c>
      <c r="L95" s="136">
        <f t="shared" si="13"/>
        <v>174.91666666666666</v>
      </c>
      <c r="M95" s="136">
        <v>2099</v>
      </c>
      <c r="N95" s="100">
        <f t="shared" si="15"/>
        <v>2.2868032396379228E-2</v>
      </c>
      <c r="O95" s="100" t="e">
        <f t="shared" si="16"/>
        <v>#REF!</v>
      </c>
      <c r="P95" s="71"/>
      <c r="Q95" s="64" t="s">
        <v>237</v>
      </c>
      <c r="R95" s="63" t="s">
        <v>267</v>
      </c>
      <c r="S95" s="128">
        <v>48</v>
      </c>
      <c r="T95" s="126">
        <f t="shared" si="14"/>
        <v>2972.64</v>
      </c>
      <c r="U95" s="67" t="s">
        <v>263</v>
      </c>
      <c r="V95" s="151" t="e">
        <f>[1]!Tabella1[[#This Row],[Booking Hours]]</f>
        <v>#REF!</v>
      </c>
      <c r="W95" s="60" t="e">
        <f>[1]!Tabella1[[#This Row],[Booking Period]]</f>
        <v>#REF!</v>
      </c>
      <c r="X95" s="70"/>
    </row>
    <row r="96" spans="1:24" ht="15" x14ac:dyDescent="0.25">
      <c r="A96" s="145">
        <v>667100</v>
      </c>
      <c r="B96" s="59" t="s">
        <v>168</v>
      </c>
      <c r="C96" s="59" t="s">
        <v>216</v>
      </c>
      <c r="D96" s="63" t="s">
        <v>28</v>
      </c>
      <c r="E96" s="49" t="s">
        <v>28</v>
      </c>
      <c r="F96" s="59" t="s">
        <v>222</v>
      </c>
      <c r="G96" s="59" t="s">
        <v>225</v>
      </c>
      <c r="H96" s="98">
        <v>57.21</v>
      </c>
      <c r="I96" s="99">
        <v>61.93</v>
      </c>
      <c r="J96" s="83"/>
      <c r="K96" s="83">
        <f t="shared" si="12"/>
        <v>61.93</v>
      </c>
      <c r="L96" s="136">
        <f t="shared" si="13"/>
        <v>174.91666666666666</v>
      </c>
      <c r="M96" s="136">
        <v>2099</v>
      </c>
      <c r="N96" s="100">
        <f t="shared" si="15"/>
        <v>6.8604097189137681E-2</v>
      </c>
      <c r="O96" s="100" t="e">
        <f t="shared" si="16"/>
        <v>#REF!</v>
      </c>
      <c r="P96" s="71"/>
      <c r="Q96" s="66" t="s">
        <v>238</v>
      </c>
      <c r="R96" s="63" t="s">
        <v>267</v>
      </c>
      <c r="S96" s="128">
        <v>144</v>
      </c>
      <c r="T96" s="126">
        <f t="shared" si="14"/>
        <v>8917.92</v>
      </c>
      <c r="U96" s="67" t="s">
        <v>263</v>
      </c>
      <c r="V96" s="151" t="e">
        <f>[1]!Tabella1[[#This Row],[Booking Hours]]</f>
        <v>#REF!</v>
      </c>
      <c r="W96" s="60" t="e">
        <f>[1]!Tabella1[[#This Row],[Booking Period]]</f>
        <v>#REF!</v>
      </c>
      <c r="X96" s="70"/>
    </row>
    <row r="97" spans="1:24" ht="15" x14ac:dyDescent="0.25">
      <c r="A97" s="145">
        <v>667100</v>
      </c>
      <c r="B97" s="59" t="s">
        <v>168</v>
      </c>
      <c r="C97" s="59" t="s">
        <v>216</v>
      </c>
      <c r="D97" s="63" t="s">
        <v>28</v>
      </c>
      <c r="E97" s="49" t="s">
        <v>28</v>
      </c>
      <c r="F97" s="59" t="s">
        <v>222</v>
      </c>
      <c r="G97" s="59" t="s">
        <v>225</v>
      </c>
      <c r="H97" s="98">
        <v>57.21</v>
      </c>
      <c r="I97" s="99">
        <v>61.93</v>
      </c>
      <c r="J97" s="83"/>
      <c r="K97" s="83">
        <f t="shared" si="12"/>
        <v>61.93</v>
      </c>
      <c r="L97" s="136">
        <f t="shared" si="13"/>
        <v>174.91666666666666</v>
      </c>
      <c r="M97" s="136">
        <v>2099</v>
      </c>
      <c r="N97" s="100">
        <f t="shared" si="15"/>
        <v>6.8604097189137681E-2</v>
      </c>
      <c r="O97" s="100" t="e">
        <f t="shared" si="16"/>
        <v>#REF!</v>
      </c>
      <c r="P97" s="71"/>
      <c r="Q97" s="64" t="s">
        <v>230</v>
      </c>
      <c r="R97" s="63" t="s">
        <v>267</v>
      </c>
      <c r="S97" s="128">
        <v>144</v>
      </c>
      <c r="T97" s="126">
        <f t="shared" si="14"/>
        <v>8917.92</v>
      </c>
      <c r="U97" s="67" t="s">
        <v>263</v>
      </c>
      <c r="V97" s="151" t="e">
        <f>[1]!Tabella1[[#This Row],[Booking Hours]]</f>
        <v>#REF!</v>
      </c>
      <c r="W97" s="63" t="e">
        <f>[1]!Tabella1[[#This Row],[Booking Period]]</f>
        <v>#REF!</v>
      </c>
      <c r="X97" s="70"/>
    </row>
    <row r="98" spans="1:24" ht="15" x14ac:dyDescent="0.25">
      <c r="A98" s="145">
        <v>667100</v>
      </c>
      <c r="B98" s="59" t="s">
        <v>168</v>
      </c>
      <c r="C98" s="59" t="s">
        <v>216</v>
      </c>
      <c r="D98" s="63" t="s">
        <v>28</v>
      </c>
      <c r="E98" s="49" t="s">
        <v>28</v>
      </c>
      <c r="F98" s="59" t="s">
        <v>222</v>
      </c>
      <c r="G98" s="59" t="s">
        <v>225</v>
      </c>
      <c r="H98" s="98">
        <v>57.21</v>
      </c>
      <c r="I98" s="99">
        <v>61.93</v>
      </c>
      <c r="J98" s="83"/>
      <c r="K98" s="83">
        <f t="shared" si="12"/>
        <v>61.93</v>
      </c>
      <c r="L98" s="136">
        <f t="shared" si="13"/>
        <v>174.91666666666666</v>
      </c>
      <c r="M98" s="136">
        <v>2099</v>
      </c>
      <c r="N98" s="100">
        <f t="shared" si="15"/>
        <v>6.8604097189137681E-2</v>
      </c>
      <c r="O98" s="100" t="e">
        <f t="shared" si="16"/>
        <v>#REF!</v>
      </c>
      <c r="P98" s="71"/>
      <c r="Q98" s="64" t="s">
        <v>234</v>
      </c>
      <c r="R98" s="63" t="s">
        <v>267</v>
      </c>
      <c r="S98" s="128">
        <v>144</v>
      </c>
      <c r="T98" s="126">
        <f t="shared" si="14"/>
        <v>8917.92</v>
      </c>
      <c r="U98" s="67" t="s">
        <v>265</v>
      </c>
      <c r="V98" s="151" t="e">
        <f>[1]!Tabella1[[#This Row],[Booking Hours]]</f>
        <v>#REF!</v>
      </c>
      <c r="W98" s="60" t="e">
        <f>[1]!Tabella1[[#This Row],[Booking Period]]</f>
        <v>#REF!</v>
      </c>
      <c r="X98" s="70"/>
    </row>
    <row r="99" spans="1:24" ht="15" x14ac:dyDescent="0.25">
      <c r="A99" s="145">
        <v>667100</v>
      </c>
      <c r="B99" s="59" t="s">
        <v>168</v>
      </c>
      <c r="C99" s="59" t="s">
        <v>216</v>
      </c>
      <c r="D99" s="63" t="s">
        <v>28</v>
      </c>
      <c r="E99" s="49" t="s">
        <v>28</v>
      </c>
      <c r="F99" s="59" t="s">
        <v>222</v>
      </c>
      <c r="G99" s="59" t="s">
        <v>225</v>
      </c>
      <c r="H99" s="98">
        <v>57.21</v>
      </c>
      <c r="I99" s="99">
        <v>61.93</v>
      </c>
      <c r="J99" s="83"/>
      <c r="K99" s="83">
        <f t="shared" si="12"/>
        <v>61.93</v>
      </c>
      <c r="L99" s="136">
        <f t="shared" si="13"/>
        <v>174.91666666666666</v>
      </c>
      <c r="M99" s="136">
        <v>2099</v>
      </c>
      <c r="N99" s="100">
        <f t="shared" si="15"/>
        <v>1.715102429728442E-2</v>
      </c>
      <c r="O99" s="100">
        <f t="shared" si="16"/>
        <v>0</v>
      </c>
      <c r="P99" s="71"/>
      <c r="Q99" s="64" t="s">
        <v>235</v>
      </c>
      <c r="R99" s="63" t="s">
        <v>267</v>
      </c>
      <c r="S99" s="128">
        <v>36</v>
      </c>
      <c r="T99" s="126">
        <f t="shared" si="14"/>
        <v>2229.48</v>
      </c>
      <c r="U99" s="67" t="s">
        <v>266</v>
      </c>
      <c r="V99" s="151"/>
      <c r="W99" s="153" t="s">
        <v>260</v>
      </c>
      <c r="X99" s="70"/>
    </row>
    <row r="100" spans="1:24" ht="15" x14ac:dyDescent="0.25">
      <c r="A100" s="145">
        <v>667100</v>
      </c>
      <c r="B100" s="59" t="s">
        <v>168</v>
      </c>
      <c r="C100" s="59" t="s">
        <v>216</v>
      </c>
      <c r="D100" s="63" t="s">
        <v>28</v>
      </c>
      <c r="E100" s="49" t="s">
        <v>28</v>
      </c>
      <c r="F100" s="59" t="s">
        <v>222</v>
      </c>
      <c r="G100" s="59" t="s">
        <v>225</v>
      </c>
      <c r="H100" s="98">
        <v>57.21</v>
      </c>
      <c r="I100" s="99">
        <v>61.93</v>
      </c>
      <c r="J100" s="83"/>
      <c r="K100" s="83">
        <f t="shared" si="12"/>
        <v>61.93</v>
      </c>
      <c r="L100" s="136">
        <f t="shared" si="13"/>
        <v>174.91666666666666</v>
      </c>
      <c r="M100" s="136">
        <v>2099</v>
      </c>
      <c r="N100" s="100">
        <f t="shared" si="15"/>
        <v>6.8604097189137681E-2</v>
      </c>
      <c r="O100" s="100">
        <f t="shared" si="16"/>
        <v>0</v>
      </c>
      <c r="P100" s="71"/>
      <c r="Q100" s="64" t="s">
        <v>232</v>
      </c>
      <c r="R100" s="63" t="s">
        <v>267</v>
      </c>
      <c r="S100" s="128">
        <v>144</v>
      </c>
      <c r="T100" s="126">
        <f t="shared" si="14"/>
        <v>8917.92</v>
      </c>
      <c r="U100" s="67" t="s">
        <v>263</v>
      </c>
      <c r="V100" s="151">
        <v>0</v>
      </c>
      <c r="W100" s="63" t="s">
        <v>264</v>
      </c>
      <c r="X100" s="70"/>
    </row>
    <row r="101" spans="1:24" ht="15" x14ac:dyDescent="0.25">
      <c r="A101" s="145">
        <v>667100</v>
      </c>
      <c r="B101" s="59" t="s">
        <v>168</v>
      </c>
      <c r="C101" s="59" t="s">
        <v>216</v>
      </c>
      <c r="D101" s="63" t="s">
        <v>28</v>
      </c>
      <c r="E101" s="49" t="s">
        <v>28</v>
      </c>
      <c r="F101" s="59" t="s">
        <v>222</v>
      </c>
      <c r="G101" s="59" t="s">
        <v>225</v>
      </c>
      <c r="H101" s="98">
        <v>57.21</v>
      </c>
      <c r="I101" s="99">
        <v>61.93</v>
      </c>
      <c r="J101" s="83"/>
      <c r="K101" s="83">
        <f t="shared" si="12"/>
        <v>61.93</v>
      </c>
      <c r="L101" s="136">
        <f t="shared" si="13"/>
        <v>174.91666666666666</v>
      </c>
      <c r="M101" s="136">
        <v>2099</v>
      </c>
      <c r="N101" s="100">
        <f t="shared" si="15"/>
        <v>6.8604097189137681E-2</v>
      </c>
      <c r="O101" s="100">
        <f t="shared" si="16"/>
        <v>0</v>
      </c>
      <c r="P101" s="71"/>
      <c r="Q101" s="64" t="s">
        <v>233</v>
      </c>
      <c r="R101" s="63" t="s">
        <v>267</v>
      </c>
      <c r="S101" s="128">
        <v>144</v>
      </c>
      <c r="T101" s="126">
        <f t="shared" si="14"/>
        <v>8917.92</v>
      </c>
      <c r="U101" s="67" t="s">
        <v>263</v>
      </c>
      <c r="V101" s="151"/>
      <c r="W101" s="71" t="s">
        <v>100</v>
      </c>
      <c r="X101" s="70"/>
    </row>
    <row r="102" spans="1:24" ht="15" x14ac:dyDescent="0.25">
      <c r="A102" s="145">
        <v>667100</v>
      </c>
      <c r="B102" s="59" t="s">
        <v>168</v>
      </c>
      <c r="C102" s="59" t="s">
        <v>216</v>
      </c>
      <c r="D102" s="63" t="s">
        <v>28</v>
      </c>
      <c r="E102" s="49" t="s">
        <v>28</v>
      </c>
      <c r="F102" s="59" t="s">
        <v>222</v>
      </c>
      <c r="G102" s="59" t="s">
        <v>225</v>
      </c>
      <c r="H102" s="98">
        <v>57.21</v>
      </c>
      <c r="I102" s="99">
        <v>61.93</v>
      </c>
      <c r="J102" s="83"/>
      <c r="K102" s="83">
        <f t="shared" si="12"/>
        <v>61.93</v>
      </c>
      <c r="L102" s="136">
        <f t="shared" si="13"/>
        <v>174.91666666666666</v>
      </c>
      <c r="M102" s="136">
        <v>2099</v>
      </c>
      <c r="N102" s="100">
        <f t="shared" si="15"/>
        <v>2.2868032396379228E-2</v>
      </c>
      <c r="O102" s="100" t="e">
        <f t="shared" si="16"/>
        <v>#REF!</v>
      </c>
      <c r="P102" s="71"/>
      <c r="Q102" s="64" t="s">
        <v>239</v>
      </c>
      <c r="R102" s="63" t="s">
        <v>267</v>
      </c>
      <c r="S102" s="128">
        <v>48</v>
      </c>
      <c r="T102" s="126">
        <f t="shared" si="14"/>
        <v>2972.64</v>
      </c>
      <c r="U102" s="67" t="s">
        <v>263</v>
      </c>
      <c r="V102" s="151" t="e">
        <f>[1]!Tabella1[[#This Row],[Booking Hours]]</f>
        <v>#REF!</v>
      </c>
      <c r="W102" s="60" t="e">
        <f>[1]!Tabella1[[#This Row],[Booking Period]]</f>
        <v>#REF!</v>
      </c>
      <c r="X102" s="70"/>
    </row>
    <row r="103" spans="1:24" ht="15" x14ac:dyDescent="0.25">
      <c r="A103" s="145" t="s">
        <v>152</v>
      </c>
      <c r="B103" s="59" t="s">
        <v>169</v>
      </c>
      <c r="C103" s="62" t="s">
        <v>215</v>
      </c>
      <c r="D103" s="67" t="s">
        <v>28</v>
      </c>
      <c r="E103" s="49" t="s">
        <v>28</v>
      </c>
      <c r="F103" s="59" t="s">
        <v>221</v>
      </c>
      <c r="G103" s="59" t="s">
        <v>224</v>
      </c>
      <c r="H103" s="98"/>
      <c r="I103" s="99"/>
      <c r="J103" s="83">
        <v>6.666666666666667</v>
      </c>
      <c r="K103" s="99">
        <f t="shared" ref="K103:K127" si="17">J103</f>
        <v>6.666666666666667</v>
      </c>
      <c r="L103" s="136">
        <f t="shared" ref="L103:L127" si="18">(60*4)</f>
        <v>240</v>
      </c>
      <c r="M103" s="136">
        <f t="shared" ref="M103:M127" si="19">L103*12</f>
        <v>2880</v>
      </c>
      <c r="N103" s="100">
        <f t="shared" si="15"/>
        <v>1.6666666666666666E-2</v>
      </c>
      <c r="O103" s="100">
        <f t="shared" si="16"/>
        <v>0</v>
      </c>
      <c r="P103" s="71"/>
      <c r="Q103" s="64" t="s">
        <v>236</v>
      </c>
      <c r="R103" s="63" t="s">
        <v>262</v>
      </c>
      <c r="S103" s="128">
        <v>48</v>
      </c>
      <c r="T103" s="126">
        <f t="shared" si="14"/>
        <v>0</v>
      </c>
      <c r="U103" s="63" t="s">
        <v>263</v>
      </c>
      <c r="V103" s="151">
        <v>0</v>
      </c>
      <c r="W103" s="60" t="s">
        <v>264</v>
      </c>
      <c r="X103" s="70"/>
    </row>
    <row r="104" spans="1:24" ht="15" x14ac:dyDescent="0.25">
      <c r="A104" s="145" t="s">
        <v>152</v>
      </c>
      <c r="B104" s="59" t="s">
        <v>169</v>
      </c>
      <c r="C104" s="62" t="s">
        <v>215</v>
      </c>
      <c r="D104" s="67" t="s">
        <v>28</v>
      </c>
      <c r="E104" s="49" t="s">
        <v>28</v>
      </c>
      <c r="F104" s="59" t="s">
        <v>221</v>
      </c>
      <c r="G104" s="59" t="s">
        <v>224</v>
      </c>
      <c r="H104" s="98"/>
      <c r="I104" s="99"/>
      <c r="J104" s="83">
        <v>6.666666666666667</v>
      </c>
      <c r="K104" s="99">
        <f t="shared" si="17"/>
        <v>6.666666666666667</v>
      </c>
      <c r="L104" s="136">
        <f t="shared" si="18"/>
        <v>240</v>
      </c>
      <c r="M104" s="136">
        <f t="shared" si="19"/>
        <v>2880</v>
      </c>
      <c r="N104" s="100">
        <f t="shared" si="15"/>
        <v>1.6666666666666666E-2</v>
      </c>
      <c r="O104" s="100" t="e">
        <f t="shared" si="16"/>
        <v>#REF!</v>
      </c>
      <c r="P104" s="71"/>
      <c r="Q104" s="64" t="s">
        <v>237</v>
      </c>
      <c r="R104" s="63" t="s">
        <v>262</v>
      </c>
      <c r="S104" s="128">
        <v>48</v>
      </c>
      <c r="T104" s="126">
        <f t="shared" si="14"/>
        <v>0</v>
      </c>
      <c r="U104" s="63" t="s">
        <v>263</v>
      </c>
      <c r="V104" s="151" t="e">
        <f>[1]!Tabella1[[#This Row],[Booking Hours]]</f>
        <v>#REF!</v>
      </c>
      <c r="W104" s="60" t="e">
        <f>[1]!Tabella1[[#This Row],[Booking Period]]</f>
        <v>#REF!</v>
      </c>
      <c r="X104" s="70"/>
    </row>
    <row r="105" spans="1:24" ht="15" x14ac:dyDescent="0.25">
      <c r="A105" s="145" t="s">
        <v>152</v>
      </c>
      <c r="B105" s="59" t="s">
        <v>169</v>
      </c>
      <c r="C105" s="62" t="s">
        <v>215</v>
      </c>
      <c r="D105" s="67" t="s">
        <v>28</v>
      </c>
      <c r="E105" s="49" t="s">
        <v>28</v>
      </c>
      <c r="F105" s="59" t="s">
        <v>221</v>
      </c>
      <c r="G105" s="59" t="s">
        <v>224</v>
      </c>
      <c r="H105" s="98"/>
      <c r="I105" s="99"/>
      <c r="J105" s="83">
        <v>6.666666666666667</v>
      </c>
      <c r="K105" s="99">
        <f t="shared" si="17"/>
        <v>6.666666666666667</v>
      </c>
      <c r="L105" s="136">
        <f t="shared" si="18"/>
        <v>240</v>
      </c>
      <c r="M105" s="136">
        <f t="shared" si="19"/>
        <v>2880</v>
      </c>
      <c r="N105" s="100">
        <f t="shared" si="15"/>
        <v>0.05</v>
      </c>
      <c r="O105" s="100" t="e">
        <f t="shared" si="16"/>
        <v>#REF!</v>
      </c>
      <c r="P105" s="71"/>
      <c r="Q105" s="66" t="s">
        <v>238</v>
      </c>
      <c r="R105" s="63" t="s">
        <v>262</v>
      </c>
      <c r="S105" s="128">
        <v>144</v>
      </c>
      <c r="T105" s="126">
        <f t="shared" si="14"/>
        <v>0</v>
      </c>
      <c r="U105" s="63" t="s">
        <v>263</v>
      </c>
      <c r="V105" s="151" t="e">
        <f>[1]!Tabella1[[#This Row],[Booking Hours]]</f>
        <v>#REF!</v>
      </c>
      <c r="W105" s="60" t="e">
        <f>[1]!Tabella1[[#This Row],[Booking Period]]</f>
        <v>#REF!</v>
      </c>
      <c r="X105" s="70"/>
    </row>
    <row r="106" spans="1:24" ht="15" x14ac:dyDescent="0.25">
      <c r="A106" s="145" t="s">
        <v>152</v>
      </c>
      <c r="B106" s="59" t="s">
        <v>169</v>
      </c>
      <c r="C106" s="62" t="s">
        <v>215</v>
      </c>
      <c r="D106" s="67" t="s">
        <v>28</v>
      </c>
      <c r="E106" s="49" t="s">
        <v>28</v>
      </c>
      <c r="F106" s="59" t="s">
        <v>221</v>
      </c>
      <c r="G106" s="59" t="s">
        <v>224</v>
      </c>
      <c r="H106" s="98"/>
      <c r="I106" s="99"/>
      <c r="J106" s="83">
        <v>6.666666666666667</v>
      </c>
      <c r="K106" s="99">
        <f t="shared" si="17"/>
        <v>6.666666666666667</v>
      </c>
      <c r="L106" s="136">
        <f t="shared" si="18"/>
        <v>240</v>
      </c>
      <c r="M106" s="136">
        <f t="shared" si="19"/>
        <v>2880</v>
      </c>
      <c r="N106" s="100">
        <f t="shared" si="15"/>
        <v>0.05</v>
      </c>
      <c r="O106" s="100" t="e">
        <f t="shared" si="16"/>
        <v>#REF!</v>
      </c>
      <c r="P106" s="71"/>
      <c r="Q106" s="64" t="s">
        <v>230</v>
      </c>
      <c r="R106" s="63" t="s">
        <v>262</v>
      </c>
      <c r="S106" s="128">
        <v>144</v>
      </c>
      <c r="T106" s="126">
        <f t="shared" si="14"/>
        <v>0</v>
      </c>
      <c r="U106" s="63" t="s">
        <v>263</v>
      </c>
      <c r="V106" s="151" t="e">
        <f>[1]!Tabella1[[#This Row],[Booking Hours]]</f>
        <v>#REF!</v>
      </c>
      <c r="W106" s="63" t="e">
        <f>[1]!Tabella1[[#This Row],[Booking Period]]</f>
        <v>#REF!</v>
      </c>
      <c r="X106" s="70"/>
    </row>
    <row r="107" spans="1:24" ht="15" x14ac:dyDescent="0.25">
      <c r="A107" s="145" t="s">
        <v>152</v>
      </c>
      <c r="B107" s="59" t="s">
        <v>169</v>
      </c>
      <c r="C107" s="62" t="s">
        <v>215</v>
      </c>
      <c r="D107" s="67" t="s">
        <v>28</v>
      </c>
      <c r="E107" s="49" t="s">
        <v>28</v>
      </c>
      <c r="F107" s="59" t="s">
        <v>221</v>
      </c>
      <c r="G107" s="59" t="s">
        <v>224</v>
      </c>
      <c r="H107" s="98"/>
      <c r="I107" s="99"/>
      <c r="J107" s="83">
        <v>6.666666666666667</v>
      </c>
      <c r="K107" s="99">
        <f t="shared" si="17"/>
        <v>6.666666666666667</v>
      </c>
      <c r="L107" s="136">
        <f t="shared" si="18"/>
        <v>240</v>
      </c>
      <c r="M107" s="136">
        <f t="shared" si="19"/>
        <v>2880</v>
      </c>
      <c r="N107" s="100">
        <f t="shared" si="15"/>
        <v>0.05</v>
      </c>
      <c r="O107" s="100" t="e">
        <f t="shared" si="16"/>
        <v>#REF!</v>
      </c>
      <c r="P107" s="71"/>
      <c r="Q107" s="64" t="s">
        <v>234</v>
      </c>
      <c r="R107" s="63" t="s">
        <v>262</v>
      </c>
      <c r="S107" s="128">
        <v>144</v>
      </c>
      <c r="T107" s="126">
        <f t="shared" si="14"/>
        <v>0</v>
      </c>
      <c r="U107" s="63" t="s">
        <v>265</v>
      </c>
      <c r="V107" s="151" t="e">
        <f>[1]!Tabella1[[#This Row],[Booking Hours]]</f>
        <v>#REF!</v>
      </c>
      <c r="W107" s="60" t="e">
        <f>[1]!Tabella1[[#This Row],[Booking Period]]</f>
        <v>#REF!</v>
      </c>
      <c r="X107" s="70"/>
    </row>
    <row r="108" spans="1:24" ht="15" x14ac:dyDescent="0.25">
      <c r="A108" s="145" t="s">
        <v>152</v>
      </c>
      <c r="B108" s="59" t="s">
        <v>169</v>
      </c>
      <c r="C108" s="62" t="s">
        <v>215</v>
      </c>
      <c r="D108" s="67" t="s">
        <v>28</v>
      </c>
      <c r="E108" s="49" t="s">
        <v>28</v>
      </c>
      <c r="F108" s="59" t="s">
        <v>221</v>
      </c>
      <c r="G108" s="59" t="s">
        <v>224</v>
      </c>
      <c r="H108" s="98"/>
      <c r="I108" s="99"/>
      <c r="J108" s="83">
        <v>6.666666666666667</v>
      </c>
      <c r="K108" s="99">
        <f t="shared" si="17"/>
        <v>6.666666666666667</v>
      </c>
      <c r="L108" s="136">
        <f t="shared" si="18"/>
        <v>240</v>
      </c>
      <c r="M108" s="136">
        <f t="shared" si="19"/>
        <v>2880</v>
      </c>
      <c r="N108" s="100">
        <f t="shared" si="15"/>
        <v>1.2500000000000001E-2</v>
      </c>
      <c r="O108" s="100">
        <f t="shared" si="16"/>
        <v>0</v>
      </c>
      <c r="P108" s="71"/>
      <c r="Q108" s="64" t="s">
        <v>235</v>
      </c>
      <c r="R108" s="63" t="s">
        <v>262</v>
      </c>
      <c r="S108" s="128">
        <v>36</v>
      </c>
      <c r="T108" s="126">
        <f t="shared" si="14"/>
        <v>0</v>
      </c>
      <c r="U108" s="63" t="s">
        <v>266</v>
      </c>
      <c r="V108" s="151"/>
      <c r="W108" s="153" t="s">
        <v>260</v>
      </c>
      <c r="X108" s="70"/>
    </row>
    <row r="109" spans="1:24" ht="15" x14ac:dyDescent="0.25">
      <c r="A109" s="145" t="s">
        <v>152</v>
      </c>
      <c r="B109" s="59" t="s">
        <v>169</v>
      </c>
      <c r="C109" s="62" t="s">
        <v>215</v>
      </c>
      <c r="D109" s="67" t="s">
        <v>28</v>
      </c>
      <c r="E109" s="49" t="s">
        <v>28</v>
      </c>
      <c r="F109" s="59" t="s">
        <v>221</v>
      </c>
      <c r="G109" s="59" t="s">
        <v>224</v>
      </c>
      <c r="H109" s="98"/>
      <c r="I109" s="99"/>
      <c r="J109" s="83">
        <v>6.666666666666667</v>
      </c>
      <c r="K109" s="99">
        <f t="shared" si="17"/>
        <v>6.666666666666667</v>
      </c>
      <c r="L109" s="136">
        <f t="shared" si="18"/>
        <v>240</v>
      </c>
      <c r="M109" s="136">
        <f t="shared" si="19"/>
        <v>2880</v>
      </c>
      <c r="N109" s="100">
        <f t="shared" si="15"/>
        <v>0.05</v>
      </c>
      <c r="O109" s="100">
        <f t="shared" si="16"/>
        <v>0</v>
      </c>
      <c r="P109" s="71"/>
      <c r="Q109" s="64" t="s">
        <v>232</v>
      </c>
      <c r="R109" s="63" t="s">
        <v>262</v>
      </c>
      <c r="S109" s="128">
        <v>144</v>
      </c>
      <c r="T109" s="126">
        <f t="shared" si="14"/>
        <v>0</v>
      </c>
      <c r="U109" s="63" t="s">
        <v>263</v>
      </c>
      <c r="V109" s="151">
        <v>0</v>
      </c>
      <c r="W109" s="63" t="s">
        <v>264</v>
      </c>
      <c r="X109" s="70"/>
    </row>
    <row r="110" spans="1:24" ht="15" x14ac:dyDescent="0.25">
      <c r="A110" s="145" t="s">
        <v>152</v>
      </c>
      <c r="B110" s="59" t="s">
        <v>169</v>
      </c>
      <c r="C110" s="62" t="s">
        <v>215</v>
      </c>
      <c r="D110" s="67" t="s">
        <v>28</v>
      </c>
      <c r="E110" s="49" t="s">
        <v>28</v>
      </c>
      <c r="F110" s="59" t="s">
        <v>221</v>
      </c>
      <c r="G110" s="59" t="s">
        <v>224</v>
      </c>
      <c r="H110" s="98"/>
      <c r="I110" s="99"/>
      <c r="J110" s="83">
        <v>6.666666666666667</v>
      </c>
      <c r="K110" s="99">
        <f t="shared" si="17"/>
        <v>6.666666666666667</v>
      </c>
      <c r="L110" s="136">
        <f t="shared" si="18"/>
        <v>240</v>
      </c>
      <c r="M110" s="136">
        <f t="shared" si="19"/>
        <v>2880</v>
      </c>
      <c r="N110" s="100">
        <f t="shared" si="15"/>
        <v>0.1</v>
      </c>
      <c r="O110" s="100">
        <f t="shared" si="16"/>
        <v>0</v>
      </c>
      <c r="P110" s="71"/>
      <c r="Q110" s="64" t="s">
        <v>233</v>
      </c>
      <c r="R110" s="63" t="s">
        <v>262</v>
      </c>
      <c r="S110" s="128">
        <v>288</v>
      </c>
      <c r="T110" s="126">
        <f t="shared" si="14"/>
        <v>0</v>
      </c>
      <c r="U110" s="63" t="s">
        <v>263</v>
      </c>
      <c r="V110" s="151"/>
      <c r="W110" s="71" t="s">
        <v>100</v>
      </c>
      <c r="X110" s="70"/>
    </row>
    <row r="111" spans="1:24" ht="15" x14ac:dyDescent="0.25">
      <c r="A111" s="145" t="s">
        <v>152</v>
      </c>
      <c r="B111" s="59" t="s">
        <v>169</v>
      </c>
      <c r="C111" s="62" t="s">
        <v>215</v>
      </c>
      <c r="D111" s="67" t="s">
        <v>28</v>
      </c>
      <c r="E111" s="49" t="s">
        <v>28</v>
      </c>
      <c r="F111" s="59" t="s">
        <v>221</v>
      </c>
      <c r="G111" s="59" t="s">
        <v>224</v>
      </c>
      <c r="H111" s="98"/>
      <c r="I111" s="99"/>
      <c r="J111" s="83">
        <v>6.666666666666667</v>
      </c>
      <c r="K111" s="99">
        <f t="shared" si="17"/>
        <v>6.666666666666667</v>
      </c>
      <c r="L111" s="136">
        <f t="shared" si="18"/>
        <v>240</v>
      </c>
      <c r="M111" s="136">
        <f t="shared" si="19"/>
        <v>2880</v>
      </c>
      <c r="N111" s="100">
        <f t="shared" si="15"/>
        <v>1.6666666666666666E-2</v>
      </c>
      <c r="O111" s="100" t="e">
        <f t="shared" si="16"/>
        <v>#REF!</v>
      </c>
      <c r="P111" s="71"/>
      <c r="Q111" s="64" t="s">
        <v>239</v>
      </c>
      <c r="R111" s="63" t="s">
        <v>262</v>
      </c>
      <c r="S111" s="128">
        <v>48</v>
      </c>
      <c r="T111" s="126">
        <f t="shared" si="14"/>
        <v>0</v>
      </c>
      <c r="U111" s="63" t="s">
        <v>263</v>
      </c>
      <c r="V111" s="151" t="e">
        <f>[1]!Tabella1[[#This Row],[Booking Hours]]</f>
        <v>#REF!</v>
      </c>
      <c r="W111" s="60" t="e">
        <f>[1]!Tabella1[[#This Row],[Booking Period]]</f>
        <v>#REF!</v>
      </c>
      <c r="X111" s="70"/>
    </row>
    <row r="112" spans="1:24" ht="15" x14ac:dyDescent="0.25">
      <c r="A112" s="145" t="s">
        <v>152</v>
      </c>
      <c r="B112" s="59" t="s">
        <v>169</v>
      </c>
      <c r="C112" s="62" t="s">
        <v>215</v>
      </c>
      <c r="D112" s="67" t="s">
        <v>28</v>
      </c>
      <c r="E112" s="49" t="s">
        <v>28</v>
      </c>
      <c r="F112" s="59" t="s">
        <v>221</v>
      </c>
      <c r="G112" s="59" t="s">
        <v>224</v>
      </c>
      <c r="H112" s="98"/>
      <c r="I112" s="99"/>
      <c r="J112" s="83">
        <v>6.666666666666667</v>
      </c>
      <c r="K112" s="99">
        <f t="shared" si="17"/>
        <v>6.666666666666667</v>
      </c>
      <c r="L112" s="136">
        <f t="shared" si="18"/>
        <v>240</v>
      </c>
      <c r="M112" s="136">
        <f t="shared" si="19"/>
        <v>2880</v>
      </c>
      <c r="N112" s="100">
        <f t="shared" si="15"/>
        <v>1.6666666666666666E-2</v>
      </c>
      <c r="O112" s="100">
        <f t="shared" si="16"/>
        <v>0</v>
      </c>
      <c r="P112" s="71"/>
      <c r="Q112" s="64" t="s">
        <v>236</v>
      </c>
      <c r="R112" s="63" t="s">
        <v>267</v>
      </c>
      <c r="S112" s="128">
        <v>48</v>
      </c>
      <c r="T112" s="126">
        <f t="shared" si="14"/>
        <v>0</v>
      </c>
      <c r="U112" s="63" t="s">
        <v>263</v>
      </c>
      <c r="V112" s="151">
        <v>0</v>
      </c>
      <c r="W112" s="60" t="s">
        <v>264</v>
      </c>
      <c r="X112" s="70"/>
    </row>
    <row r="113" spans="1:24" ht="15" x14ac:dyDescent="0.25">
      <c r="A113" s="145" t="s">
        <v>152</v>
      </c>
      <c r="B113" s="59" t="s">
        <v>169</v>
      </c>
      <c r="C113" s="62" t="s">
        <v>215</v>
      </c>
      <c r="D113" s="67" t="s">
        <v>28</v>
      </c>
      <c r="E113" s="49" t="s">
        <v>28</v>
      </c>
      <c r="F113" s="59" t="s">
        <v>221</v>
      </c>
      <c r="G113" s="59" t="s">
        <v>224</v>
      </c>
      <c r="H113" s="98"/>
      <c r="I113" s="99"/>
      <c r="J113" s="83">
        <v>6.666666666666667</v>
      </c>
      <c r="K113" s="99">
        <f t="shared" si="17"/>
        <v>6.666666666666667</v>
      </c>
      <c r="L113" s="136">
        <f t="shared" si="18"/>
        <v>240</v>
      </c>
      <c r="M113" s="136">
        <f t="shared" si="19"/>
        <v>2880</v>
      </c>
      <c r="N113" s="100">
        <f t="shared" si="15"/>
        <v>1.6666666666666666E-2</v>
      </c>
      <c r="O113" s="100" t="e">
        <f t="shared" si="16"/>
        <v>#REF!</v>
      </c>
      <c r="P113" s="71"/>
      <c r="Q113" s="64" t="s">
        <v>237</v>
      </c>
      <c r="R113" s="63" t="s">
        <v>267</v>
      </c>
      <c r="S113" s="128">
        <v>48</v>
      </c>
      <c r="T113" s="126">
        <f t="shared" si="14"/>
        <v>0</v>
      </c>
      <c r="U113" s="63" t="s">
        <v>263</v>
      </c>
      <c r="V113" s="151" t="e">
        <f>[1]!Tabella1[[#This Row],[Booking Hours]]</f>
        <v>#REF!</v>
      </c>
      <c r="W113" s="60" t="e">
        <f>[1]!Tabella1[[#This Row],[Booking Period]]</f>
        <v>#REF!</v>
      </c>
      <c r="X113" s="70"/>
    </row>
    <row r="114" spans="1:24" ht="15" x14ac:dyDescent="0.25">
      <c r="A114" s="145" t="s">
        <v>152</v>
      </c>
      <c r="B114" s="59" t="s">
        <v>169</v>
      </c>
      <c r="C114" s="62" t="s">
        <v>215</v>
      </c>
      <c r="D114" s="67" t="s">
        <v>28</v>
      </c>
      <c r="E114" s="49" t="s">
        <v>28</v>
      </c>
      <c r="F114" s="59" t="s">
        <v>221</v>
      </c>
      <c r="G114" s="59" t="s">
        <v>224</v>
      </c>
      <c r="H114" s="98"/>
      <c r="I114" s="99"/>
      <c r="J114" s="83">
        <v>6.666666666666667</v>
      </c>
      <c r="K114" s="99">
        <f t="shared" si="17"/>
        <v>6.666666666666667</v>
      </c>
      <c r="L114" s="136">
        <f t="shared" si="18"/>
        <v>240</v>
      </c>
      <c r="M114" s="136">
        <f t="shared" si="19"/>
        <v>2880</v>
      </c>
      <c r="N114" s="100">
        <f t="shared" si="15"/>
        <v>0.05</v>
      </c>
      <c r="O114" s="100" t="e">
        <f t="shared" si="16"/>
        <v>#REF!</v>
      </c>
      <c r="P114" s="71"/>
      <c r="Q114" s="66" t="s">
        <v>238</v>
      </c>
      <c r="R114" s="63" t="s">
        <v>267</v>
      </c>
      <c r="S114" s="128">
        <v>144</v>
      </c>
      <c r="T114" s="126">
        <f t="shared" si="14"/>
        <v>0</v>
      </c>
      <c r="U114" s="63" t="s">
        <v>263</v>
      </c>
      <c r="V114" s="151" t="e">
        <f>[1]!Tabella1[[#This Row],[Booking Hours]]</f>
        <v>#REF!</v>
      </c>
      <c r="W114" s="60" t="e">
        <f>[1]!Tabella1[[#This Row],[Booking Period]]</f>
        <v>#REF!</v>
      </c>
      <c r="X114" s="70"/>
    </row>
    <row r="115" spans="1:24" ht="15" x14ac:dyDescent="0.25">
      <c r="A115" s="145" t="s">
        <v>152</v>
      </c>
      <c r="B115" s="59" t="s">
        <v>169</v>
      </c>
      <c r="C115" s="62" t="s">
        <v>215</v>
      </c>
      <c r="D115" s="67" t="s">
        <v>28</v>
      </c>
      <c r="E115" s="49" t="s">
        <v>28</v>
      </c>
      <c r="F115" s="59" t="s">
        <v>221</v>
      </c>
      <c r="G115" s="59" t="s">
        <v>224</v>
      </c>
      <c r="H115" s="98"/>
      <c r="I115" s="99"/>
      <c r="J115" s="83">
        <v>6.666666666666667</v>
      </c>
      <c r="K115" s="99">
        <f t="shared" si="17"/>
        <v>6.666666666666667</v>
      </c>
      <c r="L115" s="136">
        <f t="shared" si="18"/>
        <v>240</v>
      </c>
      <c r="M115" s="136">
        <f t="shared" si="19"/>
        <v>2880</v>
      </c>
      <c r="N115" s="100">
        <f t="shared" si="15"/>
        <v>0.05</v>
      </c>
      <c r="O115" s="100" t="e">
        <f t="shared" si="16"/>
        <v>#REF!</v>
      </c>
      <c r="P115" s="71"/>
      <c r="Q115" s="64" t="s">
        <v>230</v>
      </c>
      <c r="R115" s="63" t="s">
        <v>267</v>
      </c>
      <c r="S115" s="128">
        <v>144</v>
      </c>
      <c r="T115" s="126">
        <f t="shared" si="14"/>
        <v>0</v>
      </c>
      <c r="U115" s="63" t="s">
        <v>263</v>
      </c>
      <c r="V115" s="151" t="e">
        <f>[1]!Tabella1[[#This Row],[Booking Hours]]</f>
        <v>#REF!</v>
      </c>
      <c r="W115" s="63" t="e">
        <f>[1]!Tabella1[[#This Row],[Booking Period]]</f>
        <v>#REF!</v>
      </c>
      <c r="X115" s="70"/>
    </row>
    <row r="116" spans="1:24" ht="15" x14ac:dyDescent="0.25">
      <c r="A116" s="145" t="s">
        <v>152</v>
      </c>
      <c r="B116" s="59" t="s">
        <v>169</v>
      </c>
      <c r="C116" s="62" t="s">
        <v>215</v>
      </c>
      <c r="D116" s="67" t="s">
        <v>28</v>
      </c>
      <c r="E116" s="49" t="s">
        <v>28</v>
      </c>
      <c r="F116" s="59" t="s">
        <v>221</v>
      </c>
      <c r="G116" s="59" t="s">
        <v>224</v>
      </c>
      <c r="H116" s="98"/>
      <c r="I116" s="99"/>
      <c r="J116" s="83">
        <v>6.666666666666667</v>
      </c>
      <c r="K116" s="99">
        <f t="shared" si="17"/>
        <v>6.666666666666667</v>
      </c>
      <c r="L116" s="136">
        <f t="shared" si="18"/>
        <v>240</v>
      </c>
      <c r="M116" s="136">
        <f t="shared" si="19"/>
        <v>2880</v>
      </c>
      <c r="N116" s="100">
        <f t="shared" si="15"/>
        <v>0.05</v>
      </c>
      <c r="O116" s="100" t="e">
        <f t="shared" si="16"/>
        <v>#REF!</v>
      </c>
      <c r="P116" s="71"/>
      <c r="Q116" s="64" t="s">
        <v>234</v>
      </c>
      <c r="R116" s="63" t="s">
        <v>267</v>
      </c>
      <c r="S116" s="128">
        <v>144</v>
      </c>
      <c r="T116" s="126">
        <f t="shared" si="14"/>
        <v>0</v>
      </c>
      <c r="U116" s="63" t="s">
        <v>265</v>
      </c>
      <c r="V116" s="151" t="e">
        <f>[1]!Tabella1[[#This Row],[Booking Hours]]</f>
        <v>#REF!</v>
      </c>
      <c r="W116" s="60" t="e">
        <f>[1]!Tabella1[[#This Row],[Booking Period]]</f>
        <v>#REF!</v>
      </c>
      <c r="X116" s="70"/>
    </row>
    <row r="117" spans="1:24" ht="15" x14ac:dyDescent="0.25">
      <c r="A117" s="145" t="s">
        <v>152</v>
      </c>
      <c r="B117" s="59" t="s">
        <v>169</v>
      </c>
      <c r="C117" s="62" t="s">
        <v>215</v>
      </c>
      <c r="D117" s="67" t="s">
        <v>28</v>
      </c>
      <c r="E117" s="49" t="s">
        <v>28</v>
      </c>
      <c r="F117" s="59" t="s">
        <v>221</v>
      </c>
      <c r="G117" s="59" t="s">
        <v>224</v>
      </c>
      <c r="H117" s="98"/>
      <c r="I117" s="99"/>
      <c r="J117" s="83">
        <v>6.666666666666667</v>
      </c>
      <c r="K117" s="99">
        <f t="shared" si="17"/>
        <v>6.666666666666667</v>
      </c>
      <c r="L117" s="136">
        <f t="shared" si="18"/>
        <v>240</v>
      </c>
      <c r="M117" s="136">
        <f t="shared" si="19"/>
        <v>2880</v>
      </c>
      <c r="N117" s="100">
        <f t="shared" si="15"/>
        <v>1.2500000000000001E-2</v>
      </c>
      <c r="O117" s="100">
        <f t="shared" si="16"/>
        <v>0</v>
      </c>
      <c r="P117" s="71"/>
      <c r="Q117" s="64" t="s">
        <v>235</v>
      </c>
      <c r="R117" s="63" t="s">
        <v>267</v>
      </c>
      <c r="S117" s="128">
        <v>36</v>
      </c>
      <c r="T117" s="126">
        <f t="shared" si="14"/>
        <v>0</v>
      </c>
      <c r="U117" s="63" t="s">
        <v>266</v>
      </c>
      <c r="V117" s="151"/>
      <c r="W117" s="153" t="s">
        <v>260</v>
      </c>
      <c r="X117" s="70"/>
    </row>
    <row r="118" spans="1:24" ht="15" x14ac:dyDescent="0.25">
      <c r="A118" s="145" t="s">
        <v>152</v>
      </c>
      <c r="B118" s="59" t="s">
        <v>169</v>
      </c>
      <c r="C118" s="62" t="s">
        <v>215</v>
      </c>
      <c r="D118" s="67" t="s">
        <v>28</v>
      </c>
      <c r="E118" s="49" t="s">
        <v>28</v>
      </c>
      <c r="F118" s="59" t="s">
        <v>221</v>
      </c>
      <c r="G118" s="59" t="s">
        <v>224</v>
      </c>
      <c r="H118" s="98"/>
      <c r="I118" s="99"/>
      <c r="J118" s="83">
        <v>6.666666666666667</v>
      </c>
      <c r="K118" s="99">
        <f t="shared" si="17"/>
        <v>6.666666666666667</v>
      </c>
      <c r="L118" s="136">
        <f t="shared" si="18"/>
        <v>240</v>
      </c>
      <c r="M118" s="136">
        <f t="shared" si="19"/>
        <v>2880</v>
      </c>
      <c r="N118" s="100">
        <f t="shared" si="15"/>
        <v>0.05</v>
      </c>
      <c r="O118" s="100">
        <f t="shared" si="16"/>
        <v>0</v>
      </c>
      <c r="P118" s="71"/>
      <c r="Q118" s="64" t="s">
        <v>232</v>
      </c>
      <c r="R118" s="63" t="s">
        <v>267</v>
      </c>
      <c r="S118" s="128">
        <v>144</v>
      </c>
      <c r="T118" s="126">
        <f t="shared" si="14"/>
        <v>0</v>
      </c>
      <c r="U118" s="63" t="s">
        <v>263</v>
      </c>
      <c r="V118" s="151">
        <v>0</v>
      </c>
      <c r="W118" s="63" t="s">
        <v>264</v>
      </c>
      <c r="X118" s="70"/>
    </row>
    <row r="119" spans="1:24" ht="15" x14ac:dyDescent="0.25">
      <c r="A119" s="145" t="s">
        <v>152</v>
      </c>
      <c r="B119" s="59" t="s">
        <v>169</v>
      </c>
      <c r="C119" s="62" t="s">
        <v>215</v>
      </c>
      <c r="D119" s="67" t="s">
        <v>28</v>
      </c>
      <c r="E119" s="49" t="s">
        <v>28</v>
      </c>
      <c r="F119" s="59" t="s">
        <v>221</v>
      </c>
      <c r="G119" s="59" t="s">
        <v>224</v>
      </c>
      <c r="H119" s="98"/>
      <c r="I119" s="99"/>
      <c r="J119" s="83">
        <v>6.666666666666667</v>
      </c>
      <c r="K119" s="99">
        <f t="shared" si="17"/>
        <v>6.666666666666667</v>
      </c>
      <c r="L119" s="136">
        <f t="shared" si="18"/>
        <v>240</v>
      </c>
      <c r="M119" s="136">
        <f t="shared" si="19"/>
        <v>2880</v>
      </c>
      <c r="N119" s="100">
        <f t="shared" si="15"/>
        <v>0.05</v>
      </c>
      <c r="O119" s="100">
        <f t="shared" si="16"/>
        <v>0</v>
      </c>
      <c r="P119" s="71"/>
      <c r="Q119" s="64" t="s">
        <v>233</v>
      </c>
      <c r="R119" s="63" t="s">
        <v>267</v>
      </c>
      <c r="S119" s="128">
        <v>144</v>
      </c>
      <c r="T119" s="126">
        <f t="shared" si="14"/>
        <v>0</v>
      </c>
      <c r="U119" s="63" t="s">
        <v>263</v>
      </c>
      <c r="V119" s="151"/>
      <c r="W119" s="71" t="s">
        <v>100</v>
      </c>
      <c r="X119" s="70"/>
    </row>
    <row r="120" spans="1:24" ht="15" x14ac:dyDescent="0.25">
      <c r="A120" s="145" t="s">
        <v>152</v>
      </c>
      <c r="B120" s="59" t="s">
        <v>169</v>
      </c>
      <c r="C120" s="62" t="s">
        <v>215</v>
      </c>
      <c r="D120" s="67" t="s">
        <v>28</v>
      </c>
      <c r="E120" s="49" t="s">
        <v>28</v>
      </c>
      <c r="F120" s="59" t="s">
        <v>221</v>
      </c>
      <c r="G120" s="59" t="s">
        <v>224</v>
      </c>
      <c r="H120" s="98"/>
      <c r="I120" s="99"/>
      <c r="J120" s="83">
        <v>6.666666666666667</v>
      </c>
      <c r="K120" s="99">
        <f t="shared" si="17"/>
        <v>6.666666666666667</v>
      </c>
      <c r="L120" s="136">
        <f t="shared" si="18"/>
        <v>240</v>
      </c>
      <c r="M120" s="136">
        <f t="shared" si="19"/>
        <v>2880</v>
      </c>
      <c r="N120" s="100">
        <f t="shared" si="15"/>
        <v>1.6666666666666666E-2</v>
      </c>
      <c r="O120" s="100" t="e">
        <f t="shared" si="16"/>
        <v>#REF!</v>
      </c>
      <c r="P120" s="71"/>
      <c r="Q120" s="64" t="s">
        <v>239</v>
      </c>
      <c r="R120" s="63" t="s">
        <v>267</v>
      </c>
      <c r="S120" s="128">
        <v>48</v>
      </c>
      <c r="T120" s="126">
        <f t="shared" si="14"/>
        <v>0</v>
      </c>
      <c r="U120" s="63" t="s">
        <v>263</v>
      </c>
      <c r="V120" s="151" t="e">
        <f>[1]!Tabella1[[#This Row],[Booking Hours]]</f>
        <v>#REF!</v>
      </c>
      <c r="W120" s="60" t="e">
        <f>[1]!Tabella1[[#This Row],[Booking Period]]</f>
        <v>#REF!</v>
      </c>
      <c r="X120" s="70"/>
    </row>
    <row r="121" spans="1:24" ht="15" x14ac:dyDescent="0.25">
      <c r="A121" s="145" t="s">
        <v>152</v>
      </c>
      <c r="B121" s="59" t="s">
        <v>169</v>
      </c>
      <c r="C121" s="62" t="s">
        <v>215</v>
      </c>
      <c r="D121" s="67" t="s">
        <v>28</v>
      </c>
      <c r="E121" s="49" t="s">
        <v>28</v>
      </c>
      <c r="F121" s="59" t="s">
        <v>221</v>
      </c>
      <c r="G121" s="59" t="s">
        <v>224</v>
      </c>
      <c r="H121" s="98"/>
      <c r="I121" s="99"/>
      <c r="J121" s="83">
        <v>6.666666666666667</v>
      </c>
      <c r="K121" s="99">
        <f t="shared" si="17"/>
        <v>6.666666666666667</v>
      </c>
      <c r="L121" s="136">
        <f t="shared" si="18"/>
        <v>240</v>
      </c>
      <c r="M121" s="136">
        <f t="shared" si="19"/>
        <v>2880</v>
      </c>
      <c r="N121" s="100">
        <f t="shared" si="15"/>
        <v>3.4722222222222224E-2</v>
      </c>
      <c r="O121" s="100" t="e">
        <f t="shared" si="16"/>
        <v>#REF!</v>
      </c>
      <c r="P121" s="71"/>
      <c r="Q121" s="64" t="s">
        <v>230</v>
      </c>
      <c r="R121" s="63" t="s">
        <v>268</v>
      </c>
      <c r="S121" s="128">
        <v>100</v>
      </c>
      <c r="T121" s="126">
        <f t="shared" si="14"/>
        <v>0</v>
      </c>
      <c r="U121" s="63" t="s">
        <v>269</v>
      </c>
      <c r="V121" s="151" t="e">
        <f>[1]!Tabella1[[#This Row],[Booking Hours]]</f>
        <v>#REF!</v>
      </c>
      <c r="W121" s="63" t="e">
        <f>[1]!Tabella1[[#This Row],[Booking Period]]</f>
        <v>#REF!</v>
      </c>
      <c r="X121" s="70"/>
    </row>
    <row r="122" spans="1:24" ht="15" x14ac:dyDescent="0.25">
      <c r="A122" s="145" t="s">
        <v>152</v>
      </c>
      <c r="B122" s="59" t="s">
        <v>169</v>
      </c>
      <c r="C122" s="62" t="s">
        <v>215</v>
      </c>
      <c r="D122" s="67" t="s">
        <v>28</v>
      </c>
      <c r="E122" s="49" t="s">
        <v>28</v>
      </c>
      <c r="F122" s="59" t="s">
        <v>221</v>
      </c>
      <c r="G122" s="59" t="s">
        <v>224</v>
      </c>
      <c r="H122" s="98"/>
      <c r="I122" s="99"/>
      <c r="J122" s="83">
        <v>6.666666666666667</v>
      </c>
      <c r="K122" s="99">
        <f t="shared" si="17"/>
        <v>6.666666666666667</v>
      </c>
      <c r="L122" s="136">
        <f t="shared" si="18"/>
        <v>240</v>
      </c>
      <c r="M122" s="136">
        <f t="shared" si="19"/>
        <v>2880</v>
      </c>
      <c r="N122" s="100">
        <f t="shared" si="15"/>
        <v>2.6041666666666668E-2</v>
      </c>
      <c r="O122" s="100" t="e">
        <f t="shared" si="16"/>
        <v>#REF!</v>
      </c>
      <c r="P122" s="71"/>
      <c r="Q122" s="64" t="s">
        <v>234</v>
      </c>
      <c r="R122" s="63" t="s">
        <v>268</v>
      </c>
      <c r="S122" s="128">
        <v>75</v>
      </c>
      <c r="T122" s="126">
        <f t="shared" si="14"/>
        <v>0</v>
      </c>
      <c r="U122" s="63" t="s">
        <v>270</v>
      </c>
      <c r="V122" s="151" t="e">
        <f>[1]!Tabella1[[#This Row],[Booking Hours]]</f>
        <v>#REF!</v>
      </c>
      <c r="W122" s="60" t="e">
        <f>[1]!Tabella1[[#This Row],[Booking Period]]</f>
        <v>#REF!</v>
      </c>
      <c r="X122" s="70"/>
    </row>
    <row r="123" spans="1:24" ht="15" x14ac:dyDescent="0.25">
      <c r="A123" s="145" t="s">
        <v>152</v>
      </c>
      <c r="B123" s="59" t="s">
        <v>169</v>
      </c>
      <c r="C123" s="62" t="s">
        <v>215</v>
      </c>
      <c r="D123" s="67" t="s">
        <v>28</v>
      </c>
      <c r="E123" s="49" t="s">
        <v>28</v>
      </c>
      <c r="F123" s="59" t="s">
        <v>221</v>
      </c>
      <c r="G123" s="59" t="s">
        <v>224</v>
      </c>
      <c r="H123" s="98"/>
      <c r="I123" s="99"/>
      <c r="J123" s="83">
        <v>6.666666666666667</v>
      </c>
      <c r="K123" s="99">
        <f t="shared" si="17"/>
        <v>6.666666666666667</v>
      </c>
      <c r="L123" s="136">
        <f t="shared" si="18"/>
        <v>240</v>
      </c>
      <c r="M123" s="136">
        <f t="shared" si="19"/>
        <v>2880</v>
      </c>
      <c r="N123" s="100">
        <f t="shared" si="15"/>
        <v>3.4722222222222224E-2</v>
      </c>
      <c r="O123" s="100">
        <f t="shared" si="16"/>
        <v>0</v>
      </c>
      <c r="P123" s="71"/>
      <c r="Q123" s="64" t="s">
        <v>235</v>
      </c>
      <c r="R123" s="63" t="s">
        <v>268</v>
      </c>
      <c r="S123" s="128">
        <v>100</v>
      </c>
      <c r="T123" s="126">
        <f t="shared" si="14"/>
        <v>0</v>
      </c>
      <c r="U123" s="63" t="s">
        <v>271</v>
      </c>
      <c r="V123" s="151"/>
      <c r="W123" s="153" t="s">
        <v>260</v>
      </c>
      <c r="X123" s="70"/>
    </row>
    <row r="124" spans="1:24" ht="15" x14ac:dyDescent="0.25">
      <c r="A124" s="145" t="s">
        <v>152</v>
      </c>
      <c r="B124" s="59" t="s">
        <v>169</v>
      </c>
      <c r="C124" s="62" t="s">
        <v>215</v>
      </c>
      <c r="D124" s="67" t="s">
        <v>28</v>
      </c>
      <c r="E124" s="49" t="s">
        <v>28</v>
      </c>
      <c r="F124" s="59" t="s">
        <v>221</v>
      </c>
      <c r="G124" s="59" t="s">
        <v>224</v>
      </c>
      <c r="H124" s="98"/>
      <c r="I124" s="99"/>
      <c r="J124" s="83">
        <v>6.666666666666667</v>
      </c>
      <c r="K124" s="99">
        <f t="shared" si="17"/>
        <v>6.666666666666667</v>
      </c>
      <c r="L124" s="136">
        <f t="shared" si="18"/>
        <v>240</v>
      </c>
      <c r="M124" s="136">
        <f t="shared" si="19"/>
        <v>2880</v>
      </c>
      <c r="N124" s="100">
        <f t="shared" si="15"/>
        <v>2.6041666666666668E-2</v>
      </c>
      <c r="O124" s="100">
        <f t="shared" si="16"/>
        <v>0</v>
      </c>
      <c r="P124" s="71"/>
      <c r="Q124" s="64" t="s">
        <v>232</v>
      </c>
      <c r="R124" s="63" t="s">
        <v>268</v>
      </c>
      <c r="S124" s="128">
        <v>75</v>
      </c>
      <c r="T124" s="126">
        <f t="shared" si="14"/>
        <v>0</v>
      </c>
      <c r="U124" s="63" t="s">
        <v>269</v>
      </c>
      <c r="V124" s="151">
        <v>0</v>
      </c>
      <c r="W124" s="63" t="s">
        <v>264</v>
      </c>
      <c r="X124" s="70"/>
    </row>
    <row r="125" spans="1:24" ht="15" x14ac:dyDescent="0.25">
      <c r="A125" s="145" t="s">
        <v>152</v>
      </c>
      <c r="B125" s="59" t="s">
        <v>169</v>
      </c>
      <c r="C125" s="62" t="s">
        <v>215</v>
      </c>
      <c r="D125" s="67" t="s">
        <v>28</v>
      </c>
      <c r="E125" s="49" t="s">
        <v>28</v>
      </c>
      <c r="F125" s="59" t="s">
        <v>221</v>
      </c>
      <c r="G125" s="59" t="s">
        <v>224</v>
      </c>
      <c r="H125" s="98"/>
      <c r="I125" s="99"/>
      <c r="J125" s="83">
        <v>6.666666666666667</v>
      </c>
      <c r="K125" s="99">
        <f t="shared" si="17"/>
        <v>6.666666666666667</v>
      </c>
      <c r="L125" s="136">
        <f t="shared" si="18"/>
        <v>240</v>
      </c>
      <c r="M125" s="136">
        <f t="shared" si="19"/>
        <v>2880</v>
      </c>
      <c r="N125" s="100">
        <f t="shared" si="15"/>
        <v>3.4722222222222224E-2</v>
      </c>
      <c r="O125" s="100">
        <f t="shared" si="16"/>
        <v>0</v>
      </c>
      <c r="P125" s="71"/>
      <c r="Q125" s="64" t="s">
        <v>233</v>
      </c>
      <c r="R125" s="63" t="s">
        <v>268</v>
      </c>
      <c r="S125" s="128">
        <v>100</v>
      </c>
      <c r="T125" s="126">
        <f t="shared" si="14"/>
        <v>0</v>
      </c>
      <c r="U125" s="63" t="s">
        <v>269</v>
      </c>
      <c r="V125" s="151"/>
      <c r="W125" s="71" t="s">
        <v>100</v>
      </c>
      <c r="X125" s="70"/>
    </row>
    <row r="126" spans="1:24" ht="15" x14ac:dyDescent="0.25">
      <c r="A126" s="145" t="s">
        <v>152</v>
      </c>
      <c r="B126" s="59" t="s">
        <v>169</v>
      </c>
      <c r="C126" s="62" t="s">
        <v>215</v>
      </c>
      <c r="D126" s="67" t="s">
        <v>28</v>
      </c>
      <c r="E126" s="49" t="s">
        <v>28</v>
      </c>
      <c r="F126" s="59" t="s">
        <v>221</v>
      </c>
      <c r="G126" s="59" t="s">
        <v>224</v>
      </c>
      <c r="H126" s="98"/>
      <c r="I126" s="99"/>
      <c r="J126" s="83">
        <v>6.666666666666667</v>
      </c>
      <c r="K126" s="99">
        <f t="shared" si="17"/>
        <v>6.666666666666667</v>
      </c>
      <c r="L126" s="136">
        <f t="shared" si="18"/>
        <v>240</v>
      </c>
      <c r="M126" s="136">
        <f t="shared" si="19"/>
        <v>2880</v>
      </c>
      <c r="N126" s="100">
        <f t="shared" si="15"/>
        <v>3.125E-2</v>
      </c>
      <c r="O126" s="100">
        <f t="shared" si="16"/>
        <v>5.2083333333333336E-2</v>
      </c>
      <c r="P126" s="71"/>
      <c r="Q126" s="64" t="s">
        <v>232</v>
      </c>
      <c r="R126" s="63" t="s">
        <v>272</v>
      </c>
      <c r="S126" s="128">
        <v>90</v>
      </c>
      <c r="T126" s="126">
        <f t="shared" si="14"/>
        <v>0</v>
      </c>
      <c r="U126" s="63" t="s">
        <v>263</v>
      </c>
      <c r="V126" s="151">
        <v>150</v>
      </c>
      <c r="W126" s="63" t="e">
        <f>[1]!Tabella1[[#This Row],[Booking Period]]</f>
        <v>#REF!</v>
      </c>
      <c r="X126" s="70"/>
    </row>
    <row r="127" spans="1:24" ht="15" x14ac:dyDescent="0.25">
      <c r="A127" s="145" t="s">
        <v>152</v>
      </c>
      <c r="B127" s="59" t="s">
        <v>169</v>
      </c>
      <c r="C127" s="62" t="s">
        <v>215</v>
      </c>
      <c r="D127" s="67" t="s">
        <v>28</v>
      </c>
      <c r="E127" s="49" t="s">
        <v>28</v>
      </c>
      <c r="F127" s="59" t="s">
        <v>221</v>
      </c>
      <c r="G127" s="59" t="s">
        <v>224</v>
      </c>
      <c r="H127" s="98"/>
      <c r="I127" s="99"/>
      <c r="J127" s="83">
        <v>6.666666666666667</v>
      </c>
      <c r="K127" s="99">
        <f t="shared" si="17"/>
        <v>6.666666666666667</v>
      </c>
      <c r="L127" s="136">
        <f t="shared" si="18"/>
        <v>240</v>
      </c>
      <c r="M127" s="136">
        <f t="shared" si="19"/>
        <v>2880</v>
      </c>
      <c r="N127" s="100">
        <f t="shared" si="15"/>
        <v>3.125E-2</v>
      </c>
      <c r="O127" s="100" t="e">
        <f t="shared" si="16"/>
        <v>#REF!</v>
      </c>
      <c r="P127" s="71"/>
      <c r="Q127" s="64" t="s">
        <v>233</v>
      </c>
      <c r="R127" s="63" t="s">
        <v>272</v>
      </c>
      <c r="S127" s="128">
        <v>90</v>
      </c>
      <c r="T127" s="126">
        <f t="shared" si="14"/>
        <v>0</v>
      </c>
      <c r="U127" s="63" t="s">
        <v>263</v>
      </c>
      <c r="V127" s="151" t="e">
        <f>[1]!Tabella1[[#This Row],[Booking Hours]]</f>
        <v>#REF!</v>
      </c>
      <c r="W127" s="60" t="e">
        <f>[1]!Tabella1[[#This Row],[Booking Period]]</f>
        <v>#REF!</v>
      </c>
      <c r="X127" s="70"/>
    </row>
    <row r="128" spans="1:24" ht="15" x14ac:dyDescent="0.25">
      <c r="A128" s="145" t="s">
        <v>154</v>
      </c>
      <c r="B128" s="60" t="s">
        <v>170</v>
      </c>
      <c r="C128" s="59" t="s">
        <v>217</v>
      </c>
      <c r="D128" s="60" t="s">
        <v>28</v>
      </c>
      <c r="E128" s="49" t="s">
        <v>28</v>
      </c>
      <c r="F128" s="63" t="s">
        <v>223</v>
      </c>
      <c r="G128" s="59" t="s">
        <v>227</v>
      </c>
      <c r="H128" s="82">
        <v>64.23</v>
      </c>
      <c r="I128" s="83">
        <v>69.510000000000005</v>
      </c>
      <c r="J128" s="83"/>
      <c r="K128" s="83">
        <f t="shared" ref="K128:K178" si="20">I128</f>
        <v>69.510000000000005</v>
      </c>
      <c r="L128" s="136">
        <f t="shared" ref="L128:L178" si="21">M128/12</f>
        <v>141.16666666666666</v>
      </c>
      <c r="M128" s="136">
        <v>1694</v>
      </c>
      <c r="N128" s="100">
        <f t="shared" si="15"/>
        <v>5.3128689492325853E-2</v>
      </c>
      <c r="O128" s="100" t="e">
        <f t="shared" si="16"/>
        <v>#REF!</v>
      </c>
      <c r="P128" s="71"/>
      <c r="Q128" s="66" t="s">
        <v>238</v>
      </c>
      <c r="R128" s="60" t="s">
        <v>272</v>
      </c>
      <c r="S128" s="128">
        <v>90</v>
      </c>
      <c r="T128" s="126">
        <f t="shared" si="14"/>
        <v>6255.9000000000005</v>
      </c>
      <c r="U128" s="60" t="s">
        <v>263</v>
      </c>
      <c r="V128" s="151" t="e">
        <f>[1]!Tabella1[[#This Row],[Booking Hours]]</f>
        <v>#REF!</v>
      </c>
      <c r="W128" s="60" t="e">
        <f>[1]!Tabella1[[#This Row],[Booking Period]]</f>
        <v>#REF!</v>
      </c>
      <c r="X128" s="70"/>
    </row>
    <row r="129" spans="1:24" ht="15" x14ac:dyDescent="0.25">
      <c r="A129" s="145" t="s">
        <v>154</v>
      </c>
      <c r="B129" s="60" t="s">
        <v>170</v>
      </c>
      <c r="C129" s="59" t="s">
        <v>217</v>
      </c>
      <c r="D129" s="60" t="s">
        <v>28</v>
      </c>
      <c r="E129" s="49" t="s">
        <v>28</v>
      </c>
      <c r="F129" s="63" t="s">
        <v>223</v>
      </c>
      <c r="G129" s="59" t="s">
        <v>227</v>
      </c>
      <c r="H129" s="82">
        <v>64.23</v>
      </c>
      <c r="I129" s="83">
        <v>69.510000000000005</v>
      </c>
      <c r="J129" s="83"/>
      <c r="K129" s="83">
        <f t="shared" si="20"/>
        <v>69.510000000000005</v>
      </c>
      <c r="L129" s="136">
        <f t="shared" si="21"/>
        <v>141.16666666666666</v>
      </c>
      <c r="M129" s="136">
        <v>1694</v>
      </c>
      <c r="N129" s="100">
        <f t="shared" si="15"/>
        <v>5.3128689492325853E-2</v>
      </c>
      <c r="O129" s="100" t="e">
        <f t="shared" si="16"/>
        <v>#REF!</v>
      </c>
      <c r="P129" s="71"/>
      <c r="Q129" s="64" t="s">
        <v>230</v>
      </c>
      <c r="R129" s="60" t="s">
        <v>272</v>
      </c>
      <c r="S129" s="128">
        <v>90</v>
      </c>
      <c r="T129" s="126">
        <f t="shared" si="14"/>
        <v>6255.9000000000005</v>
      </c>
      <c r="U129" s="60" t="s">
        <v>263</v>
      </c>
      <c r="V129" s="151" t="e">
        <f>[1]!Tabella1[[#This Row],[Booking Hours]]</f>
        <v>#REF!</v>
      </c>
      <c r="W129" s="63" t="e">
        <f>[1]!Tabella1[[#This Row],[Booking Period]]</f>
        <v>#REF!</v>
      </c>
      <c r="X129" s="70"/>
    </row>
    <row r="130" spans="1:24" ht="15" x14ac:dyDescent="0.25">
      <c r="A130" s="145" t="s">
        <v>154</v>
      </c>
      <c r="B130" s="60" t="s">
        <v>170</v>
      </c>
      <c r="C130" s="59" t="s">
        <v>217</v>
      </c>
      <c r="D130" s="60" t="s">
        <v>28</v>
      </c>
      <c r="E130" s="49" t="s">
        <v>28</v>
      </c>
      <c r="F130" s="63" t="s">
        <v>223</v>
      </c>
      <c r="G130" s="59" t="s">
        <v>227</v>
      </c>
      <c r="H130" s="82">
        <v>64.23</v>
      </c>
      <c r="I130" s="83">
        <v>69.510000000000005</v>
      </c>
      <c r="J130" s="83"/>
      <c r="K130" s="83">
        <f t="shared" si="20"/>
        <v>69.510000000000005</v>
      </c>
      <c r="L130" s="136">
        <f t="shared" si="21"/>
        <v>141.16666666666666</v>
      </c>
      <c r="M130" s="136">
        <v>1694</v>
      </c>
      <c r="N130" s="100">
        <f t="shared" si="15"/>
        <v>4.4273907910271547E-2</v>
      </c>
      <c r="O130" s="100">
        <f t="shared" si="16"/>
        <v>0</v>
      </c>
      <c r="P130" s="71"/>
      <c r="Q130" s="64" t="s">
        <v>234</v>
      </c>
      <c r="R130" s="60" t="s">
        <v>272</v>
      </c>
      <c r="S130" s="128">
        <v>75</v>
      </c>
      <c r="T130" s="126">
        <f t="shared" ref="T130:T193" si="22">S130*I130</f>
        <v>5213.25</v>
      </c>
      <c r="U130" s="60" t="s">
        <v>265</v>
      </c>
      <c r="V130" s="151"/>
      <c r="W130" s="71" t="s">
        <v>100</v>
      </c>
      <c r="X130" s="70"/>
    </row>
    <row r="131" spans="1:24" ht="15" x14ac:dyDescent="0.25">
      <c r="A131" s="145" t="s">
        <v>154</v>
      </c>
      <c r="B131" s="60" t="s">
        <v>170</v>
      </c>
      <c r="C131" s="59" t="s">
        <v>217</v>
      </c>
      <c r="D131" s="60" t="s">
        <v>28</v>
      </c>
      <c r="E131" s="49" t="s">
        <v>28</v>
      </c>
      <c r="F131" s="63" t="s">
        <v>223</v>
      </c>
      <c r="G131" s="59" t="s">
        <v>227</v>
      </c>
      <c r="H131" s="82">
        <v>64.23</v>
      </c>
      <c r="I131" s="83">
        <v>69.510000000000005</v>
      </c>
      <c r="J131" s="83"/>
      <c r="K131" s="83">
        <f t="shared" si="20"/>
        <v>69.510000000000005</v>
      </c>
      <c r="L131" s="136">
        <f t="shared" si="21"/>
        <v>141.16666666666666</v>
      </c>
      <c r="M131" s="136">
        <v>1694</v>
      </c>
      <c r="N131" s="100">
        <f t="shared" ref="N131:N194" si="23">S131/M131</f>
        <v>1.770956316410862E-2</v>
      </c>
      <c r="O131" s="100">
        <f t="shared" ref="O131:O194" si="24">V131/M131</f>
        <v>0</v>
      </c>
      <c r="P131" s="71"/>
      <c r="Q131" s="64" t="s">
        <v>235</v>
      </c>
      <c r="R131" s="60" t="s">
        <v>272</v>
      </c>
      <c r="S131" s="128">
        <v>30</v>
      </c>
      <c r="T131" s="126">
        <f t="shared" si="22"/>
        <v>2085.3000000000002</v>
      </c>
      <c r="U131" s="60" t="s">
        <v>266</v>
      </c>
      <c r="V131" s="151"/>
      <c r="W131" s="153" t="s">
        <v>260</v>
      </c>
      <c r="X131" s="70"/>
    </row>
    <row r="132" spans="1:24" ht="15" x14ac:dyDescent="0.25">
      <c r="A132" s="145" t="s">
        <v>154</v>
      </c>
      <c r="B132" s="60" t="s">
        <v>170</v>
      </c>
      <c r="C132" s="59" t="s">
        <v>217</v>
      </c>
      <c r="D132" s="60" t="s">
        <v>28</v>
      </c>
      <c r="E132" s="49" t="s">
        <v>28</v>
      </c>
      <c r="F132" s="63" t="s">
        <v>223</v>
      </c>
      <c r="G132" s="59" t="s">
        <v>227</v>
      </c>
      <c r="H132" s="82">
        <v>64.23</v>
      </c>
      <c r="I132" s="83">
        <v>69.510000000000005</v>
      </c>
      <c r="J132" s="83"/>
      <c r="K132" s="83">
        <f t="shared" si="20"/>
        <v>69.510000000000005</v>
      </c>
      <c r="L132" s="136">
        <f t="shared" si="21"/>
        <v>141.16666666666666</v>
      </c>
      <c r="M132" s="136">
        <v>1694</v>
      </c>
      <c r="N132" s="100">
        <f t="shared" si="23"/>
        <v>0.10625737898465171</v>
      </c>
      <c r="O132" s="100">
        <f t="shared" si="24"/>
        <v>0</v>
      </c>
      <c r="P132" s="71"/>
      <c r="Q132" s="64" t="s">
        <v>237</v>
      </c>
      <c r="R132" s="60" t="s">
        <v>282</v>
      </c>
      <c r="S132" s="125">
        <v>180</v>
      </c>
      <c r="T132" s="126">
        <f t="shared" si="22"/>
        <v>12511.800000000001</v>
      </c>
      <c r="U132" s="60" t="s">
        <v>263</v>
      </c>
      <c r="V132" s="151">
        <v>0</v>
      </c>
      <c r="W132" s="60" t="s">
        <v>264</v>
      </c>
      <c r="X132" s="61"/>
    </row>
    <row r="133" spans="1:24" ht="15" x14ac:dyDescent="0.25">
      <c r="A133" s="145" t="s">
        <v>154</v>
      </c>
      <c r="B133" s="60" t="s">
        <v>170</v>
      </c>
      <c r="C133" s="59" t="s">
        <v>217</v>
      </c>
      <c r="D133" s="60" t="s">
        <v>28</v>
      </c>
      <c r="E133" s="49" t="s">
        <v>28</v>
      </c>
      <c r="F133" s="63" t="s">
        <v>223</v>
      </c>
      <c r="G133" s="59" t="s">
        <v>227</v>
      </c>
      <c r="H133" s="82">
        <v>64.23</v>
      </c>
      <c r="I133" s="83">
        <v>69.510000000000005</v>
      </c>
      <c r="J133" s="83"/>
      <c r="K133" s="83">
        <f t="shared" si="20"/>
        <v>69.510000000000005</v>
      </c>
      <c r="L133" s="136">
        <f t="shared" si="21"/>
        <v>141.16666666666666</v>
      </c>
      <c r="M133" s="136">
        <v>1694</v>
      </c>
      <c r="N133" s="100">
        <f t="shared" si="23"/>
        <v>0.10625737898465171</v>
      </c>
      <c r="O133" s="100">
        <f t="shared" si="24"/>
        <v>0</v>
      </c>
      <c r="P133" s="71"/>
      <c r="Q133" s="66" t="s">
        <v>238</v>
      </c>
      <c r="R133" s="60" t="s">
        <v>282</v>
      </c>
      <c r="S133" s="128">
        <v>180</v>
      </c>
      <c r="T133" s="126">
        <f t="shared" si="22"/>
        <v>12511.800000000001</v>
      </c>
      <c r="U133" s="60" t="s">
        <v>263</v>
      </c>
      <c r="V133" s="151">
        <v>0</v>
      </c>
      <c r="W133" s="60" t="s">
        <v>264</v>
      </c>
      <c r="X133" s="70"/>
    </row>
    <row r="134" spans="1:24" ht="15" x14ac:dyDescent="0.25">
      <c r="A134" s="145" t="s">
        <v>154</v>
      </c>
      <c r="B134" s="60" t="s">
        <v>170</v>
      </c>
      <c r="C134" s="59" t="s">
        <v>217</v>
      </c>
      <c r="D134" s="60" t="s">
        <v>28</v>
      </c>
      <c r="E134" s="49" t="s">
        <v>28</v>
      </c>
      <c r="F134" s="63" t="s">
        <v>223</v>
      </c>
      <c r="G134" s="59" t="s">
        <v>227</v>
      </c>
      <c r="H134" s="82">
        <v>64.23</v>
      </c>
      <c r="I134" s="83">
        <v>69.510000000000005</v>
      </c>
      <c r="J134" s="83"/>
      <c r="K134" s="83">
        <f t="shared" si="20"/>
        <v>69.510000000000005</v>
      </c>
      <c r="L134" s="136">
        <f t="shared" si="21"/>
        <v>141.16666666666666</v>
      </c>
      <c r="M134" s="136">
        <v>1694</v>
      </c>
      <c r="N134" s="100">
        <f t="shared" si="23"/>
        <v>0.10625737898465171</v>
      </c>
      <c r="O134" s="100">
        <f t="shared" si="24"/>
        <v>5.9031877213695398E-2</v>
      </c>
      <c r="P134" s="71"/>
      <c r="Q134" s="66" t="s">
        <v>231</v>
      </c>
      <c r="R134" s="60" t="s">
        <v>282</v>
      </c>
      <c r="S134" s="128">
        <v>180</v>
      </c>
      <c r="T134" s="126">
        <f t="shared" si="22"/>
        <v>12511.800000000001</v>
      </c>
      <c r="U134" s="60" t="s">
        <v>263</v>
      </c>
      <c r="V134" s="151">
        <v>100</v>
      </c>
      <c r="W134" s="60" t="s">
        <v>254</v>
      </c>
      <c r="X134" s="70"/>
    </row>
    <row r="135" spans="1:24" ht="15" x14ac:dyDescent="0.25">
      <c r="A135" s="145" t="s">
        <v>154</v>
      </c>
      <c r="B135" s="60" t="s">
        <v>170</v>
      </c>
      <c r="C135" s="59" t="s">
        <v>217</v>
      </c>
      <c r="D135" s="60" t="s">
        <v>28</v>
      </c>
      <c r="E135" s="49" t="s">
        <v>28</v>
      </c>
      <c r="F135" s="63" t="s">
        <v>223</v>
      </c>
      <c r="G135" s="59" t="s">
        <v>227</v>
      </c>
      <c r="H135" s="82">
        <v>64.23</v>
      </c>
      <c r="I135" s="83">
        <v>69.510000000000005</v>
      </c>
      <c r="J135" s="83"/>
      <c r="K135" s="83">
        <f t="shared" si="20"/>
        <v>69.510000000000005</v>
      </c>
      <c r="L135" s="136">
        <f t="shared" si="21"/>
        <v>141.16666666666666</v>
      </c>
      <c r="M135" s="136">
        <v>1694</v>
      </c>
      <c r="N135" s="100">
        <f t="shared" si="23"/>
        <v>0.15938606847697756</v>
      </c>
      <c r="O135" s="100" t="e">
        <f t="shared" si="24"/>
        <v>#REF!</v>
      </c>
      <c r="P135" s="71"/>
      <c r="Q135" s="64" t="s">
        <v>234</v>
      </c>
      <c r="R135" s="60" t="s">
        <v>282</v>
      </c>
      <c r="S135" s="128">
        <v>270</v>
      </c>
      <c r="T135" s="126">
        <f t="shared" si="22"/>
        <v>18767.7</v>
      </c>
      <c r="U135" s="60" t="s">
        <v>265</v>
      </c>
      <c r="V135" s="151" t="e">
        <f>[1]!Tabella1[[#This Row],[Booking Hours]]</f>
        <v>#REF!</v>
      </c>
      <c r="W135" s="60" t="e">
        <f>[1]!Tabella1[[#This Row],[Booking Period]]</f>
        <v>#REF!</v>
      </c>
      <c r="X135" s="70"/>
    </row>
    <row r="136" spans="1:24" ht="15" x14ac:dyDescent="0.25">
      <c r="A136" s="145" t="s">
        <v>154</v>
      </c>
      <c r="B136" s="60" t="s">
        <v>170</v>
      </c>
      <c r="C136" s="59" t="s">
        <v>217</v>
      </c>
      <c r="D136" s="60" t="s">
        <v>28</v>
      </c>
      <c r="E136" s="49" t="s">
        <v>28</v>
      </c>
      <c r="F136" s="63" t="s">
        <v>223</v>
      </c>
      <c r="G136" s="59" t="s">
        <v>227</v>
      </c>
      <c r="H136" s="82">
        <v>64.23</v>
      </c>
      <c r="I136" s="83">
        <v>69.510000000000005</v>
      </c>
      <c r="J136" s="83"/>
      <c r="K136" s="83">
        <f t="shared" si="20"/>
        <v>69.510000000000005</v>
      </c>
      <c r="L136" s="136">
        <f t="shared" si="21"/>
        <v>141.16666666666666</v>
      </c>
      <c r="M136" s="136">
        <v>1694</v>
      </c>
      <c r="N136" s="100">
        <f t="shared" si="23"/>
        <v>5.3128689492325853E-2</v>
      </c>
      <c r="O136" s="100">
        <f t="shared" si="24"/>
        <v>0</v>
      </c>
      <c r="P136" s="71"/>
      <c r="Q136" s="64" t="s">
        <v>235</v>
      </c>
      <c r="R136" s="60" t="s">
        <v>282</v>
      </c>
      <c r="S136" s="128">
        <v>90</v>
      </c>
      <c r="T136" s="126">
        <f t="shared" si="22"/>
        <v>6255.9000000000005</v>
      </c>
      <c r="U136" s="60" t="s">
        <v>266</v>
      </c>
      <c r="V136" s="151"/>
      <c r="W136" s="153" t="s">
        <v>260</v>
      </c>
      <c r="X136" s="70"/>
    </row>
    <row r="137" spans="1:24" ht="15" x14ac:dyDescent="0.25">
      <c r="A137" s="145" t="s">
        <v>154</v>
      </c>
      <c r="B137" s="60" t="s">
        <v>170</v>
      </c>
      <c r="C137" s="59" t="s">
        <v>217</v>
      </c>
      <c r="D137" s="60" t="s">
        <v>28</v>
      </c>
      <c r="E137" s="49" t="s">
        <v>28</v>
      </c>
      <c r="F137" s="63" t="s">
        <v>223</v>
      </c>
      <c r="G137" s="59" t="s">
        <v>227</v>
      </c>
      <c r="H137" s="82">
        <v>64.23</v>
      </c>
      <c r="I137" s="83">
        <v>69.510000000000005</v>
      </c>
      <c r="J137" s="83"/>
      <c r="K137" s="83">
        <f t="shared" si="20"/>
        <v>69.510000000000005</v>
      </c>
      <c r="L137" s="136">
        <f t="shared" si="21"/>
        <v>141.16666666666666</v>
      </c>
      <c r="M137" s="136">
        <v>1694</v>
      </c>
      <c r="N137" s="100">
        <f t="shared" si="23"/>
        <v>0.10625737898465171</v>
      </c>
      <c r="O137" s="100">
        <f t="shared" si="24"/>
        <v>0</v>
      </c>
      <c r="P137" s="71"/>
      <c r="Q137" s="60" t="s">
        <v>243</v>
      </c>
      <c r="R137" s="60" t="s">
        <v>282</v>
      </c>
      <c r="S137" s="128">
        <v>180</v>
      </c>
      <c r="T137" s="126">
        <f t="shared" si="22"/>
        <v>12511.800000000001</v>
      </c>
      <c r="U137" s="60" t="s">
        <v>263</v>
      </c>
      <c r="V137" s="151">
        <v>0</v>
      </c>
      <c r="W137" s="60" t="s">
        <v>264</v>
      </c>
      <c r="X137" s="70"/>
    </row>
    <row r="138" spans="1:24" ht="15" x14ac:dyDescent="0.25">
      <c r="A138" s="145" t="s">
        <v>154</v>
      </c>
      <c r="B138" s="60" t="s">
        <v>170</v>
      </c>
      <c r="C138" s="59" t="s">
        <v>217</v>
      </c>
      <c r="D138" s="60" t="s">
        <v>28</v>
      </c>
      <c r="E138" s="49" t="s">
        <v>28</v>
      </c>
      <c r="F138" s="63" t="s">
        <v>223</v>
      </c>
      <c r="G138" s="59" t="s">
        <v>227</v>
      </c>
      <c r="H138" s="82">
        <v>64.23</v>
      </c>
      <c r="I138" s="83">
        <v>69.510000000000005</v>
      </c>
      <c r="J138" s="83"/>
      <c r="K138" s="83">
        <f t="shared" si="20"/>
        <v>69.510000000000005</v>
      </c>
      <c r="L138" s="136">
        <f t="shared" si="21"/>
        <v>141.16666666666666</v>
      </c>
      <c r="M138" s="136">
        <v>1694</v>
      </c>
      <c r="N138" s="100">
        <f t="shared" si="23"/>
        <v>0.10625737898465171</v>
      </c>
      <c r="O138" s="100">
        <f t="shared" si="24"/>
        <v>0</v>
      </c>
      <c r="P138" s="71"/>
      <c r="Q138" s="60" t="s">
        <v>244</v>
      </c>
      <c r="R138" s="60" t="s">
        <v>282</v>
      </c>
      <c r="S138" s="128">
        <v>180</v>
      </c>
      <c r="T138" s="126">
        <f t="shared" si="22"/>
        <v>12511.800000000001</v>
      </c>
      <c r="U138" s="60" t="s">
        <v>263</v>
      </c>
      <c r="V138" s="151">
        <v>0</v>
      </c>
      <c r="W138" s="60" t="s">
        <v>264</v>
      </c>
      <c r="X138" s="70"/>
    </row>
    <row r="139" spans="1:24" ht="15" x14ac:dyDescent="0.25">
      <c r="A139" s="144">
        <v>667100</v>
      </c>
      <c r="B139" s="59" t="s">
        <v>171</v>
      </c>
      <c r="C139" s="59" t="s">
        <v>216</v>
      </c>
      <c r="D139" s="63" t="s">
        <v>20</v>
      </c>
      <c r="E139" s="50" t="s">
        <v>444</v>
      </c>
      <c r="F139" s="59" t="s">
        <v>222</v>
      </c>
      <c r="G139" s="59" t="s">
        <v>225</v>
      </c>
      <c r="H139" s="98">
        <v>57.21</v>
      </c>
      <c r="I139" s="99">
        <v>61.93</v>
      </c>
      <c r="J139" s="99"/>
      <c r="K139" s="83">
        <f t="shared" si="20"/>
        <v>61.93</v>
      </c>
      <c r="L139" s="136">
        <f t="shared" si="21"/>
        <v>174.91666666666666</v>
      </c>
      <c r="M139" s="136">
        <v>2099</v>
      </c>
      <c r="N139" s="100">
        <f t="shared" si="23"/>
        <v>5.7170080990948072E-2</v>
      </c>
      <c r="O139" s="100" t="e">
        <f t="shared" si="24"/>
        <v>#REF!</v>
      </c>
      <c r="P139" s="71"/>
      <c r="Q139" s="66" t="s">
        <v>238</v>
      </c>
      <c r="R139" s="63" t="s">
        <v>291</v>
      </c>
      <c r="S139" s="127">
        <v>120</v>
      </c>
      <c r="T139" s="126">
        <f t="shared" si="22"/>
        <v>7431.6</v>
      </c>
      <c r="U139" s="67" t="s">
        <v>252</v>
      </c>
      <c r="V139" s="151" t="e">
        <f>[1]!Tabella1[[#This Row],[Booking Hours]]</f>
        <v>#REF!</v>
      </c>
      <c r="W139" s="63" t="e">
        <f>[1]!Tabella1[[#This Row],[Booking Period]]</f>
        <v>#REF!</v>
      </c>
      <c r="X139" s="68"/>
    </row>
    <row r="140" spans="1:24" ht="15" x14ac:dyDescent="0.25">
      <c r="A140" s="144">
        <v>667100</v>
      </c>
      <c r="B140" s="59" t="s">
        <v>171</v>
      </c>
      <c r="C140" s="59" t="s">
        <v>216</v>
      </c>
      <c r="D140" s="63" t="s">
        <v>20</v>
      </c>
      <c r="E140" s="50" t="s">
        <v>444</v>
      </c>
      <c r="F140" s="59" t="s">
        <v>222</v>
      </c>
      <c r="G140" s="59" t="s">
        <v>225</v>
      </c>
      <c r="H140" s="98">
        <v>57.21</v>
      </c>
      <c r="I140" s="99">
        <v>61.93</v>
      </c>
      <c r="J140" s="99"/>
      <c r="K140" s="83">
        <f t="shared" si="20"/>
        <v>61.93</v>
      </c>
      <c r="L140" s="136">
        <f t="shared" si="21"/>
        <v>174.91666666666666</v>
      </c>
      <c r="M140" s="136">
        <v>2099</v>
      </c>
      <c r="N140" s="100">
        <f t="shared" si="23"/>
        <v>0.12863268222963317</v>
      </c>
      <c r="O140" s="100" t="e">
        <f t="shared" si="24"/>
        <v>#REF!</v>
      </c>
      <c r="P140" s="71"/>
      <c r="Q140" s="66" t="s">
        <v>238</v>
      </c>
      <c r="R140" s="63" t="s">
        <v>291</v>
      </c>
      <c r="S140" s="127">
        <f>((45*4)*6)/4</f>
        <v>270</v>
      </c>
      <c r="T140" s="126">
        <f t="shared" si="22"/>
        <v>16721.099999999999</v>
      </c>
      <c r="U140" s="67" t="s">
        <v>284</v>
      </c>
      <c r="V140" s="151" t="e">
        <f>[1]!Tabella1[[#This Row],[Booking Hours]]</f>
        <v>#REF!</v>
      </c>
      <c r="W140" s="63" t="e">
        <f>[1]!Tabella1[[#This Row],[Booking Period]]</f>
        <v>#REF!</v>
      </c>
      <c r="X140" s="68"/>
    </row>
    <row r="141" spans="1:24" ht="15" x14ac:dyDescent="0.25">
      <c r="A141" s="144">
        <v>667100</v>
      </c>
      <c r="B141" s="59" t="s">
        <v>171</v>
      </c>
      <c r="C141" s="59" t="s">
        <v>216</v>
      </c>
      <c r="D141" s="63" t="s">
        <v>20</v>
      </c>
      <c r="E141" s="50" t="s">
        <v>444</v>
      </c>
      <c r="F141" s="59" t="s">
        <v>222</v>
      </c>
      <c r="G141" s="59" t="s">
        <v>225</v>
      </c>
      <c r="H141" s="98">
        <v>57.21</v>
      </c>
      <c r="I141" s="99">
        <v>61.93</v>
      </c>
      <c r="J141" s="99"/>
      <c r="K141" s="83">
        <f t="shared" si="20"/>
        <v>61.93</v>
      </c>
      <c r="L141" s="136">
        <f t="shared" si="21"/>
        <v>174.91666666666666</v>
      </c>
      <c r="M141" s="136">
        <v>2099</v>
      </c>
      <c r="N141" s="100">
        <f t="shared" si="23"/>
        <v>0.12863268222963317</v>
      </c>
      <c r="O141" s="100">
        <f t="shared" si="24"/>
        <v>5.7170080990948072E-2</v>
      </c>
      <c r="P141" s="71"/>
      <c r="Q141" s="66" t="s">
        <v>231</v>
      </c>
      <c r="R141" s="63" t="s">
        <v>291</v>
      </c>
      <c r="S141" s="127">
        <f>((45*4)*12)/8</f>
        <v>270</v>
      </c>
      <c r="T141" s="126">
        <f t="shared" si="22"/>
        <v>16721.099999999999</v>
      </c>
      <c r="U141" s="67" t="s">
        <v>252</v>
      </c>
      <c r="V141" s="151">
        <v>120</v>
      </c>
      <c r="W141" s="60" t="s">
        <v>254</v>
      </c>
      <c r="X141" s="68"/>
    </row>
    <row r="142" spans="1:24" ht="15" x14ac:dyDescent="0.25">
      <c r="A142" s="144">
        <v>667100</v>
      </c>
      <c r="B142" s="59" t="s">
        <v>171</v>
      </c>
      <c r="C142" s="59" t="s">
        <v>216</v>
      </c>
      <c r="D142" s="63" t="s">
        <v>20</v>
      </c>
      <c r="E142" s="50" t="s">
        <v>444</v>
      </c>
      <c r="F142" s="59" t="s">
        <v>222</v>
      </c>
      <c r="G142" s="59" t="s">
        <v>225</v>
      </c>
      <c r="H142" s="98">
        <v>57.21</v>
      </c>
      <c r="I142" s="99">
        <v>61.93</v>
      </c>
      <c r="J142" s="99"/>
      <c r="K142" s="83">
        <f t="shared" si="20"/>
        <v>61.93</v>
      </c>
      <c r="L142" s="136">
        <f t="shared" si="21"/>
        <v>174.91666666666666</v>
      </c>
      <c r="M142" s="136">
        <v>2099</v>
      </c>
      <c r="N142" s="100">
        <f t="shared" si="23"/>
        <v>0.25726536445926634</v>
      </c>
      <c r="O142" s="100">
        <f t="shared" si="24"/>
        <v>9.5283468318246786E-2</v>
      </c>
      <c r="P142" s="71"/>
      <c r="Q142" s="60" t="s">
        <v>243</v>
      </c>
      <c r="R142" s="63" t="s">
        <v>291</v>
      </c>
      <c r="S142" s="127">
        <f>((45*4)*12)/4</f>
        <v>540</v>
      </c>
      <c r="T142" s="126">
        <f t="shared" si="22"/>
        <v>33442.199999999997</v>
      </c>
      <c r="U142" s="67" t="s">
        <v>252</v>
      </c>
      <c r="V142" s="151">
        <v>200</v>
      </c>
      <c r="W142" s="60" t="s">
        <v>292</v>
      </c>
      <c r="X142" s="68"/>
    </row>
    <row r="143" spans="1:24" ht="15" x14ac:dyDescent="0.25">
      <c r="A143" s="144">
        <v>667100</v>
      </c>
      <c r="B143" s="59" t="s">
        <v>171</v>
      </c>
      <c r="C143" s="59" t="s">
        <v>216</v>
      </c>
      <c r="D143" s="63" t="s">
        <v>20</v>
      </c>
      <c r="E143" s="50" t="s">
        <v>444</v>
      </c>
      <c r="F143" s="59" t="s">
        <v>222</v>
      </c>
      <c r="G143" s="59" t="s">
        <v>225</v>
      </c>
      <c r="H143" s="98">
        <v>57.21</v>
      </c>
      <c r="I143" s="99">
        <v>61.93</v>
      </c>
      <c r="J143" s="99"/>
      <c r="K143" s="83">
        <f t="shared" si="20"/>
        <v>61.93</v>
      </c>
      <c r="L143" s="136">
        <f t="shared" si="21"/>
        <v>174.91666666666666</v>
      </c>
      <c r="M143" s="136">
        <v>2099</v>
      </c>
      <c r="N143" s="100">
        <f t="shared" si="23"/>
        <v>0.12863268222963317</v>
      </c>
      <c r="O143" s="100" t="e">
        <f t="shared" si="24"/>
        <v>#REF!</v>
      </c>
      <c r="P143" s="71"/>
      <c r="Q143" s="66" t="s">
        <v>245</v>
      </c>
      <c r="R143" s="63" t="s">
        <v>291</v>
      </c>
      <c r="S143" s="127">
        <f>((45*4)*12)/8</f>
        <v>270</v>
      </c>
      <c r="T143" s="126">
        <f t="shared" si="22"/>
        <v>16721.099999999999</v>
      </c>
      <c r="U143" s="67" t="s">
        <v>252</v>
      </c>
      <c r="V143" s="151" t="e">
        <f>[1]!Tabella1[[#This Row],[Booking Hours]]</f>
        <v>#REF!</v>
      </c>
      <c r="W143" s="63" t="e">
        <f>[1]!Tabella1[[#This Row],[Booking Period]]</f>
        <v>#REF!</v>
      </c>
      <c r="X143" s="68"/>
    </row>
    <row r="144" spans="1:24" ht="15" x14ac:dyDescent="0.25">
      <c r="A144" s="144">
        <v>667100</v>
      </c>
      <c r="B144" s="59" t="s">
        <v>171</v>
      </c>
      <c r="C144" s="59" t="s">
        <v>216</v>
      </c>
      <c r="D144" s="63" t="s">
        <v>20</v>
      </c>
      <c r="E144" s="50" t="s">
        <v>444</v>
      </c>
      <c r="F144" s="59" t="s">
        <v>222</v>
      </c>
      <c r="G144" s="59" t="s">
        <v>225</v>
      </c>
      <c r="H144" s="98">
        <v>57.21</v>
      </c>
      <c r="I144" s="99">
        <v>61.93</v>
      </c>
      <c r="J144" s="99"/>
      <c r="K144" s="83">
        <f t="shared" si="20"/>
        <v>61.93</v>
      </c>
      <c r="L144" s="136">
        <f t="shared" si="21"/>
        <v>174.91666666666666</v>
      </c>
      <c r="M144" s="136">
        <v>2099</v>
      </c>
      <c r="N144" s="100">
        <f t="shared" si="23"/>
        <v>2.4297284421152931E-2</v>
      </c>
      <c r="O144" s="100">
        <f t="shared" si="24"/>
        <v>0</v>
      </c>
      <c r="P144" s="71"/>
      <c r="Q144" s="64" t="s">
        <v>235</v>
      </c>
      <c r="R144" s="63" t="s">
        <v>291</v>
      </c>
      <c r="S144" s="127">
        <v>51</v>
      </c>
      <c r="T144" s="126">
        <f t="shared" si="22"/>
        <v>3158.43</v>
      </c>
      <c r="U144" s="73" t="s">
        <v>293</v>
      </c>
      <c r="V144" s="151"/>
      <c r="W144" s="153" t="s">
        <v>260</v>
      </c>
      <c r="X144" s="68"/>
    </row>
    <row r="145" spans="1:24" ht="15" x14ac:dyDescent="0.25">
      <c r="A145" s="144">
        <v>667100</v>
      </c>
      <c r="B145" s="59" t="s">
        <v>171</v>
      </c>
      <c r="C145" s="59" t="s">
        <v>216</v>
      </c>
      <c r="D145" s="63" t="s">
        <v>20</v>
      </c>
      <c r="E145" s="50" t="s">
        <v>444</v>
      </c>
      <c r="F145" s="59" t="s">
        <v>222</v>
      </c>
      <c r="G145" s="59" t="s">
        <v>225</v>
      </c>
      <c r="H145" s="98">
        <v>57.21</v>
      </c>
      <c r="I145" s="99">
        <v>61.93</v>
      </c>
      <c r="J145" s="99"/>
      <c r="K145" s="83">
        <f t="shared" si="20"/>
        <v>61.93</v>
      </c>
      <c r="L145" s="136">
        <f t="shared" si="21"/>
        <v>174.91666666666666</v>
      </c>
      <c r="M145" s="136">
        <v>2099</v>
      </c>
      <c r="N145" s="100">
        <f t="shared" si="23"/>
        <v>0.13387327298713672</v>
      </c>
      <c r="O145" s="100">
        <f t="shared" si="24"/>
        <v>0</v>
      </c>
      <c r="P145" s="71"/>
      <c r="Q145" s="64" t="s">
        <v>232</v>
      </c>
      <c r="R145" s="63" t="s">
        <v>291</v>
      </c>
      <c r="S145" s="127">
        <v>281</v>
      </c>
      <c r="T145" s="126">
        <f t="shared" si="22"/>
        <v>17402.329999999998</v>
      </c>
      <c r="U145" s="67" t="s">
        <v>252</v>
      </c>
      <c r="V145" s="151"/>
      <c r="W145" s="63" t="s">
        <v>257</v>
      </c>
      <c r="X145" s="68"/>
    </row>
    <row r="146" spans="1:24" ht="15" x14ac:dyDescent="0.25">
      <c r="A146" s="144">
        <v>667100</v>
      </c>
      <c r="B146" s="59" t="s">
        <v>171</v>
      </c>
      <c r="C146" s="59" t="s">
        <v>216</v>
      </c>
      <c r="D146" s="63" t="s">
        <v>20</v>
      </c>
      <c r="E146" s="50" t="s">
        <v>444</v>
      </c>
      <c r="F146" s="59" t="s">
        <v>222</v>
      </c>
      <c r="G146" s="59" t="s">
        <v>225</v>
      </c>
      <c r="H146" s="98">
        <v>57.21</v>
      </c>
      <c r="I146" s="99">
        <v>61.93</v>
      </c>
      <c r="J146" s="99"/>
      <c r="K146" s="83">
        <f t="shared" si="20"/>
        <v>61.93</v>
      </c>
      <c r="L146" s="136">
        <f t="shared" si="21"/>
        <v>174.91666666666666</v>
      </c>
      <c r="M146" s="136">
        <v>2099</v>
      </c>
      <c r="N146" s="100">
        <f t="shared" si="23"/>
        <v>0.40257265364459266</v>
      </c>
      <c r="O146" s="100" t="e">
        <f t="shared" si="24"/>
        <v>#REF!</v>
      </c>
      <c r="P146" s="71"/>
      <c r="Q146" s="64" t="s">
        <v>230</v>
      </c>
      <c r="R146" s="63" t="s">
        <v>294</v>
      </c>
      <c r="S146" s="127">
        <v>845</v>
      </c>
      <c r="T146" s="126">
        <f t="shared" si="22"/>
        <v>52330.85</v>
      </c>
      <c r="U146" s="67" t="s">
        <v>252</v>
      </c>
      <c r="V146" s="151" t="e">
        <f>[1]!Tabella1[[#This Row],[Booking Hours]]</f>
        <v>#REF!</v>
      </c>
      <c r="W146" s="60" t="e">
        <f>[1]!Tabella1[[#This Row],[Booking Period]]</f>
        <v>#REF!</v>
      </c>
      <c r="X146" s="68"/>
    </row>
    <row r="147" spans="1:24" ht="15" x14ac:dyDescent="0.25">
      <c r="A147" s="144">
        <v>667100</v>
      </c>
      <c r="B147" s="59" t="s">
        <v>171</v>
      </c>
      <c r="C147" s="59" t="s">
        <v>216</v>
      </c>
      <c r="D147" s="63" t="s">
        <v>20</v>
      </c>
      <c r="E147" s="50" t="s">
        <v>444</v>
      </c>
      <c r="F147" s="59" t="s">
        <v>222</v>
      </c>
      <c r="G147" s="59" t="s">
        <v>225</v>
      </c>
      <c r="H147" s="98">
        <v>57.21</v>
      </c>
      <c r="I147" s="99">
        <v>61.93</v>
      </c>
      <c r="J147" s="99"/>
      <c r="K147" s="83">
        <f t="shared" si="20"/>
        <v>61.93</v>
      </c>
      <c r="L147" s="136">
        <f t="shared" si="21"/>
        <v>174.91666666666666</v>
      </c>
      <c r="M147" s="136">
        <v>2099</v>
      </c>
      <c r="N147" s="100">
        <f t="shared" si="23"/>
        <v>2.1438780371605525E-2</v>
      </c>
      <c r="O147" s="100" t="e">
        <f t="shared" si="24"/>
        <v>#REF!</v>
      </c>
      <c r="P147" s="71"/>
      <c r="Q147" s="66" t="s">
        <v>238</v>
      </c>
      <c r="R147" s="63" t="s">
        <v>295</v>
      </c>
      <c r="S147" s="127">
        <f>((45*4)*1)/4</f>
        <v>45</v>
      </c>
      <c r="T147" s="126">
        <f t="shared" si="22"/>
        <v>2786.85</v>
      </c>
      <c r="U147" s="67" t="s">
        <v>296</v>
      </c>
      <c r="V147" s="151" t="e">
        <f>[1]!Tabella1[[#This Row],[Booking Hours]]</f>
        <v>#REF!</v>
      </c>
      <c r="W147" s="63" t="e">
        <f>[1]!Tabella1[[#This Row],[Booking Period]]</f>
        <v>#REF!</v>
      </c>
      <c r="X147" s="68"/>
    </row>
    <row r="148" spans="1:24" ht="15" x14ac:dyDescent="0.25">
      <c r="A148" s="144">
        <v>667100</v>
      </c>
      <c r="B148" s="59" t="s">
        <v>171</v>
      </c>
      <c r="C148" s="59" t="s">
        <v>216</v>
      </c>
      <c r="D148" s="63" t="s">
        <v>20</v>
      </c>
      <c r="E148" s="50" t="s">
        <v>444</v>
      </c>
      <c r="F148" s="59" t="s">
        <v>222</v>
      </c>
      <c r="G148" s="59" t="s">
        <v>225</v>
      </c>
      <c r="H148" s="98">
        <v>57.21</v>
      </c>
      <c r="I148" s="99">
        <v>61.93</v>
      </c>
      <c r="J148" s="99"/>
      <c r="K148" s="83">
        <f t="shared" si="20"/>
        <v>61.93</v>
      </c>
      <c r="L148" s="136">
        <f t="shared" si="21"/>
        <v>174.91666666666666</v>
      </c>
      <c r="M148" s="136">
        <v>2099</v>
      </c>
      <c r="N148" s="100">
        <f t="shared" si="23"/>
        <v>0.25726536445926634</v>
      </c>
      <c r="O148" s="100" t="e">
        <f t="shared" si="24"/>
        <v>#REF!</v>
      </c>
      <c r="P148" s="71"/>
      <c r="Q148" s="64" t="s">
        <v>230</v>
      </c>
      <c r="R148" s="63" t="s">
        <v>295</v>
      </c>
      <c r="S148" s="127">
        <f>((45*4)*12)/4</f>
        <v>540</v>
      </c>
      <c r="T148" s="126">
        <f t="shared" si="22"/>
        <v>33442.199999999997</v>
      </c>
      <c r="U148" s="67" t="s">
        <v>252</v>
      </c>
      <c r="V148" s="151" t="e">
        <f>[1]!Tabella1[[#This Row],[Booking Hours]]</f>
        <v>#REF!</v>
      </c>
      <c r="W148" s="63" t="e">
        <f>[1]!Tabella1[[#This Row],[Booking Period]]</f>
        <v>#REF!</v>
      </c>
      <c r="X148" s="68"/>
    </row>
    <row r="149" spans="1:24" ht="15" x14ac:dyDescent="0.25">
      <c r="A149" s="144">
        <v>667100</v>
      </c>
      <c r="B149" s="59" t="s">
        <v>171</v>
      </c>
      <c r="C149" s="59" t="s">
        <v>216</v>
      </c>
      <c r="D149" s="63" t="s">
        <v>20</v>
      </c>
      <c r="E149" s="50" t="s">
        <v>444</v>
      </c>
      <c r="F149" s="59" t="s">
        <v>222</v>
      </c>
      <c r="G149" s="59" t="s">
        <v>225</v>
      </c>
      <c r="H149" s="98">
        <v>57.21</v>
      </c>
      <c r="I149" s="99">
        <v>61.93</v>
      </c>
      <c r="J149" s="99"/>
      <c r="K149" s="83">
        <f t="shared" si="20"/>
        <v>61.93</v>
      </c>
      <c r="L149" s="136">
        <f t="shared" si="21"/>
        <v>174.91666666666666</v>
      </c>
      <c r="M149" s="136">
        <v>2099</v>
      </c>
      <c r="N149" s="100">
        <f t="shared" si="23"/>
        <v>0.15626488804192473</v>
      </c>
      <c r="O149" s="100">
        <f t="shared" si="24"/>
        <v>0</v>
      </c>
      <c r="P149" s="71"/>
      <c r="Q149" s="64" t="s">
        <v>233</v>
      </c>
      <c r="R149" s="63" t="s">
        <v>297</v>
      </c>
      <c r="S149" s="127">
        <v>328</v>
      </c>
      <c r="T149" s="126">
        <f t="shared" si="22"/>
        <v>20313.04</v>
      </c>
      <c r="U149" s="67" t="s">
        <v>252</v>
      </c>
      <c r="V149" s="151">
        <v>0</v>
      </c>
      <c r="W149" s="60" t="s">
        <v>264</v>
      </c>
      <c r="X149" s="68"/>
    </row>
    <row r="150" spans="1:24" ht="15" x14ac:dyDescent="0.25">
      <c r="A150" s="145" t="s">
        <v>154</v>
      </c>
      <c r="B150" s="60" t="s">
        <v>29</v>
      </c>
      <c r="C150" s="59" t="s">
        <v>217</v>
      </c>
      <c r="D150" s="63" t="s">
        <v>28</v>
      </c>
      <c r="E150" s="49" t="s">
        <v>28</v>
      </c>
      <c r="F150" s="63" t="s">
        <v>223</v>
      </c>
      <c r="G150" s="59" t="s">
        <v>228</v>
      </c>
      <c r="H150" s="82">
        <v>82.14</v>
      </c>
      <c r="I150" s="83">
        <v>88.9</v>
      </c>
      <c r="J150" s="83"/>
      <c r="K150" s="83">
        <f t="shared" si="20"/>
        <v>88.9</v>
      </c>
      <c r="L150" s="136">
        <f t="shared" si="21"/>
        <v>140.83333333333334</v>
      </c>
      <c r="M150" s="136">
        <v>1690</v>
      </c>
      <c r="N150" s="100">
        <f t="shared" si="23"/>
        <v>4.142011834319527E-2</v>
      </c>
      <c r="O150" s="100">
        <f t="shared" si="24"/>
        <v>0</v>
      </c>
      <c r="P150" s="71"/>
      <c r="Q150" s="66" t="s">
        <v>238</v>
      </c>
      <c r="R150" s="63" t="s">
        <v>298</v>
      </c>
      <c r="S150" s="127">
        <v>70</v>
      </c>
      <c r="T150" s="126">
        <f t="shared" si="22"/>
        <v>6223</v>
      </c>
      <c r="U150" s="67" t="s">
        <v>269</v>
      </c>
      <c r="V150" s="151">
        <v>0</v>
      </c>
      <c r="W150" s="60" t="s">
        <v>264</v>
      </c>
      <c r="X150" s="68"/>
    </row>
    <row r="151" spans="1:24" ht="15" x14ac:dyDescent="0.25">
      <c r="A151" s="145" t="s">
        <v>154</v>
      </c>
      <c r="B151" s="60" t="s">
        <v>29</v>
      </c>
      <c r="C151" s="59" t="s">
        <v>217</v>
      </c>
      <c r="D151" s="63" t="s">
        <v>28</v>
      </c>
      <c r="E151" s="49" t="s">
        <v>28</v>
      </c>
      <c r="F151" s="63" t="s">
        <v>223</v>
      </c>
      <c r="G151" s="59" t="s">
        <v>228</v>
      </c>
      <c r="H151" s="82">
        <v>82.14</v>
      </c>
      <c r="I151" s="83">
        <v>88.9</v>
      </c>
      <c r="J151" s="83"/>
      <c r="K151" s="83">
        <f t="shared" si="20"/>
        <v>88.9</v>
      </c>
      <c r="L151" s="136">
        <f t="shared" si="21"/>
        <v>140.83333333333334</v>
      </c>
      <c r="M151" s="136">
        <v>1690</v>
      </c>
      <c r="N151" s="100">
        <f t="shared" si="23"/>
        <v>4.142011834319527E-2</v>
      </c>
      <c r="O151" s="100" t="e">
        <f t="shared" si="24"/>
        <v>#REF!</v>
      </c>
      <c r="P151" s="71"/>
      <c r="Q151" s="64" t="s">
        <v>230</v>
      </c>
      <c r="R151" s="63" t="s">
        <v>298</v>
      </c>
      <c r="S151" s="128">
        <v>70</v>
      </c>
      <c r="T151" s="126">
        <f t="shared" si="22"/>
        <v>6223</v>
      </c>
      <c r="U151" s="67" t="s">
        <v>269</v>
      </c>
      <c r="V151" s="151" t="e">
        <f>[1]!Tabella1[[#This Row],[Booking Hours]]</f>
        <v>#REF!</v>
      </c>
      <c r="W151" s="63" t="e">
        <f>[1]!Tabella1[[#This Row],[Booking Period]]</f>
        <v>#REF!</v>
      </c>
      <c r="X151" s="70"/>
    </row>
    <row r="152" spans="1:24" ht="15" x14ac:dyDescent="0.25">
      <c r="A152" s="145" t="s">
        <v>154</v>
      </c>
      <c r="B152" s="60" t="s">
        <v>29</v>
      </c>
      <c r="C152" s="59" t="s">
        <v>217</v>
      </c>
      <c r="D152" s="63" t="s">
        <v>28</v>
      </c>
      <c r="E152" s="49" t="s">
        <v>28</v>
      </c>
      <c r="F152" s="63" t="s">
        <v>223</v>
      </c>
      <c r="G152" s="59" t="s">
        <v>228</v>
      </c>
      <c r="H152" s="82">
        <v>82.14</v>
      </c>
      <c r="I152" s="83">
        <v>88.9</v>
      </c>
      <c r="J152" s="83"/>
      <c r="K152" s="83">
        <f t="shared" si="20"/>
        <v>88.9</v>
      </c>
      <c r="L152" s="136">
        <f t="shared" si="21"/>
        <v>140.83333333333334</v>
      </c>
      <c r="M152" s="136">
        <v>1690</v>
      </c>
      <c r="N152" s="100">
        <f t="shared" si="23"/>
        <v>4.142011834319527E-2</v>
      </c>
      <c r="O152" s="100" t="e">
        <f t="shared" si="24"/>
        <v>#REF!</v>
      </c>
      <c r="P152" s="71"/>
      <c r="Q152" s="64" t="s">
        <v>234</v>
      </c>
      <c r="R152" s="63" t="s">
        <v>298</v>
      </c>
      <c r="S152" s="128">
        <v>70</v>
      </c>
      <c r="T152" s="126">
        <f t="shared" si="22"/>
        <v>6223</v>
      </c>
      <c r="U152" s="67" t="s">
        <v>270</v>
      </c>
      <c r="V152" s="151" t="e">
        <f>[1]!Tabella1[[#This Row],[Booking Hours]]</f>
        <v>#REF!</v>
      </c>
      <c r="W152" s="60" t="e">
        <f>[1]!Tabella1[[#This Row],[Booking Period]]</f>
        <v>#REF!</v>
      </c>
      <c r="X152" s="70"/>
    </row>
    <row r="153" spans="1:24" ht="15" x14ac:dyDescent="0.25">
      <c r="A153" s="145" t="s">
        <v>154</v>
      </c>
      <c r="B153" s="60" t="s">
        <v>29</v>
      </c>
      <c r="C153" s="59" t="s">
        <v>217</v>
      </c>
      <c r="D153" s="63" t="s">
        <v>28</v>
      </c>
      <c r="E153" s="49" t="s">
        <v>28</v>
      </c>
      <c r="F153" s="63" t="s">
        <v>223</v>
      </c>
      <c r="G153" s="59" t="s">
        <v>228</v>
      </c>
      <c r="H153" s="82">
        <v>82.14</v>
      </c>
      <c r="I153" s="83">
        <v>88.9</v>
      </c>
      <c r="J153" s="83"/>
      <c r="K153" s="83">
        <f t="shared" si="20"/>
        <v>88.9</v>
      </c>
      <c r="L153" s="136">
        <f t="shared" si="21"/>
        <v>140.83333333333334</v>
      </c>
      <c r="M153" s="136">
        <v>1690</v>
      </c>
      <c r="N153" s="100">
        <f t="shared" si="23"/>
        <v>4.142011834319527E-2</v>
      </c>
      <c r="O153" s="100">
        <f t="shared" si="24"/>
        <v>0</v>
      </c>
      <c r="P153" s="71"/>
      <c r="Q153" s="64" t="s">
        <v>235</v>
      </c>
      <c r="R153" s="63" t="s">
        <v>298</v>
      </c>
      <c r="S153" s="128">
        <v>70</v>
      </c>
      <c r="T153" s="126">
        <f t="shared" si="22"/>
        <v>6223</v>
      </c>
      <c r="U153" s="67" t="s">
        <v>271</v>
      </c>
      <c r="V153" s="151"/>
      <c r="W153" s="153" t="s">
        <v>260</v>
      </c>
      <c r="X153" s="70"/>
    </row>
    <row r="154" spans="1:24" ht="15" x14ac:dyDescent="0.25">
      <c r="A154" s="145" t="s">
        <v>154</v>
      </c>
      <c r="B154" s="60" t="s">
        <v>29</v>
      </c>
      <c r="C154" s="59" t="s">
        <v>217</v>
      </c>
      <c r="D154" s="63" t="s">
        <v>28</v>
      </c>
      <c r="E154" s="49" t="s">
        <v>28</v>
      </c>
      <c r="F154" s="63" t="s">
        <v>223</v>
      </c>
      <c r="G154" s="59" t="s">
        <v>228</v>
      </c>
      <c r="H154" s="82">
        <v>82.14</v>
      </c>
      <c r="I154" s="83">
        <v>88.9</v>
      </c>
      <c r="J154" s="83"/>
      <c r="K154" s="83">
        <f t="shared" si="20"/>
        <v>88.9</v>
      </c>
      <c r="L154" s="136">
        <f t="shared" si="21"/>
        <v>140.83333333333334</v>
      </c>
      <c r="M154" s="136">
        <v>1690</v>
      </c>
      <c r="N154" s="100">
        <f t="shared" si="23"/>
        <v>4.142011834319527E-2</v>
      </c>
      <c r="O154" s="100" t="e">
        <f t="shared" si="24"/>
        <v>#REF!</v>
      </c>
      <c r="P154" s="71"/>
      <c r="Q154" s="64" t="s">
        <v>232</v>
      </c>
      <c r="R154" s="63" t="s">
        <v>298</v>
      </c>
      <c r="S154" s="128">
        <v>70</v>
      </c>
      <c r="T154" s="126">
        <f t="shared" si="22"/>
        <v>6223</v>
      </c>
      <c r="U154" s="67" t="s">
        <v>269</v>
      </c>
      <c r="V154" s="151" t="e">
        <f>[1]!Tabella1[[#This Row],[Booking Hours]]</f>
        <v>#REF!</v>
      </c>
      <c r="W154" s="63" t="e">
        <f>[1]!Tabella1[[#This Row],[Booking Period]]</f>
        <v>#REF!</v>
      </c>
      <c r="X154" s="70"/>
    </row>
    <row r="155" spans="1:24" ht="15" x14ac:dyDescent="0.25">
      <c r="A155" s="145" t="s">
        <v>154</v>
      </c>
      <c r="B155" s="60" t="s">
        <v>29</v>
      </c>
      <c r="C155" s="59" t="s">
        <v>217</v>
      </c>
      <c r="D155" s="63" t="s">
        <v>28</v>
      </c>
      <c r="E155" s="49" t="s">
        <v>28</v>
      </c>
      <c r="F155" s="63" t="s">
        <v>223</v>
      </c>
      <c r="G155" s="59" t="s">
        <v>228</v>
      </c>
      <c r="H155" s="82">
        <v>82.14</v>
      </c>
      <c r="I155" s="83">
        <v>88.9</v>
      </c>
      <c r="J155" s="83"/>
      <c r="K155" s="83">
        <f t="shared" si="20"/>
        <v>88.9</v>
      </c>
      <c r="L155" s="136">
        <f t="shared" si="21"/>
        <v>140.83333333333334</v>
      </c>
      <c r="M155" s="136">
        <v>1690</v>
      </c>
      <c r="N155" s="100">
        <f t="shared" si="23"/>
        <v>4.142011834319527E-2</v>
      </c>
      <c r="O155" s="100">
        <f t="shared" si="24"/>
        <v>0</v>
      </c>
      <c r="P155" s="71"/>
      <c r="Q155" s="64" t="s">
        <v>233</v>
      </c>
      <c r="R155" s="63" t="s">
        <v>298</v>
      </c>
      <c r="S155" s="128">
        <v>70</v>
      </c>
      <c r="T155" s="126">
        <f t="shared" si="22"/>
        <v>6223</v>
      </c>
      <c r="U155" s="67" t="s">
        <v>269</v>
      </c>
      <c r="V155" s="151"/>
      <c r="W155" s="71" t="s">
        <v>100</v>
      </c>
      <c r="X155" s="70"/>
    </row>
    <row r="156" spans="1:24" ht="15" x14ac:dyDescent="0.25">
      <c r="A156" s="145" t="s">
        <v>154</v>
      </c>
      <c r="B156" s="60" t="s">
        <v>29</v>
      </c>
      <c r="C156" s="59" t="s">
        <v>217</v>
      </c>
      <c r="D156" s="63" t="s">
        <v>28</v>
      </c>
      <c r="E156" s="49" t="s">
        <v>28</v>
      </c>
      <c r="F156" s="63" t="s">
        <v>223</v>
      </c>
      <c r="G156" s="59" t="s">
        <v>228</v>
      </c>
      <c r="H156" s="82">
        <v>82.14</v>
      </c>
      <c r="I156" s="83">
        <v>88.9</v>
      </c>
      <c r="J156" s="83"/>
      <c r="K156" s="83">
        <f t="shared" si="20"/>
        <v>88.9</v>
      </c>
      <c r="L156" s="136">
        <f t="shared" si="21"/>
        <v>140.83333333333334</v>
      </c>
      <c r="M156" s="136">
        <v>1690</v>
      </c>
      <c r="N156" s="100">
        <f t="shared" si="23"/>
        <v>1.4792899408284023E-2</v>
      </c>
      <c r="O156" s="100" t="e">
        <f t="shared" si="24"/>
        <v>#REF!</v>
      </c>
      <c r="P156" s="71"/>
      <c r="Q156" s="64" t="s">
        <v>230</v>
      </c>
      <c r="R156" s="63" t="s">
        <v>268</v>
      </c>
      <c r="S156" s="128">
        <v>25</v>
      </c>
      <c r="T156" s="126">
        <f t="shared" si="22"/>
        <v>2222.5</v>
      </c>
      <c r="U156" s="67" t="s">
        <v>269</v>
      </c>
      <c r="V156" s="151" t="e">
        <f>[1]!Tabella1[[#This Row],[Booking Hours]]</f>
        <v>#REF!</v>
      </c>
      <c r="W156" s="63" t="e">
        <f>[1]!Tabella1[[#This Row],[Booking Period]]</f>
        <v>#REF!</v>
      </c>
      <c r="X156" s="70"/>
    </row>
    <row r="157" spans="1:24" ht="15" x14ac:dyDescent="0.25">
      <c r="A157" s="145" t="s">
        <v>154</v>
      </c>
      <c r="B157" s="60" t="s">
        <v>29</v>
      </c>
      <c r="C157" s="59" t="s">
        <v>217</v>
      </c>
      <c r="D157" s="63" t="s">
        <v>28</v>
      </c>
      <c r="E157" s="49" t="s">
        <v>28</v>
      </c>
      <c r="F157" s="63" t="s">
        <v>223</v>
      </c>
      <c r="G157" s="59" t="s">
        <v>228</v>
      </c>
      <c r="H157" s="82">
        <v>82.14</v>
      </c>
      <c r="I157" s="83">
        <v>88.9</v>
      </c>
      <c r="J157" s="83"/>
      <c r="K157" s="83">
        <f t="shared" si="20"/>
        <v>88.9</v>
      </c>
      <c r="L157" s="136">
        <f t="shared" si="21"/>
        <v>140.83333333333334</v>
      </c>
      <c r="M157" s="136">
        <v>1690</v>
      </c>
      <c r="N157" s="100">
        <f t="shared" si="23"/>
        <v>1.4792899408284023E-2</v>
      </c>
      <c r="O157" s="100" t="e">
        <f t="shared" si="24"/>
        <v>#REF!</v>
      </c>
      <c r="P157" s="71"/>
      <c r="Q157" s="64" t="s">
        <v>234</v>
      </c>
      <c r="R157" s="63" t="s">
        <v>268</v>
      </c>
      <c r="S157" s="128">
        <v>25</v>
      </c>
      <c r="T157" s="126">
        <f t="shared" si="22"/>
        <v>2222.5</v>
      </c>
      <c r="U157" s="67" t="s">
        <v>270</v>
      </c>
      <c r="V157" s="151" t="e">
        <f>[1]!Tabella1[[#This Row],[Booking Hours]]</f>
        <v>#REF!</v>
      </c>
      <c r="W157" s="60" t="e">
        <f>[1]!Tabella1[[#This Row],[Booking Period]]</f>
        <v>#REF!</v>
      </c>
      <c r="X157" s="70"/>
    </row>
    <row r="158" spans="1:24" ht="15" x14ac:dyDescent="0.25">
      <c r="A158" s="145" t="s">
        <v>154</v>
      </c>
      <c r="B158" s="60" t="s">
        <v>29</v>
      </c>
      <c r="C158" s="59" t="s">
        <v>217</v>
      </c>
      <c r="D158" s="63" t="s">
        <v>28</v>
      </c>
      <c r="E158" s="49" t="s">
        <v>28</v>
      </c>
      <c r="F158" s="63" t="s">
        <v>223</v>
      </c>
      <c r="G158" s="59" t="s">
        <v>228</v>
      </c>
      <c r="H158" s="82">
        <v>82.14</v>
      </c>
      <c r="I158" s="83">
        <v>88.9</v>
      </c>
      <c r="J158" s="83"/>
      <c r="K158" s="83">
        <f t="shared" si="20"/>
        <v>88.9</v>
      </c>
      <c r="L158" s="136">
        <f t="shared" si="21"/>
        <v>140.83333333333334</v>
      </c>
      <c r="M158" s="136">
        <v>1690</v>
      </c>
      <c r="N158" s="100">
        <f t="shared" si="23"/>
        <v>1.4792899408284023E-2</v>
      </c>
      <c r="O158" s="100">
        <f t="shared" si="24"/>
        <v>0</v>
      </c>
      <c r="P158" s="71"/>
      <c r="Q158" s="64" t="s">
        <v>235</v>
      </c>
      <c r="R158" s="63" t="s">
        <v>268</v>
      </c>
      <c r="S158" s="128">
        <v>25</v>
      </c>
      <c r="T158" s="126">
        <f t="shared" si="22"/>
        <v>2222.5</v>
      </c>
      <c r="U158" s="67" t="s">
        <v>271</v>
      </c>
      <c r="V158" s="151"/>
      <c r="W158" s="153" t="s">
        <v>260</v>
      </c>
      <c r="X158" s="70"/>
    </row>
    <row r="159" spans="1:24" ht="15" x14ac:dyDescent="0.25">
      <c r="A159" s="145" t="s">
        <v>154</v>
      </c>
      <c r="B159" s="60" t="s">
        <v>29</v>
      </c>
      <c r="C159" s="59" t="s">
        <v>217</v>
      </c>
      <c r="D159" s="63" t="s">
        <v>28</v>
      </c>
      <c r="E159" s="49" t="s">
        <v>28</v>
      </c>
      <c r="F159" s="63" t="s">
        <v>223</v>
      </c>
      <c r="G159" s="59" t="s">
        <v>228</v>
      </c>
      <c r="H159" s="82">
        <v>82.14</v>
      </c>
      <c r="I159" s="83">
        <v>88.9</v>
      </c>
      <c r="J159" s="83"/>
      <c r="K159" s="83">
        <f t="shared" si="20"/>
        <v>88.9</v>
      </c>
      <c r="L159" s="136">
        <f t="shared" si="21"/>
        <v>140.83333333333334</v>
      </c>
      <c r="M159" s="136">
        <v>1690</v>
      </c>
      <c r="N159" s="100">
        <f t="shared" si="23"/>
        <v>1.4792899408284023E-2</v>
      </c>
      <c r="O159" s="100">
        <f t="shared" si="24"/>
        <v>0</v>
      </c>
      <c r="P159" s="71"/>
      <c r="Q159" s="64" t="s">
        <v>232</v>
      </c>
      <c r="R159" s="63" t="s">
        <v>268</v>
      </c>
      <c r="S159" s="128">
        <v>25</v>
      </c>
      <c r="T159" s="126">
        <f t="shared" si="22"/>
        <v>2222.5</v>
      </c>
      <c r="U159" s="67" t="s">
        <v>269</v>
      </c>
      <c r="V159" s="151">
        <v>0</v>
      </c>
      <c r="W159" s="63" t="s">
        <v>264</v>
      </c>
      <c r="X159" s="70"/>
    </row>
    <row r="160" spans="1:24" ht="15" x14ac:dyDescent="0.25">
      <c r="A160" s="145" t="s">
        <v>154</v>
      </c>
      <c r="B160" s="60" t="s">
        <v>29</v>
      </c>
      <c r="C160" s="59" t="s">
        <v>217</v>
      </c>
      <c r="D160" s="63" t="s">
        <v>28</v>
      </c>
      <c r="E160" s="49" t="s">
        <v>28</v>
      </c>
      <c r="F160" s="63" t="s">
        <v>223</v>
      </c>
      <c r="G160" s="59" t="s">
        <v>228</v>
      </c>
      <c r="H160" s="82">
        <v>82.14</v>
      </c>
      <c r="I160" s="83">
        <v>88.9</v>
      </c>
      <c r="J160" s="83"/>
      <c r="K160" s="83">
        <f t="shared" si="20"/>
        <v>88.9</v>
      </c>
      <c r="L160" s="136">
        <f t="shared" si="21"/>
        <v>140.83333333333334</v>
      </c>
      <c r="M160" s="136">
        <v>1690</v>
      </c>
      <c r="N160" s="100">
        <f t="shared" si="23"/>
        <v>1.4792899408284023E-2</v>
      </c>
      <c r="O160" s="100">
        <f t="shared" si="24"/>
        <v>0</v>
      </c>
      <c r="P160" s="71"/>
      <c r="Q160" s="64" t="s">
        <v>233</v>
      </c>
      <c r="R160" s="63" t="s">
        <v>268</v>
      </c>
      <c r="S160" s="128">
        <v>25</v>
      </c>
      <c r="T160" s="126">
        <f t="shared" si="22"/>
        <v>2222.5</v>
      </c>
      <c r="U160" s="67" t="s">
        <v>269</v>
      </c>
      <c r="V160" s="151"/>
      <c r="W160" s="71" t="s">
        <v>100</v>
      </c>
      <c r="X160" s="70"/>
    </row>
    <row r="161" spans="1:24" ht="15" x14ac:dyDescent="0.25">
      <c r="A161" s="145" t="s">
        <v>154</v>
      </c>
      <c r="B161" s="60" t="s">
        <v>29</v>
      </c>
      <c r="C161" s="59" t="s">
        <v>217</v>
      </c>
      <c r="D161" s="63" t="s">
        <v>28</v>
      </c>
      <c r="E161" s="49" t="s">
        <v>28</v>
      </c>
      <c r="F161" s="63" t="s">
        <v>223</v>
      </c>
      <c r="G161" s="59" t="s">
        <v>228</v>
      </c>
      <c r="H161" s="82">
        <v>82.14</v>
      </c>
      <c r="I161" s="83">
        <v>88.9</v>
      </c>
      <c r="J161" s="83"/>
      <c r="K161" s="83">
        <f t="shared" si="20"/>
        <v>88.9</v>
      </c>
      <c r="L161" s="136">
        <f t="shared" si="21"/>
        <v>140.83333333333334</v>
      </c>
      <c r="M161" s="136">
        <v>1690</v>
      </c>
      <c r="N161" s="100">
        <f t="shared" si="23"/>
        <v>4.142011834319527E-2</v>
      </c>
      <c r="O161" s="100" t="e">
        <f t="shared" si="24"/>
        <v>#REF!</v>
      </c>
      <c r="P161" s="71"/>
      <c r="Q161" s="66" t="s">
        <v>238</v>
      </c>
      <c r="R161" s="63" t="s">
        <v>299</v>
      </c>
      <c r="S161" s="128">
        <v>70</v>
      </c>
      <c r="T161" s="126">
        <f t="shared" si="22"/>
        <v>6223</v>
      </c>
      <c r="U161" s="67" t="s">
        <v>269</v>
      </c>
      <c r="V161" s="151" t="e">
        <f>[1]!Tabella1[[#This Row],[Booking Hours]]</f>
        <v>#REF!</v>
      </c>
      <c r="W161" s="60" t="e">
        <f>[1]!Tabella1[[#This Row],[Booking Period]]</f>
        <v>#REF!</v>
      </c>
      <c r="X161" s="70"/>
    </row>
    <row r="162" spans="1:24" ht="15" x14ac:dyDescent="0.25">
      <c r="A162" s="145" t="s">
        <v>154</v>
      </c>
      <c r="B162" s="60" t="s">
        <v>29</v>
      </c>
      <c r="C162" s="59" t="s">
        <v>217</v>
      </c>
      <c r="D162" s="63" t="s">
        <v>28</v>
      </c>
      <c r="E162" s="49" t="s">
        <v>28</v>
      </c>
      <c r="F162" s="63" t="s">
        <v>223</v>
      </c>
      <c r="G162" s="59" t="s">
        <v>228</v>
      </c>
      <c r="H162" s="82">
        <v>82.14</v>
      </c>
      <c r="I162" s="83">
        <v>88.9</v>
      </c>
      <c r="J162" s="83"/>
      <c r="K162" s="83">
        <f t="shared" si="20"/>
        <v>88.9</v>
      </c>
      <c r="L162" s="136">
        <f t="shared" si="21"/>
        <v>140.83333333333334</v>
      </c>
      <c r="M162" s="136">
        <v>1690</v>
      </c>
      <c r="N162" s="100">
        <f t="shared" si="23"/>
        <v>4.142011834319527E-2</v>
      </c>
      <c r="O162" s="100" t="e">
        <f t="shared" si="24"/>
        <v>#REF!</v>
      </c>
      <c r="P162" s="71"/>
      <c r="Q162" s="64" t="s">
        <v>230</v>
      </c>
      <c r="R162" s="63" t="s">
        <v>299</v>
      </c>
      <c r="S162" s="128">
        <v>70</v>
      </c>
      <c r="T162" s="126">
        <f t="shared" si="22"/>
        <v>6223</v>
      </c>
      <c r="U162" s="67" t="s">
        <v>269</v>
      </c>
      <c r="V162" s="151" t="e">
        <f>[1]!Tabella1[[#This Row],[Booking Hours]]</f>
        <v>#REF!</v>
      </c>
      <c r="W162" s="63" t="e">
        <f>[1]!Tabella1[[#This Row],[Booking Period]]</f>
        <v>#REF!</v>
      </c>
      <c r="X162" s="70"/>
    </row>
    <row r="163" spans="1:24" ht="15" x14ac:dyDescent="0.25">
      <c r="A163" s="145" t="s">
        <v>154</v>
      </c>
      <c r="B163" s="60" t="s">
        <v>29</v>
      </c>
      <c r="C163" s="59" t="s">
        <v>217</v>
      </c>
      <c r="D163" s="63" t="s">
        <v>28</v>
      </c>
      <c r="E163" s="49" t="s">
        <v>28</v>
      </c>
      <c r="F163" s="63" t="s">
        <v>223</v>
      </c>
      <c r="G163" s="59" t="s">
        <v>228</v>
      </c>
      <c r="H163" s="82">
        <v>82.14</v>
      </c>
      <c r="I163" s="83">
        <v>88.9</v>
      </c>
      <c r="J163" s="83"/>
      <c r="K163" s="83">
        <f t="shared" si="20"/>
        <v>88.9</v>
      </c>
      <c r="L163" s="136">
        <f t="shared" si="21"/>
        <v>140.83333333333334</v>
      </c>
      <c r="M163" s="136">
        <v>1690</v>
      </c>
      <c r="N163" s="100">
        <f t="shared" si="23"/>
        <v>4.142011834319527E-2</v>
      </c>
      <c r="O163" s="100">
        <f t="shared" si="24"/>
        <v>0</v>
      </c>
      <c r="P163" s="71"/>
      <c r="Q163" s="64" t="s">
        <v>234</v>
      </c>
      <c r="R163" s="63" t="s">
        <v>299</v>
      </c>
      <c r="S163" s="128">
        <v>70</v>
      </c>
      <c r="T163" s="126">
        <f t="shared" si="22"/>
        <v>6223</v>
      </c>
      <c r="U163" s="67" t="s">
        <v>270</v>
      </c>
      <c r="V163" s="154"/>
      <c r="W163" s="71" t="s">
        <v>100</v>
      </c>
      <c r="X163" s="70"/>
    </row>
    <row r="164" spans="1:24" ht="15" x14ac:dyDescent="0.25">
      <c r="A164" s="145" t="s">
        <v>154</v>
      </c>
      <c r="B164" s="60" t="s">
        <v>29</v>
      </c>
      <c r="C164" s="59" t="s">
        <v>217</v>
      </c>
      <c r="D164" s="63" t="s">
        <v>28</v>
      </c>
      <c r="E164" s="49" t="s">
        <v>28</v>
      </c>
      <c r="F164" s="63" t="s">
        <v>223</v>
      </c>
      <c r="G164" s="59" t="s">
        <v>228</v>
      </c>
      <c r="H164" s="82">
        <v>82.14</v>
      </c>
      <c r="I164" s="83">
        <v>88.9</v>
      </c>
      <c r="J164" s="83"/>
      <c r="K164" s="83">
        <f t="shared" si="20"/>
        <v>88.9</v>
      </c>
      <c r="L164" s="136">
        <f t="shared" si="21"/>
        <v>140.83333333333334</v>
      </c>
      <c r="M164" s="136">
        <v>1690</v>
      </c>
      <c r="N164" s="100">
        <f t="shared" si="23"/>
        <v>4.142011834319527E-2</v>
      </c>
      <c r="O164" s="100">
        <f t="shared" si="24"/>
        <v>0</v>
      </c>
      <c r="P164" s="71"/>
      <c r="Q164" s="64" t="s">
        <v>235</v>
      </c>
      <c r="R164" s="63" t="s">
        <v>299</v>
      </c>
      <c r="S164" s="128">
        <v>70</v>
      </c>
      <c r="T164" s="126">
        <f t="shared" si="22"/>
        <v>6223</v>
      </c>
      <c r="U164" s="67" t="s">
        <v>271</v>
      </c>
      <c r="V164" s="151"/>
      <c r="W164" s="153" t="s">
        <v>260</v>
      </c>
      <c r="X164" s="70"/>
    </row>
    <row r="165" spans="1:24" ht="15" x14ac:dyDescent="0.25">
      <c r="A165" s="145" t="s">
        <v>154</v>
      </c>
      <c r="B165" s="60" t="s">
        <v>29</v>
      </c>
      <c r="C165" s="59" t="s">
        <v>217</v>
      </c>
      <c r="D165" s="63" t="s">
        <v>28</v>
      </c>
      <c r="E165" s="49" t="s">
        <v>28</v>
      </c>
      <c r="F165" s="63" t="s">
        <v>223</v>
      </c>
      <c r="G165" s="59" t="s">
        <v>228</v>
      </c>
      <c r="H165" s="82">
        <v>82.14</v>
      </c>
      <c r="I165" s="83">
        <v>88.9</v>
      </c>
      <c r="J165" s="83"/>
      <c r="K165" s="83">
        <f t="shared" si="20"/>
        <v>88.9</v>
      </c>
      <c r="L165" s="136">
        <f t="shared" si="21"/>
        <v>140.83333333333334</v>
      </c>
      <c r="M165" s="136">
        <v>1690</v>
      </c>
      <c r="N165" s="100">
        <f t="shared" si="23"/>
        <v>4.142011834319527E-2</v>
      </c>
      <c r="O165" s="100" t="e">
        <f t="shared" si="24"/>
        <v>#REF!</v>
      </c>
      <c r="P165" s="71"/>
      <c r="Q165" s="64" t="s">
        <v>232</v>
      </c>
      <c r="R165" s="63" t="s">
        <v>299</v>
      </c>
      <c r="S165" s="128">
        <v>70</v>
      </c>
      <c r="T165" s="126">
        <f t="shared" si="22"/>
        <v>6223</v>
      </c>
      <c r="U165" s="67" t="s">
        <v>269</v>
      </c>
      <c r="V165" s="151" t="e">
        <f>[1]!Tabella1[[#This Row],[Booking Hours]]</f>
        <v>#REF!</v>
      </c>
      <c r="W165" s="63" t="e">
        <f>[1]!Tabella1[[#This Row],[Booking Period]]</f>
        <v>#REF!</v>
      </c>
      <c r="X165" s="70"/>
    </row>
    <row r="166" spans="1:24" ht="15" x14ac:dyDescent="0.25">
      <c r="A166" s="145" t="s">
        <v>154</v>
      </c>
      <c r="B166" s="60" t="s">
        <v>29</v>
      </c>
      <c r="C166" s="59" t="s">
        <v>217</v>
      </c>
      <c r="D166" s="63" t="s">
        <v>28</v>
      </c>
      <c r="E166" s="49" t="s">
        <v>28</v>
      </c>
      <c r="F166" s="63" t="s">
        <v>223</v>
      </c>
      <c r="G166" s="59" t="s">
        <v>228</v>
      </c>
      <c r="H166" s="82">
        <v>82.14</v>
      </c>
      <c r="I166" s="83">
        <v>88.9</v>
      </c>
      <c r="J166" s="83"/>
      <c r="K166" s="83">
        <f t="shared" si="20"/>
        <v>88.9</v>
      </c>
      <c r="L166" s="136">
        <f t="shared" si="21"/>
        <v>140.83333333333334</v>
      </c>
      <c r="M166" s="136">
        <v>1690</v>
      </c>
      <c r="N166" s="100">
        <f t="shared" si="23"/>
        <v>4.142011834319527E-2</v>
      </c>
      <c r="O166" s="100">
        <f t="shared" si="24"/>
        <v>0</v>
      </c>
      <c r="P166" s="71"/>
      <c r="Q166" s="64" t="s">
        <v>233</v>
      </c>
      <c r="R166" s="63" t="s">
        <v>299</v>
      </c>
      <c r="S166" s="128">
        <v>70</v>
      </c>
      <c r="T166" s="126">
        <f t="shared" si="22"/>
        <v>6223</v>
      </c>
      <c r="U166" s="67" t="s">
        <v>269</v>
      </c>
      <c r="V166" s="151"/>
      <c r="W166" s="71" t="s">
        <v>100</v>
      </c>
      <c r="X166" s="70"/>
    </row>
    <row r="167" spans="1:24" ht="15" x14ac:dyDescent="0.25">
      <c r="A167" s="145" t="s">
        <v>154</v>
      </c>
      <c r="B167" s="60" t="s">
        <v>29</v>
      </c>
      <c r="C167" s="59" t="s">
        <v>217</v>
      </c>
      <c r="D167" s="63" t="s">
        <v>28</v>
      </c>
      <c r="E167" s="49" t="s">
        <v>28</v>
      </c>
      <c r="F167" s="63" t="s">
        <v>223</v>
      </c>
      <c r="G167" s="59" t="s">
        <v>228</v>
      </c>
      <c r="H167" s="82">
        <v>82.14</v>
      </c>
      <c r="I167" s="83">
        <v>88.9</v>
      </c>
      <c r="J167" s="83"/>
      <c r="K167" s="83">
        <f t="shared" si="20"/>
        <v>88.9</v>
      </c>
      <c r="L167" s="136">
        <f t="shared" si="21"/>
        <v>140.83333333333334</v>
      </c>
      <c r="M167" s="136">
        <v>1690</v>
      </c>
      <c r="N167" s="100">
        <f t="shared" si="23"/>
        <v>3.5502958579881658E-2</v>
      </c>
      <c r="O167" s="100">
        <f t="shared" si="24"/>
        <v>0</v>
      </c>
      <c r="P167" s="71"/>
      <c r="Q167" s="66" t="s">
        <v>238</v>
      </c>
      <c r="R167" s="63" t="s">
        <v>300</v>
      </c>
      <c r="S167" s="125">
        <v>60</v>
      </c>
      <c r="T167" s="126">
        <f t="shared" si="22"/>
        <v>5334</v>
      </c>
      <c r="U167" s="67" t="s">
        <v>269</v>
      </c>
      <c r="V167" s="151">
        <v>0</v>
      </c>
      <c r="W167" s="60" t="s">
        <v>264</v>
      </c>
      <c r="X167" s="61"/>
    </row>
    <row r="168" spans="1:24" ht="15" x14ac:dyDescent="0.25">
      <c r="A168" s="145" t="s">
        <v>154</v>
      </c>
      <c r="B168" s="60" t="s">
        <v>29</v>
      </c>
      <c r="C168" s="59" t="s">
        <v>217</v>
      </c>
      <c r="D168" s="63" t="s">
        <v>28</v>
      </c>
      <c r="E168" s="49" t="s">
        <v>28</v>
      </c>
      <c r="F168" s="63" t="s">
        <v>223</v>
      </c>
      <c r="G168" s="59" t="s">
        <v>228</v>
      </c>
      <c r="H168" s="82">
        <v>82.14</v>
      </c>
      <c r="I168" s="83">
        <v>88.9</v>
      </c>
      <c r="J168" s="83"/>
      <c r="K168" s="83">
        <f t="shared" si="20"/>
        <v>88.9</v>
      </c>
      <c r="L168" s="136">
        <f t="shared" si="21"/>
        <v>140.83333333333334</v>
      </c>
      <c r="M168" s="136">
        <v>1690</v>
      </c>
      <c r="N168" s="100">
        <f t="shared" si="23"/>
        <v>3.5502958579881658E-2</v>
      </c>
      <c r="O168" s="100" t="e">
        <f t="shared" si="24"/>
        <v>#REF!</v>
      </c>
      <c r="P168" s="71"/>
      <c r="Q168" s="64" t="s">
        <v>230</v>
      </c>
      <c r="R168" s="63" t="s">
        <v>300</v>
      </c>
      <c r="S168" s="128">
        <v>60</v>
      </c>
      <c r="T168" s="126">
        <f t="shared" si="22"/>
        <v>5334</v>
      </c>
      <c r="U168" s="67" t="s">
        <v>269</v>
      </c>
      <c r="V168" s="151" t="e">
        <f>[1]!Tabella1[[#This Row],[Booking Hours]]</f>
        <v>#REF!</v>
      </c>
      <c r="W168" s="63" t="e">
        <f>[1]!Tabella1[[#This Row],[Booking Period]]</f>
        <v>#REF!</v>
      </c>
      <c r="X168" s="70"/>
    </row>
    <row r="169" spans="1:24" ht="15" x14ac:dyDescent="0.25">
      <c r="A169" s="145" t="s">
        <v>154</v>
      </c>
      <c r="B169" s="60" t="s">
        <v>29</v>
      </c>
      <c r="C169" s="59" t="s">
        <v>217</v>
      </c>
      <c r="D169" s="63" t="s">
        <v>28</v>
      </c>
      <c r="E169" s="49" t="s">
        <v>28</v>
      </c>
      <c r="F169" s="63" t="s">
        <v>223</v>
      </c>
      <c r="G169" s="59" t="s">
        <v>228</v>
      </c>
      <c r="H169" s="82">
        <v>82.14</v>
      </c>
      <c r="I169" s="83">
        <v>88.9</v>
      </c>
      <c r="J169" s="83"/>
      <c r="K169" s="83">
        <f t="shared" si="20"/>
        <v>88.9</v>
      </c>
      <c r="L169" s="136">
        <f t="shared" si="21"/>
        <v>140.83333333333334</v>
      </c>
      <c r="M169" s="136">
        <v>1690</v>
      </c>
      <c r="N169" s="100">
        <f t="shared" si="23"/>
        <v>3.5502958579881658E-2</v>
      </c>
      <c r="O169" s="100">
        <f t="shared" si="24"/>
        <v>0</v>
      </c>
      <c r="P169" s="71"/>
      <c r="Q169" s="64" t="s">
        <v>234</v>
      </c>
      <c r="R169" s="63" t="s">
        <v>300</v>
      </c>
      <c r="S169" s="128">
        <v>60</v>
      </c>
      <c r="T169" s="126">
        <f t="shared" si="22"/>
        <v>5334</v>
      </c>
      <c r="U169" s="67" t="s">
        <v>270</v>
      </c>
      <c r="V169" s="151">
        <v>0</v>
      </c>
      <c r="W169" s="60" t="s">
        <v>264</v>
      </c>
      <c r="X169" s="70"/>
    </row>
    <row r="170" spans="1:24" ht="15" x14ac:dyDescent="0.25">
      <c r="A170" s="145" t="s">
        <v>154</v>
      </c>
      <c r="B170" s="60" t="s">
        <v>29</v>
      </c>
      <c r="C170" s="59" t="s">
        <v>217</v>
      </c>
      <c r="D170" s="63" t="s">
        <v>28</v>
      </c>
      <c r="E170" s="49" t="s">
        <v>28</v>
      </c>
      <c r="F170" s="63" t="s">
        <v>223</v>
      </c>
      <c r="G170" s="59" t="s">
        <v>228</v>
      </c>
      <c r="H170" s="82">
        <v>82.14</v>
      </c>
      <c r="I170" s="83">
        <v>88.9</v>
      </c>
      <c r="J170" s="83"/>
      <c r="K170" s="83">
        <f t="shared" si="20"/>
        <v>88.9</v>
      </c>
      <c r="L170" s="136">
        <f t="shared" si="21"/>
        <v>140.83333333333334</v>
      </c>
      <c r="M170" s="136">
        <v>1690</v>
      </c>
      <c r="N170" s="100">
        <f t="shared" si="23"/>
        <v>3.5502958579881658E-2</v>
      </c>
      <c r="O170" s="100">
        <f t="shared" si="24"/>
        <v>0</v>
      </c>
      <c r="P170" s="71"/>
      <c r="Q170" s="64" t="s">
        <v>235</v>
      </c>
      <c r="R170" s="63" t="s">
        <v>300</v>
      </c>
      <c r="S170" s="128">
        <v>60</v>
      </c>
      <c r="T170" s="126">
        <f t="shared" si="22"/>
        <v>5334</v>
      </c>
      <c r="U170" s="67" t="s">
        <v>271</v>
      </c>
      <c r="V170" s="151"/>
      <c r="W170" s="153" t="s">
        <v>260</v>
      </c>
      <c r="X170" s="70"/>
    </row>
    <row r="171" spans="1:24" ht="15" x14ac:dyDescent="0.25">
      <c r="A171" s="145" t="s">
        <v>154</v>
      </c>
      <c r="B171" s="60" t="s">
        <v>29</v>
      </c>
      <c r="C171" s="59" t="s">
        <v>217</v>
      </c>
      <c r="D171" s="63" t="s">
        <v>28</v>
      </c>
      <c r="E171" s="49" t="s">
        <v>28</v>
      </c>
      <c r="F171" s="63" t="s">
        <v>223</v>
      </c>
      <c r="G171" s="59" t="s">
        <v>228</v>
      </c>
      <c r="H171" s="82">
        <v>82.14</v>
      </c>
      <c r="I171" s="83">
        <v>88.9</v>
      </c>
      <c r="J171" s="83"/>
      <c r="K171" s="83">
        <f t="shared" si="20"/>
        <v>88.9</v>
      </c>
      <c r="L171" s="136">
        <f t="shared" si="21"/>
        <v>140.83333333333334</v>
      </c>
      <c r="M171" s="136">
        <v>1690</v>
      </c>
      <c r="N171" s="100">
        <f t="shared" si="23"/>
        <v>3.5502958579881658E-2</v>
      </c>
      <c r="O171" s="100" t="e">
        <f t="shared" si="24"/>
        <v>#REF!</v>
      </c>
      <c r="P171" s="71"/>
      <c r="Q171" s="64" t="s">
        <v>232</v>
      </c>
      <c r="R171" s="63" t="s">
        <v>300</v>
      </c>
      <c r="S171" s="128">
        <v>60</v>
      </c>
      <c r="T171" s="126">
        <f t="shared" si="22"/>
        <v>5334</v>
      </c>
      <c r="U171" s="67" t="s">
        <v>269</v>
      </c>
      <c r="V171" s="151" t="e">
        <f>[1]!Tabella1[[#This Row],[Booking Hours]]</f>
        <v>#REF!</v>
      </c>
      <c r="W171" s="63" t="s">
        <v>257</v>
      </c>
      <c r="X171" s="70"/>
    </row>
    <row r="172" spans="1:24" ht="15" x14ac:dyDescent="0.25">
      <c r="A172" s="145" t="s">
        <v>154</v>
      </c>
      <c r="B172" s="60" t="s">
        <v>29</v>
      </c>
      <c r="C172" s="59" t="s">
        <v>217</v>
      </c>
      <c r="D172" s="63" t="s">
        <v>28</v>
      </c>
      <c r="E172" s="49" t="s">
        <v>28</v>
      </c>
      <c r="F172" s="63" t="s">
        <v>223</v>
      </c>
      <c r="G172" s="59" t="s">
        <v>228</v>
      </c>
      <c r="H172" s="82">
        <v>82.14</v>
      </c>
      <c r="I172" s="83">
        <v>88.9</v>
      </c>
      <c r="J172" s="83"/>
      <c r="K172" s="83">
        <f t="shared" si="20"/>
        <v>88.9</v>
      </c>
      <c r="L172" s="136">
        <f t="shared" si="21"/>
        <v>140.83333333333334</v>
      </c>
      <c r="M172" s="136">
        <v>1690</v>
      </c>
      <c r="N172" s="100">
        <f t="shared" si="23"/>
        <v>3.5502958579881658E-2</v>
      </c>
      <c r="O172" s="100" t="e">
        <f t="shared" si="24"/>
        <v>#REF!</v>
      </c>
      <c r="P172" s="71"/>
      <c r="Q172" s="64" t="s">
        <v>233</v>
      </c>
      <c r="R172" s="63" t="s">
        <v>300</v>
      </c>
      <c r="S172" s="128">
        <v>60</v>
      </c>
      <c r="T172" s="126">
        <f t="shared" si="22"/>
        <v>5334</v>
      </c>
      <c r="U172" s="67" t="s">
        <v>269</v>
      </c>
      <c r="V172" s="151" t="e">
        <f>[1]!Tabella1[[#This Row],[Booking Hours]]</f>
        <v>#REF!</v>
      </c>
      <c r="W172" s="60" t="e">
        <f>[1]!Tabella1[[#This Row],[Booking Period]]</f>
        <v>#REF!</v>
      </c>
      <c r="X172" s="70"/>
    </row>
    <row r="173" spans="1:24" ht="15" x14ac:dyDescent="0.25">
      <c r="A173" s="145" t="s">
        <v>154</v>
      </c>
      <c r="B173" s="60" t="s">
        <v>29</v>
      </c>
      <c r="C173" s="59" t="s">
        <v>217</v>
      </c>
      <c r="D173" s="63" t="s">
        <v>28</v>
      </c>
      <c r="E173" s="49" t="s">
        <v>28</v>
      </c>
      <c r="F173" s="63" t="s">
        <v>223</v>
      </c>
      <c r="G173" s="59" t="s">
        <v>228</v>
      </c>
      <c r="H173" s="82">
        <v>82.14</v>
      </c>
      <c r="I173" s="83">
        <v>88.9</v>
      </c>
      <c r="J173" s="83"/>
      <c r="K173" s="83">
        <f t="shared" si="20"/>
        <v>88.9</v>
      </c>
      <c r="L173" s="136">
        <f t="shared" si="21"/>
        <v>140.83333333333334</v>
      </c>
      <c r="M173" s="136">
        <v>1690</v>
      </c>
      <c r="N173" s="100">
        <f t="shared" si="23"/>
        <v>3.5502958579881658E-2</v>
      </c>
      <c r="O173" s="100">
        <f t="shared" si="24"/>
        <v>0</v>
      </c>
      <c r="P173" s="71"/>
      <c r="Q173" s="66" t="s">
        <v>238</v>
      </c>
      <c r="R173" s="63" t="s">
        <v>301</v>
      </c>
      <c r="S173" s="128">
        <v>60</v>
      </c>
      <c r="T173" s="126">
        <f t="shared" si="22"/>
        <v>5334</v>
      </c>
      <c r="U173" s="67" t="s">
        <v>269</v>
      </c>
      <c r="V173" s="151">
        <v>0</v>
      </c>
      <c r="W173" s="60" t="s">
        <v>264</v>
      </c>
      <c r="X173" s="74"/>
    </row>
    <row r="174" spans="1:24" ht="15" x14ac:dyDescent="0.25">
      <c r="A174" s="145" t="s">
        <v>154</v>
      </c>
      <c r="B174" s="60" t="s">
        <v>29</v>
      </c>
      <c r="C174" s="59" t="s">
        <v>217</v>
      </c>
      <c r="D174" s="63" t="s">
        <v>28</v>
      </c>
      <c r="E174" s="49" t="s">
        <v>28</v>
      </c>
      <c r="F174" s="63" t="s">
        <v>223</v>
      </c>
      <c r="G174" s="59" t="s">
        <v>228</v>
      </c>
      <c r="H174" s="82">
        <v>82.14</v>
      </c>
      <c r="I174" s="83">
        <v>88.9</v>
      </c>
      <c r="J174" s="83"/>
      <c r="K174" s="83">
        <f t="shared" si="20"/>
        <v>88.9</v>
      </c>
      <c r="L174" s="136">
        <f t="shared" si="21"/>
        <v>140.83333333333334</v>
      </c>
      <c r="M174" s="136">
        <v>1690</v>
      </c>
      <c r="N174" s="100">
        <f t="shared" si="23"/>
        <v>3.5502958579881658E-2</v>
      </c>
      <c r="O174" s="100" t="e">
        <f t="shared" si="24"/>
        <v>#REF!</v>
      </c>
      <c r="P174" s="71"/>
      <c r="Q174" s="64" t="s">
        <v>230</v>
      </c>
      <c r="R174" s="63" t="s">
        <v>301</v>
      </c>
      <c r="S174" s="128">
        <v>60</v>
      </c>
      <c r="T174" s="126">
        <f t="shared" si="22"/>
        <v>5334</v>
      </c>
      <c r="U174" s="67" t="s">
        <v>269</v>
      </c>
      <c r="V174" s="151" t="e">
        <f>[1]!Tabella1[[#This Row],[Booking Hours]]</f>
        <v>#REF!</v>
      </c>
      <c r="W174" s="63" t="e">
        <f>[1]!Tabella1[[#This Row],[Booking Period]]</f>
        <v>#REF!</v>
      </c>
      <c r="X174" s="70"/>
    </row>
    <row r="175" spans="1:24" ht="15" x14ac:dyDescent="0.25">
      <c r="A175" s="145" t="s">
        <v>154</v>
      </c>
      <c r="B175" s="60" t="s">
        <v>29</v>
      </c>
      <c r="C175" s="59" t="s">
        <v>217</v>
      </c>
      <c r="D175" s="63" t="s">
        <v>28</v>
      </c>
      <c r="E175" s="49" t="s">
        <v>28</v>
      </c>
      <c r="F175" s="63" t="s">
        <v>223</v>
      </c>
      <c r="G175" s="59" t="s">
        <v>228</v>
      </c>
      <c r="H175" s="82">
        <v>82.14</v>
      </c>
      <c r="I175" s="83">
        <v>88.9</v>
      </c>
      <c r="J175" s="83"/>
      <c r="K175" s="83">
        <f t="shared" si="20"/>
        <v>88.9</v>
      </c>
      <c r="L175" s="136">
        <f t="shared" si="21"/>
        <v>140.83333333333334</v>
      </c>
      <c r="M175" s="136">
        <v>1690</v>
      </c>
      <c r="N175" s="100">
        <f t="shared" si="23"/>
        <v>3.5502958579881658E-2</v>
      </c>
      <c r="O175" s="100" t="e">
        <f t="shared" si="24"/>
        <v>#REF!</v>
      </c>
      <c r="P175" s="71"/>
      <c r="Q175" s="64" t="s">
        <v>234</v>
      </c>
      <c r="R175" s="63" t="s">
        <v>301</v>
      </c>
      <c r="S175" s="128">
        <v>60</v>
      </c>
      <c r="T175" s="126">
        <f t="shared" si="22"/>
        <v>5334</v>
      </c>
      <c r="U175" s="67" t="s">
        <v>270</v>
      </c>
      <c r="V175" s="151" t="e">
        <f>[1]!Tabella1[[#This Row],[Booking Hours]]</f>
        <v>#REF!</v>
      </c>
      <c r="W175" s="60" t="e">
        <f>[1]!Tabella1[[#This Row],[Booking Period]]</f>
        <v>#REF!</v>
      </c>
      <c r="X175" s="70"/>
    </row>
    <row r="176" spans="1:24" ht="15" x14ac:dyDescent="0.25">
      <c r="A176" s="145" t="s">
        <v>154</v>
      </c>
      <c r="B176" s="60" t="s">
        <v>29</v>
      </c>
      <c r="C176" s="59" t="s">
        <v>217</v>
      </c>
      <c r="D176" s="63" t="s">
        <v>28</v>
      </c>
      <c r="E176" s="49" t="s">
        <v>28</v>
      </c>
      <c r="F176" s="63" t="s">
        <v>223</v>
      </c>
      <c r="G176" s="59" t="s">
        <v>228</v>
      </c>
      <c r="H176" s="82">
        <v>82.14</v>
      </c>
      <c r="I176" s="83">
        <v>88.9</v>
      </c>
      <c r="J176" s="83"/>
      <c r="K176" s="83">
        <f t="shared" si="20"/>
        <v>88.9</v>
      </c>
      <c r="L176" s="136">
        <f t="shared" si="21"/>
        <v>140.83333333333334</v>
      </c>
      <c r="M176" s="136">
        <v>1690</v>
      </c>
      <c r="N176" s="100">
        <f t="shared" si="23"/>
        <v>3.5502958579881658E-2</v>
      </c>
      <c r="O176" s="100">
        <f t="shared" si="24"/>
        <v>0</v>
      </c>
      <c r="P176" s="71"/>
      <c r="Q176" s="64" t="s">
        <v>235</v>
      </c>
      <c r="R176" s="63" t="s">
        <v>301</v>
      </c>
      <c r="S176" s="128">
        <v>60</v>
      </c>
      <c r="T176" s="126">
        <f t="shared" si="22"/>
        <v>5334</v>
      </c>
      <c r="U176" s="67" t="s">
        <v>271</v>
      </c>
      <c r="V176" s="151"/>
      <c r="W176" s="153" t="s">
        <v>260</v>
      </c>
      <c r="X176" s="70"/>
    </row>
    <row r="177" spans="1:24" ht="15" x14ac:dyDescent="0.25">
      <c r="A177" s="145" t="s">
        <v>154</v>
      </c>
      <c r="B177" s="60" t="s">
        <v>29</v>
      </c>
      <c r="C177" s="59" t="s">
        <v>217</v>
      </c>
      <c r="D177" s="63" t="s">
        <v>28</v>
      </c>
      <c r="E177" s="49" t="s">
        <v>28</v>
      </c>
      <c r="F177" s="63" t="s">
        <v>223</v>
      </c>
      <c r="G177" s="59" t="s">
        <v>228</v>
      </c>
      <c r="H177" s="82">
        <v>82.14</v>
      </c>
      <c r="I177" s="83">
        <v>88.9</v>
      </c>
      <c r="J177" s="83"/>
      <c r="K177" s="83">
        <f t="shared" si="20"/>
        <v>88.9</v>
      </c>
      <c r="L177" s="136">
        <f t="shared" si="21"/>
        <v>140.83333333333334</v>
      </c>
      <c r="M177" s="136">
        <v>1690</v>
      </c>
      <c r="N177" s="100">
        <f t="shared" si="23"/>
        <v>3.5502958579881658E-2</v>
      </c>
      <c r="O177" s="100">
        <f t="shared" si="24"/>
        <v>0</v>
      </c>
      <c r="P177" s="71"/>
      <c r="Q177" s="64" t="s">
        <v>232</v>
      </c>
      <c r="R177" s="63" t="s">
        <v>301</v>
      </c>
      <c r="S177" s="128">
        <v>60</v>
      </c>
      <c r="T177" s="126">
        <f t="shared" si="22"/>
        <v>5334</v>
      </c>
      <c r="U177" s="67" t="s">
        <v>269</v>
      </c>
      <c r="V177" s="151">
        <v>0</v>
      </c>
      <c r="W177" s="63" t="s">
        <v>264</v>
      </c>
      <c r="X177" s="70"/>
    </row>
    <row r="178" spans="1:24" ht="15" x14ac:dyDescent="0.25">
      <c r="A178" s="145" t="s">
        <v>154</v>
      </c>
      <c r="B178" s="60" t="s">
        <v>29</v>
      </c>
      <c r="C178" s="59" t="s">
        <v>217</v>
      </c>
      <c r="D178" s="63" t="s">
        <v>28</v>
      </c>
      <c r="E178" s="49" t="s">
        <v>28</v>
      </c>
      <c r="F178" s="63" t="s">
        <v>223</v>
      </c>
      <c r="G178" s="59" t="s">
        <v>228</v>
      </c>
      <c r="H178" s="82">
        <v>82.14</v>
      </c>
      <c r="I178" s="83">
        <v>88.9</v>
      </c>
      <c r="J178" s="83"/>
      <c r="K178" s="83">
        <f t="shared" si="20"/>
        <v>88.9</v>
      </c>
      <c r="L178" s="136">
        <f t="shared" si="21"/>
        <v>140.83333333333334</v>
      </c>
      <c r="M178" s="136">
        <v>1690</v>
      </c>
      <c r="N178" s="100">
        <f t="shared" si="23"/>
        <v>3.5502958579881658E-2</v>
      </c>
      <c r="O178" s="100" t="e">
        <f t="shared" si="24"/>
        <v>#REF!</v>
      </c>
      <c r="P178" s="71"/>
      <c r="Q178" s="64" t="s">
        <v>233</v>
      </c>
      <c r="R178" s="63" t="s">
        <v>301</v>
      </c>
      <c r="S178" s="128">
        <v>60</v>
      </c>
      <c r="T178" s="126">
        <f t="shared" si="22"/>
        <v>5334</v>
      </c>
      <c r="U178" s="67" t="s">
        <v>269</v>
      </c>
      <c r="V178" s="151" t="e">
        <f>[1]!Tabella1[[#This Row],[Booking Hours]]</f>
        <v>#REF!</v>
      </c>
      <c r="W178" s="60" t="e">
        <f>[1]!Tabella1[[#This Row],[Booking Period]]</f>
        <v>#REF!</v>
      </c>
      <c r="X178" s="70"/>
    </row>
    <row r="179" spans="1:24" ht="15" x14ac:dyDescent="0.25">
      <c r="A179" s="145" t="s">
        <v>152</v>
      </c>
      <c r="B179" s="63" t="s">
        <v>172</v>
      </c>
      <c r="C179" s="62" t="s">
        <v>215</v>
      </c>
      <c r="D179" s="60" t="s">
        <v>20</v>
      </c>
      <c r="E179" s="50" t="s">
        <v>441</v>
      </c>
      <c r="F179" s="62" t="s">
        <v>221</v>
      </c>
      <c r="G179" s="59" t="s">
        <v>224</v>
      </c>
      <c r="H179" s="98"/>
      <c r="I179" s="99"/>
      <c r="J179" s="99">
        <v>6.25</v>
      </c>
      <c r="K179" s="99">
        <f>J179</f>
        <v>6.25</v>
      </c>
      <c r="L179" s="136">
        <f>(60*4)</f>
        <v>240</v>
      </c>
      <c r="M179" s="136">
        <f>L179*12</f>
        <v>2880</v>
      </c>
      <c r="N179" s="100">
        <f t="shared" si="23"/>
        <v>0</v>
      </c>
      <c r="O179" s="100">
        <f t="shared" si="24"/>
        <v>0</v>
      </c>
      <c r="P179" s="71" t="s">
        <v>246</v>
      </c>
      <c r="Q179" s="60"/>
      <c r="R179" s="60"/>
      <c r="S179" s="125"/>
      <c r="T179" s="126">
        <f t="shared" si="22"/>
        <v>0</v>
      </c>
      <c r="U179" s="60"/>
      <c r="V179" s="151"/>
      <c r="W179" s="60"/>
      <c r="X179" s="61"/>
    </row>
    <row r="180" spans="1:24" ht="15" x14ac:dyDescent="0.25">
      <c r="A180" s="144" t="s">
        <v>153</v>
      </c>
      <c r="B180" s="62" t="s">
        <v>173</v>
      </c>
      <c r="C180" s="59" t="s">
        <v>216</v>
      </c>
      <c r="D180" s="60" t="s">
        <v>28</v>
      </c>
      <c r="E180" s="49" t="s">
        <v>28</v>
      </c>
      <c r="F180" s="59" t="s">
        <v>222</v>
      </c>
      <c r="G180" s="59" t="s">
        <v>225</v>
      </c>
      <c r="H180" s="98">
        <v>57.21</v>
      </c>
      <c r="I180" s="99">
        <v>61.93</v>
      </c>
      <c r="J180" s="102"/>
      <c r="K180" s="83">
        <f t="shared" ref="K180:K195" si="25">I180</f>
        <v>61.93</v>
      </c>
      <c r="L180" s="136">
        <f t="shared" ref="L180:L195" si="26">M180/12</f>
        <v>174.91666666666666</v>
      </c>
      <c r="M180" s="136">
        <v>2099</v>
      </c>
      <c r="N180" s="100">
        <f t="shared" si="23"/>
        <v>0.12863268222963317</v>
      </c>
      <c r="O180" s="100" t="e">
        <f t="shared" si="24"/>
        <v>#REF!</v>
      </c>
      <c r="P180" s="71"/>
      <c r="Q180" s="66" t="s">
        <v>238</v>
      </c>
      <c r="R180" s="60" t="s">
        <v>278</v>
      </c>
      <c r="S180" s="125">
        <v>270</v>
      </c>
      <c r="T180" s="126">
        <f t="shared" si="22"/>
        <v>16721.099999999999</v>
      </c>
      <c r="U180" s="60" t="s">
        <v>263</v>
      </c>
      <c r="V180" s="151" t="e">
        <f>[1]!Tabella1[[#This Row],[Booking Hours]]/2</f>
        <v>#REF!</v>
      </c>
      <c r="W180" s="60"/>
      <c r="X180" s="61"/>
    </row>
    <row r="181" spans="1:24" ht="15" x14ac:dyDescent="0.25">
      <c r="A181" s="144" t="s">
        <v>153</v>
      </c>
      <c r="B181" s="62" t="s">
        <v>173</v>
      </c>
      <c r="C181" s="59" t="s">
        <v>216</v>
      </c>
      <c r="D181" s="60" t="s">
        <v>28</v>
      </c>
      <c r="E181" s="49" t="s">
        <v>28</v>
      </c>
      <c r="F181" s="59" t="s">
        <v>222</v>
      </c>
      <c r="G181" s="59" t="s">
        <v>225</v>
      </c>
      <c r="H181" s="98">
        <v>57.21</v>
      </c>
      <c r="I181" s="99">
        <v>61.93</v>
      </c>
      <c r="J181" s="102"/>
      <c r="K181" s="83">
        <f t="shared" si="25"/>
        <v>61.93</v>
      </c>
      <c r="L181" s="136">
        <f t="shared" si="26"/>
        <v>174.91666666666666</v>
      </c>
      <c r="M181" s="136">
        <v>2099</v>
      </c>
      <c r="N181" s="100">
        <f t="shared" si="23"/>
        <v>0.12863268222963317</v>
      </c>
      <c r="O181" s="100" t="e">
        <f t="shared" si="24"/>
        <v>#REF!</v>
      </c>
      <c r="P181" s="71"/>
      <c r="Q181" s="64" t="s">
        <v>230</v>
      </c>
      <c r="R181" s="60" t="s">
        <v>279</v>
      </c>
      <c r="S181" s="125">
        <v>270</v>
      </c>
      <c r="T181" s="126">
        <f t="shared" si="22"/>
        <v>16721.099999999999</v>
      </c>
      <c r="U181" s="60" t="s">
        <v>263</v>
      </c>
      <c r="V181" s="151" t="e">
        <f>[1]!Tabella1[[#This Row],[Booking Hours]]</f>
        <v>#REF!</v>
      </c>
      <c r="W181" s="63" t="e">
        <f>[1]!Tabella1[[#This Row],[Booking Period]]</f>
        <v>#REF!</v>
      </c>
      <c r="X181" s="61"/>
    </row>
    <row r="182" spans="1:24" ht="15" x14ac:dyDescent="0.25">
      <c r="A182" s="144" t="s">
        <v>153</v>
      </c>
      <c r="B182" s="62" t="s">
        <v>173</v>
      </c>
      <c r="C182" s="59" t="s">
        <v>216</v>
      </c>
      <c r="D182" s="60" t="s">
        <v>28</v>
      </c>
      <c r="E182" s="49" t="s">
        <v>28</v>
      </c>
      <c r="F182" s="59" t="s">
        <v>222</v>
      </c>
      <c r="G182" s="59" t="s">
        <v>225</v>
      </c>
      <c r="H182" s="98">
        <v>57.21</v>
      </c>
      <c r="I182" s="99">
        <v>61.93</v>
      </c>
      <c r="J182" s="102"/>
      <c r="K182" s="83">
        <f t="shared" si="25"/>
        <v>61.93</v>
      </c>
      <c r="L182" s="136">
        <f t="shared" si="26"/>
        <v>174.91666666666666</v>
      </c>
      <c r="M182" s="136">
        <v>2099</v>
      </c>
      <c r="N182" s="100">
        <f t="shared" si="23"/>
        <v>0.12863268222963317</v>
      </c>
      <c r="O182" s="100">
        <f t="shared" si="24"/>
        <v>0</v>
      </c>
      <c r="P182" s="71"/>
      <c r="Q182" s="64" t="s">
        <v>234</v>
      </c>
      <c r="R182" s="60" t="s">
        <v>278</v>
      </c>
      <c r="S182" s="125">
        <v>270</v>
      </c>
      <c r="T182" s="126">
        <f t="shared" si="22"/>
        <v>16721.099999999999</v>
      </c>
      <c r="U182" s="60" t="s">
        <v>265</v>
      </c>
      <c r="V182" s="151">
        <v>0</v>
      </c>
      <c r="W182" s="60" t="s">
        <v>264</v>
      </c>
      <c r="X182" s="61"/>
    </row>
    <row r="183" spans="1:24" ht="15" x14ac:dyDescent="0.25">
      <c r="A183" s="144" t="s">
        <v>153</v>
      </c>
      <c r="B183" s="62" t="s">
        <v>173</v>
      </c>
      <c r="C183" s="59" t="s">
        <v>216</v>
      </c>
      <c r="D183" s="60" t="s">
        <v>28</v>
      </c>
      <c r="E183" s="49" t="s">
        <v>28</v>
      </c>
      <c r="F183" s="59" t="s">
        <v>222</v>
      </c>
      <c r="G183" s="59" t="s">
        <v>225</v>
      </c>
      <c r="H183" s="98">
        <v>57.21</v>
      </c>
      <c r="I183" s="99">
        <v>61.93</v>
      </c>
      <c r="J183" s="102"/>
      <c r="K183" s="83">
        <f t="shared" si="25"/>
        <v>61.93</v>
      </c>
      <c r="L183" s="136">
        <f t="shared" si="26"/>
        <v>174.91666666666666</v>
      </c>
      <c r="M183" s="136">
        <v>2099</v>
      </c>
      <c r="N183" s="100">
        <f t="shared" si="23"/>
        <v>4.287756074321105E-2</v>
      </c>
      <c r="O183" s="100">
        <f t="shared" si="24"/>
        <v>0</v>
      </c>
      <c r="P183" s="71"/>
      <c r="Q183" s="64" t="s">
        <v>235</v>
      </c>
      <c r="R183" s="60" t="s">
        <v>278</v>
      </c>
      <c r="S183" s="125">
        <v>90</v>
      </c>
      <c r="T183" s="126">
        <f t="shared" si="22"/>
        <v>5573.7</v>
      </c>
      <c r="U183" s="60" t="s">
        <v>266</v>
      </c>
      <c r="V183" s="151"/>
      <c r="W183" s="153" t="s">
        <v>260</v>
      </c>
      <c r="X183" s="61"/>
    </row>
    <row r="184" spans="1:24" ht="15" x14ac:dyDescent="0.25">
      <c r="A184" s="144" t="s">
        <v>153</v>
      </c>
      <c r="B184" s="62" t="s">
        <v>173</v>
      </c>
      <c r="C184" s="59" t="s">
        <v>216</v>
      </c>
      <c r="D184" s="60" t="s">
        <v>28</v>
      </c>
      <c r="E184" s="49" t="s">
        <v>28</v>
      </c>
      <c r="F184" s="59" t="s">
        <v>222</v>
      </c>
      <c r="G184" s="59" t="s">
        <v>225</v>
      </c>
      <c r="H184" s="98">
        <v>57.21</v>
      </c>
      <c r="I184" s="99">
        <v>61.93</v>
      </c>
      <c r="J184" s="102"/>
      <c r="K184" s="83">
        <f t="shared" si="25"/>
        <v>61.93</v>
      </c>
      <c r="L184" s="136">
        <f t="shared" si="26"/>
        <v>174.91666666666666</v>
      </c>
      <c r="M184" s="136">
        <v>2099</v>
      </c>
      <c r="N184" s="100">
        <f t="shared" si="23"/>
        <v>0.1715102429728442</v>
      </c>
      <c r="O184" s="100">
        <f t="shared" si="24"/>
        <v>0</v>
      </c>
      <c r="P184" s="71"/>
      <c r="Q184" s="64" t="s">
        <v>232</v>
      </c>
      <c r="R184" s="60" t="s">
        <v>278</v>
      </c>
      <c r="S184" s="125">
        <v>360</v>
      </c>
      <c r="T184" s="126">
        <f t="shared" si="22"/>
        <v>22294.799999999999</v>
      </c>
      <c r="U184" s="60" t="s">
        <v>263</v>
      </c>
      <c r="V184" s="151">
        <v>0</v>
      </c>
      <c r="W184" s="63" t="s">
        <v>264</v>
      </c>
      <c r="X184" s="61"/>
    </row>
    <row r="185" spans="1:24" ht="15" x14ac:dyDescent="0.25">
      <c r="A185" s="144" t="s">
        <v>153</v>
      </c>
      <c r="B185" s="62" t="s">
        <v>173</v>
      </c>
      <c r="C185" s="59" t="s">
        <v>216</v>
      </c>
      <c r="D185" s="60" t="s">
        <v>28</v>
      </c>
      <c r="E185" s="49" t="s">
        <v>28</v>
      </c>
      <c r="F185" s="59" t="s">
        <v>222</v>
      </c>
      <c r="G185" s="59" t="s">
        <v>225</v>
      </c>
      <c r="H185" s="98">
        <v>57.21</v>
      </c>
      <c r="I185" s="99">
        <v>61.93</v>
      </c>
      <c r="J185" s="102"/>
      <c r="K185" s="83">
        <f t="shared" si="25"/>
        <v>61.93</v>
      </c>
      <c r="L185" s="136">
        <f t="shared" si="26"/>
        <v>174.91666666666666</v>
      </c>
      <c r="M185" s="136">
        <v>2099</v>
      </c>
      <c r="N185" s="100">
        <f t="shared" si="23"/>
        <v>0.1715102429728442</v>
      </c>
      <c r="O185" s="100">
        <f t="shared" si="24"/>
        <v>0</v>
      </c>
      <c r="P185" s="71"/>
      <c r="Q185" s="64" t="s">
        <v>233</v>
      </c>
      <c r="R185" s="60" t="s">
        <v>278</v>
      </c>
      <c r="S185" s="125">
        <v>360</v>
      </c>
      <c r="T185" s="126">
        <f t="shared" si="22"/>
        <v>22294.799999999999</v>
      </c>
      <c r="U185" s="60" t="s">
        <v>263</v>
      </c>
      <c r="V185" s="151">
        <v>0</v>
      </c>
      <c r="W185" s="60" t="s">
        <v>264</v>
      </c>
      <c r="X185" s="61"/>
    </row>
    <row r="186" spans="1:24" ht="15" x14ac:dyDescent="0.25">
      <c r="A186" s="144" t="s">
        <v>153</v>
      </c>
      <c r="B186" s="62" t="s">
        <v>173</v>
      </c>
      <c r="C186" s="59" t="s">
        <v>216</v>
      </c>
      <c r="D186" s="60" t="s">
        <v>28</v>
      </c>
      <c r="E186" s="49" t="s">
        <v>28</v>
      </c>
      <c r="F186" s="59" t="s">
        <v>222</v>
      </c>
      <c r="G186" s="59" t="s">
        <v>225</v>
      </c>
      <c r="H186" s="98">
        <v>57.21</v>
      </c>
      <c r="I186" s="99">
        <v>61.93</v>
      </c>
      <c r="J186" s="102"/>
      <c r="K186" s="83">
        <f t="shared" si="25"/>
        <v>61.93</v>
      </c>
      <c r="L186" s="136">
        <f t="shared" si="26"/>
        <v>174.91666666666666</v>
      </c>
      <c r="M186" s="136">
        <v>2099</v>
      </c>
      <c r="N186" s="100">
        <f t="shared" si="23"/>
        <v>2.8585040495474036E-2</v>
      </c>
      <c r="O186" s="100" t="e">
        <f t="shared" si="24"/>
        <v>#REF!</v>
      </c>
      <c r="P186" s="71"/>
      <c r="Q186" s="64" t="s">
        <v>230</v>
      </c>
      <c r="R186" s="60" t="s">
        <v>302</v>
      </c>
      <c r="S186" s="125">
        <v>60</v>
      </c>
      <c r="T186" s="126">
        <f t="shared" si="22"/>
        <v>3715.8</v>
      </c>
      <c r="U186" s="60" t="s">
        <v>269</v>
      </c>
      <c r="V186" s="151" t="e">
        <f>[1]!Tabella1[[#This Row],[Booking Hours]]</f>
        <v>#REF!</v>
      </c>
      <c r="W186" s="63" t="e">
        <f>[1]!Tabella1[[#This Row],[Booking Period]]</f>
        <v>#REF!</v>
      </c>
      <c r="X186" s="61"/>
    </row>
    <row r="187" spans="1:24" ht="15" x14ac:dyDescent="0.25">
      <c r="A187" s="144" t="s">
        <v>153</v>
      </c>
      <c r="B187" s="62" t="s">
        <v>173</v>
      </c>
      <c r="C187" s="59" t="s">
        <v>216</v>
      </c>
      <c r="D187" s="60" t="s">
        <v>28</v>
      </c>
      <c r="E187" s="49" t="s">
        <v>28</v>
      </c>
      <c r="F187" s="59" t="s">
        <v>222</v>
      </c>
      <c r="G187" s="59" t="s">
        <v>225</v>
      </c>
      <c r="H187" s="98">
        <v>57.21</v>
      </c>
      <c r="I187" s="99">
        <v>61.93</v>
      </c>
      <c r="J187" s="102"/>
      <c r="K187" s="83">
        <f t="shared" si="25"/>
        <v>61.93</v>
      </c>
      <c r="L187" s="136">
        <f t="shared" si="26"/>
        <v>174.91666666666666</v>
      </c>
      <c r="M187" s="136">
        <v>2099</v>
      </c>
      <c r="N187" s="100">
        <f t="shared" si="23"/>
        <v>2.8585040495474036E-2</v>
      </c>
      <c r="O187" s="100">
        <f t="shared" si="24"/>
        <v>0</v>
      </c>
      <c r="P187" s="71"/>
      <c r="Q187" s="64" t="s">
        <v>234</v>
      </c>
      <c r="R187" s="60" t="s">
        <v>303</v>
      </c>
      <c r="S187" s="125">
        <v>60</v>
      </c>
      <c r="T187" s="126">
        <f t="shared" si="22"/>
        <v>3715.8</v>
      </c>
      <c r="U187" s="60" t="s">
        <v>270</v>
      </c>
      <c r="V187" s="151">
        <v>0</v>
      </c>
      <c r="W187" s="60" t="s">
        <v>264</v>
      </c>
      <c r="X187" s="61"/>
    </row>
    <row r="188" spans="1:24" ht="15" x14ac:dyDescent="0.25">
      <c r="A188" s="144" t="s">
        <v>153</v>
      </c>
      <c r="B188" s="62" t="s">
        <v>173</v>
      </c>
      <c r="C188" s="59" t="s">
        <v>216</v>
      </c>
      <c r="D188" s="60" t="s">
        <v>28</v>
      </c>
      <c r="E188" s="49" t="s">
        <v>28</v>
      </c>
      <c r="F188" s="59" t="s">
        <v>222</v>
      </c>
      <c r="G188" s="59" t="s">
        <v>225</v>
      </c>
      <c r="H188" s="98">
        <v>57.21</v>
      </c>
      <c r="I188" s="99">
        <v>61.93</v>
      </c>
      <c r="J188" s="102"/>
      <c r="K188" s="83">
        <f t="shared" si="25"/>
        <v>61.93</v>
      </c>
      <c r="L188" s="136">
        <f t="shared" si="26"/>
        <v>174.91666666666666</v>
      </c>
      <c r="M188" s="136">
        <v>2099</v>
      </c>
      <c r="N188" s="100">
        <f t="shared" si="23"/>
        <v>2.8585040495474036E-2</v>
      </c>
      <c r="O188" s="100">
        <f t="shared" si="24"/>
        <v>0</v>
      </c>
      <c r="P188" s="71"/>
      <c r="Q188" s="64" t="s">
        <v>235</v>
      </c>
      <c r="R188" s="60" t="s">
        <v>303</v>
      </c>
      <c r="S188" s="125">
        <v>60</v>
      </c>
      <c r="T188" s="126">
        <f t="shared" si="22"/>
        <v>3715.8</v>
      </c>
      <c r="U188" s="60" t="s">
        <v>271</v>
      </c>
      <c r="V188" s="151"/>
      <c r="W188" s="153" t="s">
        <v>260</v>
      </c>
      <c r="X188" s="61"/>
    </row>
    <row r="189" spans="1:24" ht="15" x14ac:dyDescent="0.25">
      <c r="A189" s="144" t="s">
        <v>153</v>
      </c>
      <c r="B189" s="62" t="s">
        <v>173</v>
      </c>
      <c r="C189" s="59" t="s">
        <v>216</v>
      </c>
      <c r="D189" s="60" t="s">
        <v>28</v>
      </c>
      <c r="E189" s="49" t="s">
        <v>28</v>
      </c>
      <c r="F189" s="59" t="s">
        <v>222</v>
      </c>
      <c r="G189" s="59" t="s">
        <v>225</v>
      </c>
      <c r="H189" s="98">
        <v>57.21</v>
      </c>
      <c r="I189" s="99">
        <v>61.93</v>
      </c>
      <c r="J189" s="102"/>
      <c r="K189" s="83">
        <f t="shared" si="25"/>
        <v>61.93</v>
      </c>
      <c r="L189" s="136">
        <f t="shared" si="26"/>
        <v>174.91666666666666</v>
      </c>
      <c r="M189" s="136">
        <v>2099</v>
      </c>
      <c r="N189" s="100">
        <f t="shared" si="23"/>
        <v>2.8585040495474036E-2</v>
      </c>
      <c r="O189" s="100" t="e">
        <f t="shared" si="24"/>
        <v>#REF!</v>
      </c>
      <c r="P189" s="71"/>
      <c r="Q189" s="64" t="s">
        <v>232</v>
      </c>
      <c r="R189" s="60" t="s">
        <v>303</v>
      </c>
      <c r="S189" s="125">
        <v>60</v>
      </c>
      <c r="T189" s="126">
        <f t="shared" si="22"/>
        <v>3715.8</v>
      </c>
      <c r="U189" s="60" t="s">
        <v>269</v>
      </c>
      <c r="V189" s="151" t="e">
        <f>[1]!Tabella1[[#This Row],[Booking Hours]]</f>
        <v>#REF!</v>
      </c>
      <c r="W189" s="63" t="e">
        <f>[1]!Tabella1[[#This Row],[Booking Period]]</f>
        <v>#REF!</v>
      </c>
      <c r="X189" s="61"/>
    </row>
    <row r="190" spans="1:24" ht="15" x14ac:dyDescent="0.25">
      <c r="A190" s="144" t="s">
        <v>153</v>
      </c>
      <c r="B190" s="62" t="s">
        <v>173</v>
      </c>
      <c r="C190" s="59" t="s">
        <v>216</v>
      </c>
      <c r="D190" s="60" t="s">
        <v>28</v>
      </c>
      <c r="E190" s="49" t="s">
        <v>28</v>
      </c>
      <c r="F190" s="59" t="s">
        <v>222</v>
      </c>
      <c r="G190" s="59" t="s">
        <v>225</v>
      </c>
      <c r="H190" s="98">
        <v>57.21</v>
      </c>
      <c r="I190" s="99">
        <v>61.93</v>
      </c>
      <c r="J190" s="102"/>
      <c r="K190" s="83">
        <f t="shared" si="25"/>
        <v>61.93</v>
      </c>
      <c r="L190" s="136">
        <f t="shared" si="26"/>
        <v>174.91666666666666</v>
      </c>
      <c r="M190" s="136">
        <v>2099</v>
      </c>
      <c r="N190" s="100">
        <f t="shared" si="23"/>
        <v>2.8585040495474036E-2</v>
      </c>
      <c r="O190" s="100">
        <f t="shared" si="24"/>
        <v>0</v>
      </c>
      <c r="P190" s="71"/>
      <c r="Q190" s="64" t="s">
        <v>233</v>
      </c>
      <c r="R190" s="60" t="s">
        <v>303</v>
      </c>
      <c r="S190" s="125">
        <v>60</v>
      </c>
      <c r="T190" s="126">
        <f t="shared" si="22"/>
        <v>3715.8</v>
      </c>
      <c r="U190" s="60" t="s">
        <v>269</v>
      </c>
      <c r="V190" s="151">
        <v>0</v>
      </c>
      <c r="W190" s="60" t="s">
        <v>264</v>
      </c>
      <c r="X190" s="61"/>
    </row>
    <row r="191" spans="1:24" ht="15" x14ac:dyDescent="0.25">
      <c r="A191" s="144" t="s">
        <v>153</v>
      </c>
      <c r="B191" s="62" t="s">
        <v>173</v>
      </c>
      <c r="C191" s="59" t="s">
        <v>216</v>
      </c>
      <c r="D191" s="60" t="s">
        <v>28</v>
      </c>
      <c r="E191" s="49" t="s">
        <v>28</v>
      </c>
      <c r="F191" s="59" t="s">
        <v>222</v>
      </c>
      <c r="G191" s="59" t="s">
        <v>225</v>
      </c>
      <c r="H191" s="98">
        <v>57.21</v>
      </c>
      <c r="I191" s="99">
        <v>61.93</v>
      </c>
      <c r="J191" s="102"/>
      <c r="K191" s="83">
        <f t="shared" si="25"/>
        <v>61.93</v>
      </c>
      <c r="L191" s="136">
        <f t="shared" si="26"/>
        <v>174.91666666666666</v>
      </c>
      <c r="M191" s="136">
        <v>2099</v>
      </c>
      <c r="N191" s="100">
        <f t="shared" si="23"/>
        <v>1.6674606955693186E-2</v>
      </c>
      <c r="O191" s="100" t="e">
        <f t="shared" si="24"/>
        <v>#REF!</v>
      </c>
      <c r="P191" s="71"/>
      <c r="Q191" s="64" t="s">
        <v>230</v>
      </c>
      <c r="R191" s="60" t="s">
        <v>280</v>
      </c>
      <c r="S191" s="125">
        <v>35</v>
      </c>
      <c r="T191" s="126">
        <f t="shared" si="22"/>
        <v>2167.5500000000002</v>
      </c>
      <c r="U191" s="60" t="s">
        <v>263</v>
      </c>
      <c r="V191" s="151" t="e">
        <f>[1]!Tabella1[[#This Row],[Booking Hours]]</f>
        <v>#REF!</v>
      </c>
      <c r="W191" s="63" t="e">
        <f>[1]!Tabella1[[#This Row],[Booking Period]]</f>
        <v>#REF!</v>
      </c>
      <c r="X191" s="61"/>
    </row>
    <row r="192" spans="1:24" ht="15" x14ac:dyDescent="0.25">
      <c r="A192" s="144" t="s">
        <v>153</v>
      </c>
      <c r="B192" s="62" t="s">
        <v>173</v>
      </c>
      <c r="C192" s="59" t="s">
        <v>216</v>
      </c>
      <c r="D192" s="60" t="s">
        <v>28</v>
      </c>
      <c r="E192" s="49" t="s">
        <v>28</v>
      </c>
      <c r="F192" s="59" t="s">
        <v>222</v>
      </c>
      <c r="G192" s="59" t="s">
        <v>225</v>
      </c>
      <c r="H192" s="98">
        <v>57.21</v>
      </c>
      <c r="I192" s="99">
        <v>61.93</v>
      </c>
      <c r="J192" s="102"/>
      <c r="K192" s="83">
        <f t="shared" si="25"/>
        <v>61.93</v>
      </c>
      <c r="L192" s="136">
        <f t="shared" si="26"/>
        <v>174.91666666666666</v>
      </c>
      <c r="M192" s="136">
        <v>2099</v>
      </c>
      <c r="N192" s="100">
        <f t="shared" si="23"/>
        <v>1.6674606955693186E-2</v>
      </c>
      <c r="O192" s="100">
        <f t="shared" si="24"/>
        <v>0</v>
      </c>
      <c r="P192" s="71"/>
      <c r="Q192" s="64" t="s">
        <v>234</v>
      </c>
      <c r="R192" s="60" t="s">
        <v>281</v>
      </c>
      <c r="S192" s="125">
        <v>35</v>
      </c>
      <c r="T192" s="126">
        <f t="shared" si="22"/>
        <v>2167.5500000000002</v>
      </c>
      <c r="U192" s="60" t="s">
        <v>265</v>
      </c>
      <c r="V192" s="151">
        <v>0</v>
      </c>
      <c r="W192" s="60" t="s">
        <v>264</v>
      </c>
      <c r="X192" s="61"/>
    </row>
    <row r="193" spans="1:24" ht="15" x14ac:dyDescent="0.25">
      <c r="A193" s="144" t="s">
        <v>153</v>
      </c>
      <c r="B193" s="62" t="s">
        <v>173</v>
      </c>
      <c r="C193" s="59" t="s">
        <v>216</v>
      </c>
      <c r="D193" s="60" t="s">
        <v>28</v>
      </c>
      <c r="E193" s="49" t="s">
        <v>28</v>
      </c>
      <c r="F193" s="59" t="s">
        <v>222</v>
      </c>
      <c r="G193" s="59" t="s">
        <v>225</v>
      </c>
      <c r="H193" s="98">
        <v>57.21</v>
      </c>
      <c r="I193" s="99">
        <v>61.93</v>
      </c>
      <c r="J193" s="102"/>
      <c r="K193" s="83">
        <f t="shared" si="25"/>
        <v>61.93</v>
      </c>
      <c r="L193" s="136">
        <f t="shared" si="26"/>
        <v>174.91666666666666</v>
      </c>
      <c r="M193" s="136">
        <v>2099</v>
      </c>
      <c r="N193" s="100">
        <f t="shared" si="23"/>
        <v>1.6674606955693186E-2</v>
      </c>
      <c r="O193" s="100">
        <f t="shared" si="24"/>
        <v>0</v>
      </c>
      <c r="P193" s="71"/>
      <c r="Q193" s="64" t="s">
        <v>235</v>
      </c>
      <c r="R193" s="60" t="s">
        <v>281</v>
      </c>
      <c r="S193" s="125">
        <v>35</v>
      </c>
      <c r="T193" s="126">
        <f t="shared" si="22"/>
        <v>2167.5500000000002</v>
      </c>
      <c r="U193" s="60" t="s">
        <v>266</v>
      </c>
      <c r="V193" s="151"/>
      <c r="W193" s="153" t="s">
        <v>260</v>
      </c>
      <c r="X193" s="61"/>
    </row>
    <row r="194" spans="1:24" ht="15" x14ac:dyDescent="0.25">
      <c r="A194" s="144" t="s">
        <v>153</v>
      </c>
      <c r="B194" s="62" t="s">
        <v>173</v>
      </c>
      <c r="C194" s="59" t="s">
        <v>216</v>
      </c>
      <c r="D194" s="60" t="s">
        <v>28</v>
      </c>
      <c r="E194" s="49" t="s">
        <v>28</v>
      </c>
      <c r="F194" s="59" t="s">
        <v>222</v>
      </c>
      <c r="G194" s="59" t="s">
        <v>225</v>
      </c>
      <c r="H194" s="98">
        <v>57.21</v>
      </c>
      <c r="I194" s="99">
        <v>61.93</v>
      </c>
      <c r="J194" s="102"/>
      <c r="K194" s="83">
        <f t="shared" si="25"/>
        <v>61.93</v>
      </c>
      <c r="L194" s="136">
        <f t="shared" si="26"/>
        <v>174.91666666666666</v>
      </c>
      <c r="M194" s="136">
        <v>2099</v>
      </c>
      <c r="N194" s="100">
        <f t="shared" si="23"/>
        <v>1.6674606955693186E-2</v>
      </c>
      <c r="O194" s="100" t="e">
        <f t="shared" si="24"/>
        <v>#REF!</v>
      </c>
      <c r="P194" s="71"/>
      <c r="Q194" s="64" t="s">
        <v>232</v>
      </c>
      <c r="R194" s="60" t="s">
        <v>281</v>
      </c>
      <c r="S194" s="125">
        <v>35</v>
      </c>
      <c r="T194" s="126">
        <f t="shared" ref="T194:T257" si="27">S194*I194</f>
        <v>2167.5500000000002</v>
      </c>
      <c r="U194" s="60" t="s">
        <v>263</v>
      </c>
      <c r="V194" s="151" t="e">
        <f>[1]!Tabella1[[#This Row],[Booking Hours]]</f>
        <v>#REF!</v>
      </c>
      <c r="W194" s="63" t="e">
        <f>[1]!Tabella1[[#This Row],[Booking Period]]</f>
        <v>#REF!</v>
      </c>
      <c r="X194" s="61"/>
    </row>
    <row r="195" spans="1:24" ht="15" x14ac:dyDescent="0.25">
      <c r="A195" s="144" t="s">
        <v>153</v>
      </c>
      <c r="B195" s="62" t="s">
        <v>173</v>
      </c>
      <c r="C195" s="59" t="s">
        <v>216</v>
      </c>
      <c r="D195" s="60" t="s">
        <v>28</v>
      </c>
      <c r="E195" s="49" t="s">
        <v>28</v>
      </c>
      <c r="F195" s="59" t="s">
        <v>222</v>
      </c>
      <c r="G195" s="59" t="s">
        <v>225</v>
      </c>
      <c r="H195" s="98">
        <v>57.21</v>
      </c>
      <c r="I195" s="99">
        <v>61.93</v>
      </c>
      <c r="J195" s="102"/>
      <c r="K195" s="83">
        <f t="shared" si="25"/>
        <v>61.93</v>
      </c>
      <c r="L195" s="136">
        <f t="shared" si="26"/>
        <v>174.91666666666666</v>
      </c>
      <c r="M195" s="136">
        <v>2099</v>
      </c>
      <c r="N195" s="100">
        <f t="shared" ref="N195:N258" si="28">S195/M195</f>
        <v>1.6674606955693186E-2</v>
      </c>
      <c r="O195" s="100">
        <f t="shared" ref="O195:O258" si="29">V195/M195</f>
        <v>0</v>
      </c>
      <c r="P195" s="71"/>
      <c r="Q195" s="64" t="s">
        <v>233</v>
      </c>
      <c r="R195" s="60" t="s">
        <v>281</v>
      </c>
      <c r="S195" s="125">
        <v>35</v>
      </c>
      <c r="T195" s="126">
        <f t="shared" si="27"/>
        <v>2167.5500000000002</v>
      </c>
      <c r="U195" s="60" t="s">
        <v>263</v>
      </c>
      <c r="V195" s="151">
        <v>0</v>
      </c>
      <c r="W195" s="60" t="s">
        <v>264</v>
      </c>
      <c r="X195" s="61"/>
    </row>
    <row r="196" spans="1:24" ht="15" x14ac:dyDescent="0.25">
      <c r="A196" s="145" t="s">
        <v>152</v>
      </c>
      <c r="B196" s="63" t="s">
        <v>174</v>
      </c>
      <c r="C196" s="62" t="s">
        <v>215</v>
      </c>
      <c r="D196" s="60" t="s">
        <v>20</v>
      </c>
      <c r="E196" s="50" t="s">
        <v>441</v>
      </c>
      <c r="F196" s="59" t="s">
        <v>221</v>
      </c>
      <c r="G196" s="59" t="s">
        <v>224</v>
      </c>
      <c r="H196" s="98"/>
      <c r="I196" s="99"/>
      <c r="J196" s="83">
        <v>6.25</v>
      </c>
      <c r="K196" s="99">
        <f t="shared" ref="K196:K221" si="30">J196</f>
        <v>6.25</v>
      </c>
      <c r="L196" s="136">
        <f t="shared" ref="L196:L221" si="31">(60*4)</f>
        <v>240</v>
      </c>
      <c r="M196" s="136">
        <f t="shared" ref="M196:M221" si="32">L196*12</f>
        <v>2880</v>
      </c>
      <c r="N196" s="100">
        <f t="shared" si="28"/>
        <v>0</v>
      </c>
      <c r="O196" s="100">
        <f t="shared" si="29"/>
        <v>0</v>
      </c>
      <c r="P196" s="71"/>
      <c r="Q196" s="60"/>
      <c r="R196" s="60"/>
      <c r="S196" s="125"/>
      <c r="T196" s="126">
        <f t="shared" si="27"/>
        <v>0</v>
      </c>
      <c r="U196" s="60"/>
      <c r="V196" s="151"/>
      <c r="W196" s="60"/>
      <c r="X196" s="61"/>
    </row>
    <row r="197" spans="1:24" ht="15" x14ac:dyDescent="0.25">
      <c r="A197" s="145" t="s">
        <v>152</v>
      </c>
      <c r="B197" s="63" t="s">
        <v>175</v>
      </c>
      <c r="C197" s="62" t="s">
        <v>215</v>
      </c>
      <c r="D197" s="60" t="s">
        <v>20</v>
      </c>
      <c r="E197" s="50" t="s">
        <v>441</v>
      </c>
      <c r="F197" s="62" t="s">
        <v>221</v>
      </c>
      <c r="G197" s="59" t="s">
        <v>224</v>
      </c>
      <c r="H197" s="98"/>
      <c r="I197" s="99"/>
      <c r="J197" s="99">
        <v>6.25</v>
      </c>
      <c r="K197" s="99">
        <f t="shared" si="30"/>
        <v>6.25</v>
      </c>
      <c r="L197" s="136">
        <f t="shared" si="31"/>
        <v>240</v>
      </c>
      <c r="M197" s="136">
        <f t="shared" si="32"/>
        <v>2880</v>
      </c>
      <c r="N197" s="100">
        <f t="shared" si="28"/>
        <v>0</v>
      </c>
      <c r="O197" s="100">
        <f t="shared" si="29"/>
        <v>0</v>
      </c>
      <c r="P197" s="71" t="s">
        <v>246</v>
      </c>
      <c r="Q197" s="60"/>
      <c r="R197" s="60"/>
      <c r="S197" s="125"/>
      <c r="T197" s="126">
        <f t="shared" si="27"/>
        <v>0</v>
      </c>
      <c r="U197" s="60"/>
      <c r="V197" s="151"/>
      <c r="W197" s="60"/>
      <c r="X197" s="61"/>
    </row>
    <row r="198" spans="1:24" ht="15" x14ac:dyDescent="0.25">
      <c r="A198" s="145" t="s">
        <v>152</v>
      </c>
      <c r="B198" s="63" t="s">
        <v>176</v>
      </c>
      <c r="C198" s="62" t="s">
        <v>215</v>
      </c>
      <c r="D198" s="60" t="s">
        <v>20</v>
      </c>
      <c r="E198" s="50" t="s">
        <v>442</v>
      </c>
      <c r="F198" s="62" t="s">
        <v>221</v>
      </c>
      <c r="G198" s="59" t="s">
        <v>224</v>
      </c>
      <c r="H198" s="98"/>
      <c r="I198" s="99"/>
      <c r="J198" s="99">
        <v>5.416666666666667</v>
      </c>
      <c r="K198" s="99">
        <f t="shared" si="30"/>
        <v>5.416666666666667</v>
      </c>
      <c r="L198" s="136">
        <f t="shared" si="31"/>
        <v>240</v>
      </c>
      <c r="M198" s="136">
        <f t="shared" si="32"/>
        <v>2880</v>
      </c>
      <c r="N198" s="100">
        <f t="shared" si="28"/>
        <v>0</v>
      </c>
      <c r="O198" s="100">
        <f t="shared" si="29"/>
        <v>0</v>
      </c>
      <c r="P198" s="71" t="s">
        <v>240</v>
      </c>
      <c r="Q198" s="64"/>
      <c r="R198" s="60" t="s">
        <v>273</v>
      </c>
      <c r="S198" s="125"/>
      <c r="T198" s="126">
        <f t="shared" si="27"/>
        <v>0</v>
      </c>
      <c r="U198" s="60" t="s">
        <v>252</v>
      </c>
      <c r="V198" s="151"/>
      <c r="W198" s="60"/>
      <c r="X198" s="61"/>
    </row>
    <row r="199" spans="1:24" ht="15" x14ac:dyDescent="0.25">
      <c r="A199" s="145" t="s">
        <v>152</v>
      </c>
      <c r="B199" s="63" t="s">
        <v>177</v>
      </c>
      <c r="C199" s="62" t="s">
        <v>215</v>
      </c>
      <c r="D199" s="60" t="s">
        <v>20</v>
      </c>
      <c r="E199" s="50" t="s">
        <v>442</v>
      </c>
      <c r="F199" s="62" t="s">
        <v>221</v>
      </c>
      <c r="G199" s="59" t="s">
        <v>224</v>
      </c>
      <c r="H199" s="98"/>
      <c r="I199" s="99"/>
      <c r="J199" s="99">
        <v>5.416666666666667</v>
      </c>
      <c r="K199" s="99">
        <f t="shared" si="30"/>
        <v>5.416666666666667</v>
      </c>
      <c r="L199" s="136">
        <f t="shared" si="31"/>
        <v>240</v>
      </c>
      <c r="M199" s="136">
        <f t="shared" si="32"/>
        <v>2880</v>
      </c>
      <c r="N199" s="100">
        <f t="shared" si="28"/>
        <v>1</v>
      </c>
      <c r="O199" s="100" t="e">
        <f t="shared" si="29"/>
        <v>#REF!</v>
      </c>
      <c r="P199" s="71"/>
      <c r="Q199" s="64" t="s">
        <v>230</v>
      </c>
      <c r="R199" s="60" t="s">
        <v>304</v>
      </c>
      <c r="S199" s="126">
        <f>((60*4)*12)</f>
        <v>2880</v>
      </c>
      <c r="T199" s="126">
        <f t="shared" si="27"/>
        <v>0</v>
      </c>
      <c r="U199" s="60" t="s">
        <v>252</v>
      </c>
      <c r="V199" s="151" t="e">
        <f>[1]!Tabella1[[#This Row],[Booking Hours]]</f>
        <v>#REF!</v>
      </c>
      <c r="W199" s="60" t="e">
        <f>[1]!Tabella1[[#This Row],[Booking Period]]</f>
        <v>#REF!</v>
      </c>
      <c r="X199" s="65"/>
    </row>
    <row r="200" spans="1:24" ht="15" x14ac:dyDescent="0.25">
      <c r="A200" s="145" t="s">
        <v>152</v>
      </c>
      <c r="B200" s="59" t="s">
        <v>178</v>
      </c>
      <c r="C200" s="62" t="s">
        <v>215</v>
      </c>
      <c r="D200" s="60" t="s">
        <v>28</v>
      </c>
      <c r="E200" s="49" t="s">
        <v>28</v>
      </c>
      <c r="F200" s="59" t="s">
        <v>221</v>
      </c>
      <c r="G200" s="59" t="s">
        <v>224</v>
      </c>
      <c r="H200" s="98"/>
      <c r="I200" s="99"/>
      <c r="J200" s="83">
        <v>6.666666666666667</v>
      </c>
      <c r="K200" s="99">
        <f t="shared" si="30"/>
        <v>6.666666666666667</v>
      </c>
      <c r="L200" s="136">
        <f t="shared" si="31"/>
        <v>240</v>
      </c>
      <c r="M200" s="136">
        <f t="shared" si="32"/>
        <v>2880</v>
      </c>
      <c r="N200" s="100">
        <f t="shared" si="28"/>
        <v>1.6666666666666666E-2</v>
      </c>
      <c r="O200" s="100">
        <f t="shared" si="29"/>
        <v>0</v>
      </c>
      <c r="P200" s="71"/>
      <c r="Q200" s="64" t="s">
        <v>236</v>
      </c>
      <c r="R200" s="60" t="s">
        <v>267</v>
      </c>
      <c r="S200" s="125">
        <v>48</v>
      </c>
      <c r="T200" s="126">
        <f t="shared" si="27"/>
        <v>0</v>
      </c>
      <c r="U200" s="60" t="s">
        <v>263</v>
      </c>
      <c r="V200" s="151">
        <v>0</v>
      </c>
      <c r="W200" s="60" t="s">
        <v>264</v>
      </c>
      <c r="X200" s="61"/>
    </row>
    <row r="201" spans="1:24" ht="15" x14ac:dyDescent="0.25">
      <c r="A201" s="145" t="s">
        <v>152</v>
      </c>
      <c r="B201" s="59" t="s">
        <v>178</v>
      </c>
      <c r="C201" s="62" t="s">
        <v>215</v>
      </c>
      <c r="D201" s="60" t="s">
        <v>28</v>
      </c>
      <c r="E201" s="49" t="s">
        <v>28</v>
      </c>
      <c r="F201" s="59" t="s">
        <v>221</v>
      </c>
      <c r="G201" s="59" t="s">
        <v>224</v>
      </c>
      <c r="H201" s="98"/>
      <c r="I201" s="99"/>
      <c r="J201" s="83">
        <v>6.666666666666667</v>
      </c>
      <c r="K201" s="99">
        <f t="shared" si="30"/>
        <v>6.666666666666667</v>
      </c>
      <c r="L201" s="136">
        <f t="shared" si="31"/>
        <v>240</v>
      </c>
      <c r="M201" s="136">
        <f t="shared" si="32"/>
        <v>2880</v>
      </c>
      <c r="N201" s="100">
        <f t="shared" si="28"/>
        <v>1.6666666666666666E-2</v>
      </c>
      <c r="O201" s="100" t="e">
        <f t="shared" si="29"/>
        <v>#REF!</v>
      </c>
      <c r="P201" s="71"/>
      <c r="Q201" s="64" t="s">
        <v>237</v>
      </c>
      <c r="R201" s="60" t="s">
        <v>267</v>
      </c>
      <c r="S201" s="128">
        <v>48</v>
      </c>
      <c r="T201" s="126">
        <f t="shared" si="27"/>
        <v>0</v>
      </c>
      <c r="U201" s="60" t="s">
        <v>263</v>
      </c>
      <c r="V201" s="151" t="e">
        <f>[1]!Tabella1[[#This Row],[Booking Hours]]</f>
        <v>#REF!</v>
      </c>
      <c r="W201" s="60" t="e">
        <f>[1]!Tabella1[[#This Row],[Booking Period]]</f>
        <v>#REF!</v>
      </c>
      <c r="X201" s="70"/>
    </row>
    <row r="202" spans="1:24" ht="15" x14ac:dyDescent="0.25">
      <c r="A202" s="145" t="s">
        <v>152</v>
      </c>
      <c r="B202" s="59" t="s">
        <v>178</v>
      </c>
      <c r="C202" s="62" t="s">
        <v>215</v>
      </c>
      <c r="D202" s="60" t="s">
        <v>28</v>
      </c>
      <c r="E202" s="49" t="s">
        <v>28</v>
      </c>
      <c r="F202" s="59" t="s">
        <v>221</v>
      </c>
      <c r="G202" s="59" t="s">
        <v>224</v>
      </c>
      <c r="H202" s="98"/>
      <c r="I202" s="99"/>
      <c r="J202" s="83">
        <v>6.666666666666667</v>
      </c>
      <c r="K202" s="99">
        <f t="shared" si="30"/>
        <v>6.666666666666667</v>
      </c>
      <c r="L202" s="136">
        <f t="shared" si="31"/>
        <v>240</v>
      </c>
      <c r="M202" s="136">
        <f t="shared" si="32"/>
        <v>2880</v>
      </c>
      <c r="N202" s="100">
        <f t="shared" si="28"/>
        <v>0.05</v>
      </c>
      <c r="O202" s="100" t="e">
        <f t="shared" si="29"/>
        <v>#REF!</v>
      </c>
      <c r="P202" s="71"/>
      <c r="Q202" s="66" t="s">
        <v>238</v>
      </c>
      <c r="R202" s="60" t="s">
        <v>267</v>
      </c>
      <c r="S202" s="128">
        <v>144</v>
      </c>
      <c r="T202" s="126">
        <f t="shared" si="27"/>
        <v>0</v>
      </c>
      <c r="U202" s="60" t="s">
        <v>263</v>
      </c>
      <c r="V202" s="151" t="e">
        <f>[1]!Tabella1[[#This Row],[Booking Hours]]</f>
        <v>#REF!</v>
      </c>
      <c r="W202" s="60" t="e">
        <f>[1]!Tabella1[[#This Row],[Booking Period]]</f>
        <v>#REF!</v>
      </c>
      <c r="X202" s="70"/>
    </row>
    <row r="203" spans="1:24" ht="15" x14ac:dyDescent="0.25">
      <c r="A203" s="145" t="s">
        <v>152</v>
      </c>
      <c r="B203" s="59" t="s">
        <v>178</v>
      </c>
      <c r="C203" s="62" t="s">
        <v>215</v>
      </c>
      <c r="D203" s="60" t="s">
        <v>28</v>
      </c>
      <c r="E203" s="49" t="s">
        <v>28</v>
      </c>
      <c r="F203" s="59" t="s">
        <v>221</v>
      </c>
      <c r="G203" s="59" t="s">
        <v>224</v>
      </c>
      <c r="H203" s="98"/>
      <c r="I203" s="99"/>
      <c r="J203" s="83">
        <v>6.666666666666667</v>
      </c>
      <c r="K203" s="99">
        <f t="shared" si="30"/>
        <v>6.666666666666667</v>
      </c>
      <c r="L203" s="136">
        <f t="shared" si="31"/>
        <v>240</v>
      </c>
      <c r="M203" s="136">
        <f t="shared" si="32"/>
        <v>2880</v>
      </c>
      <c r="N203" s="100">
        <f t="shared" si="28"/>
        <v>0.05</v>
      </c>
      <c r="O203" s="100" t="e">
        <f t="shared" si="29"/>
        <v>#REF!</v>
      </c>
      <c r="P203" s="71"/>
      <c r="Q203" s="64" t="s">
        <v>230</v>
      </c>
      <c r="R203" s="60" t="s">
        <v>267</v>
      </c>
      <c r="S203" s="128">
        <v>144</v>
      </c>
      <c r="T203" s="126">
        <f t="shared" si="27"/>
        <v>0</v>
      </c>
      <c r="U203" s="60" t="s">
        <v>263</v>
      </c>
      <c r="V203" s="151" t="e">
        <f>[1]!Tabella1[[#This Row],[Booking Hours]]</f>
        <v>#REF!</v>
      </c>
      <c r="W203" s="63" t="e">
        <f>[1]!Tabella1[[#This Row],[Booking Period]]</f>
        <v>#REF!</v>
      </c>
      <c r="X203" s="70"/>
    </row>
    <row r="204" spans="1:24" ht="15" x14ac:dyDescent="0.25">
      <c r="A204" s="145" t="s">
        <v>152</v>
      </c>
      <c r="B204" s="59" t="s">
        <v>178</v>
      </c>
      <c r="C204" s="62" t="s">
        <v>215</v>
      </c>
      <c r="D204" s="60" t="s">
        <v>28</v>
      </c>
      <c r="E204" s="49" t="s">
        <v>28</v>
      </c>
      <c r="F204" s="59" t="s">
        <v>221</v>
      </c>
      <c r="G204" s="59" t="s">
        <v>224</v>
      </c>
      <c r="H204" s="98"/>
      <c r="I204" s="99"/>
      <c r="J204" s="83">
        <v>6.666666666666667</v>
      </c>
      <c r="K204" s="99">
        <f t="shared" si="30"/>
        <v>6.666666666666667</v>
      </c>
      <c r="L204" s="136">
        <f t="shared" si="31"/>
        <v>240</v>
      </c>
      <c r="M204" s="136">
        <f t="shared" si="32"/>
        <v>2880</v>
      </c>
      <c r="N204" s="100">
        <f t="shared" si="28"/>
        <v>0.05</v>
      </c>
      <c r="O204" s="100" t="e">
        <f t="shared" si="29"/>
        <v>#REF!</v>
      </c>
      <c r="P204" s="71"/>
      <c r="Q204" s="64" t="s">
        <v>234</v>
      </c>
      <c r="R204" s="60" t="s">
        <v>267</v>
      </c>
      <c r="S204" s="128">
        <v>144</v>
      </c>
      <c r="T204" s="126">
        <f t="shared" si="27"/>
        <v>0</v>
      </c>
      <c r="U204" s="60" t="s">
        <v>265</v>
      </c>
      <c r="V204" s="151" t="e">
        <f>[1]!Tabella1[[#This Row],[Booking Hours]]</f>
        <v>#REF!</v>
      </c>
      <c r="W204" s="60" t="e">
        <f>[1]!Tabella1[[#This Row],[Booking Period]]</f>
        <v>#REF!</v>
      </c>
      <c r="X204" s="70"/>
    </row>
    <row r="205" spans="1:24" ht="15" x14ac:dyDescent="0.25">
      <c r="A205" s="145" t="s">
        <v>152</v>
      </c>
      <c r="B205" s="59" t="s">
        <v>178</v>
      </c>
      <c r="C205" s="62" t="s">
        <v>215</v>
      </c>
      <c r="D205" s="60" t="s">
        <v>28</v>
      </c>
      <c r="E205" s="49" t="s">
        <v>28</v>
      </c>
      <c r="F205" s="59" t="s">
        <v>221</v>
      </c>
      <c r="G205" s="59" t="s">
        <v>224</v>
      </c>
      <c r="H205" s="98"/>
      <c r="I205" s="99"/>
      <c r="J205" s="83">
        <v>6.666666666666667</v>
      </c>
      <c r="K205" s="99">
        <f t="shared" si="30"/>
        <v>6.666666666666667</v>
      </c>
      <c r="L205" s="136">
        <f t="shared" si="31"/>
        <v>240</v>
      </c>
      <c r="M205" s="136">
        <f t="shared" si="32"/>
        <v>2880</v>
      </c>
      <c r="N205" s="100">
        <f t="shared" si="28"/>
        <v>1.2500000000000001E-2</v>
      </c>
      <c r="O205" s="100">
        <f t="shared" si="29"/>
        <v>0</v>
      </c>
      <c r="P205" s="71"/>
      <c r="Q205" s="64" t="s">
        <v>235</v>
      </c>
      <c r="R205" s="60" t="s">
        <v>267</v>
      </c>
      <c r="S205" s="128">
        <v>36</v>
      </c>
      <c r="T205" s="126">
        <f t="shared" si="27"/>
        <v>0</v>
      </c>
      <c r="U205" s="60" t="s">
        <v>266</v>
      </c>
      <c r="V205" s="151"/>
      <c r="W205" s="153" t="s">
        <v>260</v>
      </c>
      <c r="X205" s="70"/>
    </row>
    <row r="206" spans="1:24" ht="15" x14ac:dyDescent="0.25">
      <c r="A206" s="145" t="s">
        <v>152</v>
      </c>
      <c r="B206" s="59" t="s">
        <v>178</v>
      </c>
      <c r="C206" s="62" t="s">
        <v>215</v>
      </c>
      <c r="D206" s="60" t="s">
        <v>28</v>
      </c>
      <c r="E206" s="49" t="s">
        <v>28</v>
      </c>
      <c r="F206" s="59" t="s">
        <v>221</v>
      </c>
      <c r="G206" s="59" t="s">
        <v>224</v>
      </c>
      <c r="H206" s="98"/>
      <c r="I206" s="99"/>
      <c r="J206" s="83">
        <v>6.666666666666667</v>
      </c>
      <c r="K206" s="99">
        <f t="shared" si="30"/>
        <v>6.666666666666667</v>
      </c>
      <c r="L206" s="136">
        <f t="shared" si="31"/>
        <v>240</v>
      </c>
      <c r="M206" s="136">
        <f t="shared" si="32"/>
        <v>2880</v>
      </c>
      <c r="N206" s="100">
        <f t="shared" si="28"/>
        <v>0.05</v>
      </c>
      <c r="O206" s="100">
        <f t="shared" si="29"/>
        <v>0</v>
      </c>
      <c r="P206" s="71"/>
      <c r="Q206" s="64" t="s">
        <v>232</v>
      </c>
      <c r="R206" s="60" t="s">
        <v>267</v>
      </c>
      <c r="S206" s="128">
        <v>144</v>
      </c>
      <c r="T206" s="126">
        <f t="shared" si="27"/>
        <v>0</v>
      </c>
      <c r="U206" s="60" t="s">
        <v>263</v>
      </c>
      <c r="V206" s="151">
        <v>0</v>
      </c>
      <c r="W206" s="63" t="s">
        <v>264</v>
      </c>
      <c r="X206" s="70"/>
    </row>
    <row r="207" spans="1:24" ht="15" x14ac:dyDescent="0.25">
      <c r="A207" s="145" t="s">
        <v>152</v>
      </c>
      <c r="B207" s="59" t="s">
        <v>178</v>
      </c>
      <c r="C207" s="62" t="s">
        <v>215</v>
      </c>
      <c r="D207" s="60" t="s">
        <v>28</v>
      </c>
      <c r="E207" s="49" t="s">
        <v>28</v>
      </c>
      <c r="F207" s="59" t="s">
        <v>221</v>
      </c>
      <c r="G207" s="59" t="s">
        <v>224</v>
      </c>
      <c r="H207" s="98"/>
      <c r="I207" s="99"/>
      <c r="J207" s="83">
        <v>6.666666666666667</v>
      </c>
      <c r="K207" s="99">
        <f t="shared" si="30"/>
        <v>6.666666666666667</v>
      </c>
      <c r="L207" s="136">
        <f t="shared" si="31"/>
        <v>240</v>
      </c>
      <c r="M207" s="136">
        <f t="shared" si="32"/>
        <v>2880</v>
      </c>
      <c r="N207" s="100">
        <f t="shared" si="28"/>
        <v>0.05</v>
      </c>
      <c r="O207" s="100">
        <f t="shared" si="29"/>
        <v>0</v>
      </c>
      <c r="P207" s="71"/>
      <c r="Q207" s="64" t="s">
        <v>233</v>
      </c>
      <c r="R207" s="60" t="s">
        <v>267</v>
      </c>
      <c r="S207" s="128">
        <v>144</v>
      </c>
      <c r="T207" s="126">
        <f t="shared" si="27"/>
        <v>0</v>
      </c>
      <c r="U207" s="60" t="s">
        <v>263</v>
      </c>
      <c r="V207" s="151"/>
      <c r="W207" s="71" t="s">
        <v>100</v>
      </c>
      <c r="X207" s="70"/>
    </row>
    <row r="208" spans="1:24" ht="15" x14ac:dyDescent="0.25">
      <c r="A208" s="145" t="s">
        <v>152</v>
      </c>
      <c r="B208" s="59" t="s">
        <v>178</v>
      </c>
      <c r="C208" s="62" t="s">
        <v>215</v>
      </c>
      <c r="D208" s="60" t="s">
        <v>28</v>
      </c>
      <c r="E208" s="49" t="s">
        <v>28</v>
      </c>
      <c r="F208" s="59" t="s">
        <v>221</v>
      </c>
      <c r="G208" s="59" t="s">
        <v>224</v>
      </c>
      <c r="H208" s="98"/>
      <c r="I208" s="99"/>
      <c r="J208" s="83">
        <v>6.666666666666667</v>
      </c>
      <c r="K208" s="99">
        <f t="shared" si="30"/>
        <v>6.666666666666667</v>
      </c>
      <c r="L208" s="136">
        <f t="shared" si="31"/>
        <v>240</v>
      </c>
      <c r="M208" s="136">
        <f t="shared" si="32"/>
        <v>2880</v>
      </c>
      <c r="N208" s="100">
        <f t="shared" si="28"/>
        <v>1.6666666666666666E-2</v>
      </c>
      <c r="O208" s="100" t="e">
        <f t="shared" si="29"/>
        <v>#REF!</v>
      </c>
      <c r="P208" s="71"/>
      <c r="Q208" s="64" t="s">
        <v>239</v>
      </c>
      <c r="R208" s="60" t="s">
        <v>267</v>
      </c>
      <c r="S208" s="128">
        <v>48</v>
      </c>
      <c r="T208" s="126">
        <f t="shared" si="27"/>
        <v>0</v>
      </c>
      <c r="U208" s="60" t="s">
        <v>263</v>
      </c>
      <c r="V208" s="151" t="e">
        <f>[1]!Tabella1[[#This Row],[Booking Hours]]</f>
        <v>#REF!</v>
      </c>
      <c r="W208" s="60" t="e">
        <f>[1]!Tabella1[[#This Row],[Booking Period]]</f>
        <v>#REF!</v>
      </c>
      <c r="X208" s="70"/>
    </row>
    <row r="209" spans="1:24" ht="15" x14ac:dyDescent="0.25">
      <c r="A209" s="145" t="s">
        <v>152</v>
      </c>
      <c r="B209" s="59" t="s">
        <v>178</v>
      </c>
      <c r="C209" s="62" t="s">
        <v>215</v>
      </c>
      <c r="D209" s="60" t="s">
        <v>28</v>
      </c>
      <c r="E209" s="49" t="s">
        <v>28</v>
      </c>
      <c r="F209" s="59" t="s">
        <v>221</v>
      </c>
      <c r="G209" s="59" t="s">
        <v>224</v>
      </c>
      <c r="H209" s="98"/>
      <c r="I209" s="99"/>
      <c r="J209" s="83">
        <v>6.666666666666667</v>
      </c>
      <c r="K209" s="99">
        <f t="shared" si="30"/>
        <v>6.666666666666667</v>
      </c>
      <c r="L209" s="136">
        <f t="shared" si="31"/>
        <v>240</v>
      </c>
      <c r="M209" s="136">
        <f t="shared" si="32"/>
        <v>2880</v>
      </c>
      <c r="N209" s="100">
        <f t="shared" si="28"/>
        <v>3.125E-2</v>
      </c>
      <c r="O209" s="100">
        <f t="shared" si="29"/>
        <v>0</v>
      </c>
      <c r="P209" s="71"/>
      <c r="Q209" s="66" t="s">
        <v>238</v>
      </c>
      <c r="R209" s="60" t="s">
        <v>282</v>
      </c>
      <c r="S209" s="128">
        <v>90</v>
      </c>
      <c r="T209" s="126">
        <f t="shared" si="27"/>
        <v>0</v>
      </c>
      <c r="U209" s="60" t="s">
        <v>263</v>
      </c>
      <c r="V209" s="151">
        <v>0</v>
      </c>
      <c r="W209" s="60" t="s">
        <v>264</v>
      </c>
      <c r="X209" s="70"/>
    </row>
    <row r="210" spans="1:24" ht="15" x14ac:dyDescent="0.25">
      <c r="A210" s="145" t="s">
        <v>152</v>
      </c>
      <c r="B210" s="59" t="s">
        <v>178</v>
      </c>
      <c r="C210" s="62" t="s">
        <v>215</v>
      </c>
      <c r="D210" s="60" t="s">
        <v>28</v>
      </c>
      <c r="E210" s="49" t="s">
        <v>28</v>
      </c>
      <c r="F210" s="59" t="s">
        <v>221</v>
      </c>
      <c r="G210" s="59" t="s">
        <v>224</v>
      </c>
      <c r="H210" s="98"/>
      <c r="I210" s="99"/>
      <c r="J210" s="83">
        <v>6.666666666666667</v>
      </c>
      <c r="K210" s="99">
        <f t="shared" si="30"/>
        <v>6.666666666666667</v>
      </c>
      <c r="L210" s="136">
        <f t="shared" si="31"/>
        <v>240</v>
      </c>
      <c r="M210" s="136">
        <f t="shared" si="32"/>
        <v>2880</v>
      </c>
      <c r="N210" s="100">
        <f t="shared" si="28"/>
        <v>6.25E-2</v>
      </c>
      <c r="O210" s="100" t="e">
        <f t="shared" si="29"/>
        <v>#REF!</v>
      </c>
      <c r="P210" s="71"/>
      <c r="Q210" s="66" t="s">
        <v>245</v>
      </c>
      <c r="R210" s="60" t="s">
        <v>282</v>
      </c>
      <c r="S210" s="128">
        <v>180</v>
      </c>
      <c r="T210" s="126">
        <f t="shared" si="27"/>
        <v>0</v>
      </c>
      <c r="U210" s="60" t="s">
        <v>263</v>
      </c>
      <c r="V210" s="151" t="e">
        <f>[1]!Tabella1[[#This Row],[Booking Hours]]</f>
        <v>#REF!</v>
      </c>
      <c r="W210" s="63" t="e">
        <f>[1]!Tabella1[[#This Row],[Booking Period]]</f>
        <v>#REF!</v>
      </c>
      <c r="X210" s="70"/>
    </row>
    <row r="211" spans="1:24" ht="15" x14ac:dyDescent="0.25">
      <c r="A211" s="145" t="s">
        <v>152</v>
      </c>
      <c r="B211" s="59" t="s">
        <v>178</v>
      </c>
      <c r="C211" s="62" t="s">
        <v>215</v>
      </c>
      <c r="D211" s="60" t="s">
        <v>28</v>
      </c>
      <c r="E211" s="49" t="s">
        <v>28</v>
      </c>
      <c r="F211" s="59" t="s">
        <v>221</v>
      </c>
      <c r="G211" s="59" t="s">
        <v>224</v>
      </c>
      <c r="H211" s="98"/>
      <c r="I211" s="99"/>
      <c r="J211" s="83">
        <v>6.666666666666667</v>
      </c>
      <c r="K211" s="99">
        <f t="shared" si="30"/>
        <v>6.666666666666667</v>
      </c>
      <c r="L211" s="136">
        <f t="shared" si="31"/>
        <v>240</v>
      </c>
      <c r="M211" s="136">
        <f t="shared" si="32"/>
        <v>2880</v>
      </c>
      <c r="N211" s="100">
        <f t="shared" si="28"/>
        <v>0.15625</v>
      </c>
      <c r="O211" s="100" t="e">
        <f t="shared" si="29"/>
        <v>#REF!</v>
      </c>
      <c r="P211" s="71"/>
      <c r="Q211" s="64" t="s">
        <v>230</v>
      </c>
      <c r="R211" s="60" t="s">
        <v>282</v>
      </c>
      <c r="S211" s="128">
        <v>450</v>
      </c>
      <c r="T211" s="126">
        <f t="shared" si="27"/>
        <v>0</v>
      </c>
      <c r="U211" s="60" t="s">
        <v>263</v>
      </c>
      <c r="V211" s="151" t="e">
        <f>[1]!Tabella1[[#This Row],[Booking Hours]]</f>
        <v>#REF!</v>
      </c>
      <c r="W211" s="63" t="e">
        <f>[1]!Tabella1[[#This Row],[Booking Period]]</f>
        <v>#REF!</v>
      </c>
      <c r="X211" s="70"/>
    </row>
    <row r="212" spans="1:24" ht="15" x14ac:dyDescent="0.25">
      <c r="A212" s="145" t="s">
        <v>152</v>
      </c>
      <c r="B212" s="59" t="s">
        <v>178</v>
      </c>
      <c r="C212" s="62" t="s">
        <v>215</v>
      </c>
      <c r="D212" s="60" t="s">
        <v>28</v>
      </c>
      <c r="E212" s="49" t="s">
        <v>28</v>
      </c>
      <c r="F212" s="59" t="s">
        <v>221</v>
      </c>
      <c r="G212" s="59" t="s">
        <v>224</v>
      </c>
      <c r="H212" s="98"/>
      <c r="I212" s="99"/>
      <c r="J212" s="83">
        <v>6.666666666666667</v>
      </c>
      <c r="K212" s="99">
        <f t="shared" si="30"/>
        <v>6.666666666666667</v>
      </c>
      <c r="L212" s="136">
        <f t="shared" si="31"/>
        <v>240</v>
      </c>
      <c r="M212" s="136">
        <f t="shared" si="32"/>
        <v>2880</v>
      </c>
      <c r="N212" s="100">
        <f t="shared" si="28"/>
        <v>3.125E-2</v>
      </c>
      <c r="O212" s="100">
        <f t="shared" si="29"/>
        <v>0</v>
      </c>
      <c r="P212" s="71"/>
      <c r="Q212" s="66" t="s">
        <v>231</v>
      </c>
      <c r="R212" s="60" t="s">
        <v>282</v>
      </c>
      <c r="S212" s="128">
        <v>90</v>
      </c>
      <c r="T212" s="126">
        <f t="shared" si="27"/>
        <v>0</v>
      </c>
      <c r="U212" s="60" t="s">
        <v>263</v>
      </c>
      <c r="V212" s="151">
        <v>0</v>
      </c>
      <c r="W212" s="60" t="s">
        <v>264</v>
      </c>
      <c r="X212" s="70"/>
    </row>
    <row r="213" spans="1:24" ht="15" x14ac:dyDescent="0.25">
      <c r="A213" s="145" t="s">
        <v>152</v>
      </c>
      <c r="B213" s="59" t="s">
        <v>178</v>
      </c>
      <c r="C213" s="62" t="s">
        <v>215</v>
      </c>
      <c r="D213" s="60" t="s">
        <v>28</v>
      </c>
      <c r="E213" s="49" t="s">
        <v>28</v>
      </c>
      <c r="F213" s="59" t="s">
        <v>221</v>
      </c>
      <c r="G213" s="59" t="s">
        <v>224</v>
      </c>
      <c r="H213" s="98"/>
      <c r="I213" s="99"/>
      <c r="J213" s="83">
        <v>6.666666666666667</v>
      </c>
      <c r="K213" s="99">
        <f t="shared" si="30"/>
        <v>6.666666666666667</v>
      </c>
      <c r="L213" s="136">
        <f t="shared" si="31"/>
        <v>240</v>
      </c>
      <c r="M213" s="136">
        <f t="shared" si="32"/>
        <v>2880</v>
      </c>
      <c r="N213" s="100">
        <f t="shared" si="28"/>
        <v>3.125E-2</v>
      </c>
      <c r="O213" s="100">
        <f t="shared" si="29"/>
        <v>0</v>
      </c>
      <c r="P213" s="71"/>
      <c r="Q213" s="64" t="s">
        <v>235</v>
      </c>
      <c r="R213" s="60" t="s">
        <v>282</v>
      </c>
      <c r="S213" s="128">
        <v>90</v>
      </c>
      <c r="T213" s="126">
        <f t="shared" si="27"/>
        <v>0</v>
      </c>
      <c r="U213" s="60" t="s">
        <v>266</v>
      </c>
      <c r="V213" s="151"/>
      <c r="W213" s="153" t="s">
        <v>260</v>
      </c>
      <c r="X213" s="70"/>
    </row>
    <row r="214" spans="1:24" ht="15" x14ac:dyDescent="0.25">
      <c r="A214" s="145" t="s">
        <v>152</v>
      </c>
      <c r="B214" s="59" t="s">
        <v>178</v>
      </c>
      <c r="C214" s="62" t="s">
        <v>215</v>
      </c>
      <c r="D214" s="60" t="s">
        <v>28</v>
      </c>
      <c r="E214" s="49" t="s">
        <v>28</v>
      </c>
      <c r="F214" s="59" t="s">
        <v>221</v>
      </c>
      <c r="G214" s="59" t="s">
        <v>224</v>
      </c>
      <c r="H214" s="98"/>
      <c r="I214" s="99"/>
      <c r="J214" s="83">
        <v>6.666666666666667</v>
      </c>
      <c r="K214" s="99">
        <f t="shared" si="30"/>
        <v>6.666666666666667</v>
      </c>
      <c r="L214" s="136">
        <f t="shared" si="31"/>
        <v>240</v>
      </c>
      <c r="M214" s="136">
        <f t="shared" si="32"/>
        <v>2880</v>
      </c>
      <c r="N214" s="100">
        <f t="shared" si="28"/>
        <v>0.15972222222222221</v>
      </c>
      <c r="O214" s="100">
        <f t="shared" si="29"/>
        <v>0.1736111111111111</v>
      </c>
      <c r="P214" s="71"/>
      <c r="Q214" s="64" t="s">
        <v>232</v>
      </c>
      <c r="R214" s="60" t="s">
        <v>282</v>
      </c>
      <c r="S214" s="128">
        <v>460</v>
      </c>
      <c r="T214" s="126">
        <f t="shared" si="27"/>
        <v>0</v>
      </c>
      <c r="U214" s="60" t="s">
        <v>263</v>
      </c>
      <c r="V214" s="151">
        <v>500</v>
      </c>
      <c r="W214" s="63" t="e">
        <f>[1]!Tabella1[[#This Row],[Booking Period]]</f>
        <v>#REF!</v>
      </c>
      <c r="X214" s="70"/>
    </row>
    <row r="215" spans="1:24" ht="15" x14ac:dyDescent="0.25">
      <c r="A215" s="145" t="s">
        <v>152</v>
      </c>
      <c r="B215" s="59" t="s">
        <v>178</v>
      </c>
      <c r="C215" s="62" t="s">
        <v>215</v>
      </c>
      <c r="D215" s="60" t="s">
        <v>28</v>
      </c>
      <c r="E215" s="49" t="s">
        <v>28</v>
      </c>
      <c r="F215" s="59" t="s">
        <v>221</v>
      </c>
      <c r="G215" s="59" t="s">
        <v>224</v>
      </c>
      <c r="H215" s="98"/>
      <c r="I215" s="99"/>
      <c r="J215" s="83">
        <v>6.666666666666667</v>
      </c>
      <c r="K215" s="99">
        <f t="shared" si="30"/>
        <v>6.666666666666667</v>
      </c>
      <c r="L215" s="136">
        <f t="shared" si="31"/>
        <v>240</v>
      </c>
      <c r="M215" s="136">
        <f t="shared" si="32"/>
        <v>2880</v>
      </c>
      <c r="N215" s="100">
        <f t="shared" si="28"/>
        <v>0.15972222222222221</v>
      </c>
      <c r="O215" s="100" t="e">
        <f t="shared" si="29"/>
        <v>#REF!</v>
      </c>
      <c r="P215" s="71"/>
      <c r="Q215" s="64" t="s">
        <v>233</v>
      </c>
      <c r="R215" s="60" t="s">
        <v>282</v>
      </c>
      <c r="S215" s="128">
        <v>460</v>
      </c>
      <c r="T215" s="126">
        <f t="shared" si="27"/>
        <v>0</v>
      </c>
      <c r="U215" s="60" t="s">
        <v>263</v>
      </c>
      <c r="V215" s="151" t="e">
        <f>[1]!Tabella1[[#This Row],[Booking Hours]]</f>
        <v>#REF!</v>
      </c>
      <c r="W215" s="60" t="e">
        <f>[1]!Tabella1[[#This Row],[Booking Period]]</f>
        <v>#REF!</v>
      </c>
      <c r="X215" s="70"/>
    </row>
    <row r="216" spans="1:24" ht="15" x14ac:dyDescent="0.25">
      <c r="A216" s="145" t="s">
        <v>152</v>
      </c>
      <c r="B216" s="59" t="s">
        <v>178</v>
      </c>
      <c r="C216" s="62" t="s">
        <v>215</v>
      </c>
      <c r="D216" s="60" t="s">
        <v>28</v>
      </c>
      <c r="E216" s="49" t="s">
        <v>28</v>
      </c>
      <c r="F216" s="59" t="s">
        <v>221</v>
      </c>
      <c r="G216" s="59" t="s">
        <v>224</v>
      </c>
      <c r="H216" s="98"/>
      <c r="I216" s="99"/>
      <c r="J216" s="83">
        <v>6.666666666666667</v>
      </c>
      <c r="K216" s="99">
        <f t="shared" si="30"/>
        <v>6.666666666666667</v>
      </c>
      <c r="L216" s="136">
        <f t="shared" si="31"/>
        <v>240</v>
      </c>
      <c r="M216" s="136">
        <f t="shared" si="32"/>
        <v>2880</v>
      </c>
      <c r="N216" s="100">
        <f t="shared" si="28"/>
        <v>2.7777777777777776E-2</v>
      </c>
      <c r="O216" s="100">
        <f t="shared" si="29"/>
        <v>0</v>
      </c>
      <c r="P216" s="71"/>
      <c r="Q216" s="60" t="s">
        <v>243</v>
      </c>
      <c r="R216" s="60" t="s">
        <v>282</v>
      </c>
      <c r="S216" s="128">
        <v>80</v>
      </c>
      <c r="T216" s="126">
        <f t="shared" si="27"/>
        <v>0</v>
      </c>
      <c r="U216" s="60" t="s">
        <v>263</v>
      </c>
      <c r="V216" s="151">
        <v>0</v>
      </c>
      <c r="W216" s="60" t="s">
        <v>264</v>
      </c>
      <c r="X216" s="70"/>
    </row>
    <row r="217" spans="1:24" ht="15" x14ac:dyDescent="0.25">
      <c r="A217" s="145" t="s">
        <v>152</v>
      </c>
      <c r="B217" s="59" t="s">
        <v>178</v>
      </c>
      <c r="C217" s="62" t="s">
        <v>215</v>
      </c>
      <c r="D217" s="60" t="s">
        <v>28</v>
      </c>
      <c r="E217" s="49" t="s">
        <v>28</v>
      </c>
      <c r="F217" s="59" t="s">
        <v>221</v>
      </c>
      <c r="G217" s="59" t="s">
        <v>224</v>
      </c>
      <c r="H217" s="98"/>
      <c r="I217" s="99"/>
      <c r="J217" s="83">
        <v>6.666666666666667</v>
      </c>
      <c r="K217" s="99">
        <f t="shared" si="30"/>
        <v>6.666666666666667</v>
      </c>
      <c r="L217" s="136">
        <f t="shared" si="31"/>
        <v>240</v>
      </c>
      <c r="M217" s="136">
        <f t="shared" si="32"/>
        <v>2880</v>
      </c>
      <c r="N217" s="100">
        <f t="shared" si="28"/>
        <v>2.7777777777777776E-2</v>
      </c>
      <c r="O217" s="100">
        <f t="shared" si="29"/>
        <v>0</v>
      </c>
      <c r="P217" s="71"/>
      <c r="Q217" s="60" t="s">
        <v>244</v>
      </c>
      <c r="R217" s="60" t="s">
        <v>282</v>
      </c>
      <c r="S217" s="128">
        <v>80</v>
      </c>
      <c r="T217" s="126">
        <f t="shared" si="27"/>
        <v>0</v>
      </c>
      <c r="U217" s="60" t="s">
        <v>263</v>
      </c>
      <c r="V217" s="151">
        <v>0</v>
      </c>
      <c r="W217" s="60" t="s">
        <v>264</v>
      </c>
      <c r="X217" s="70"/>
    </row>
    <row r="218" spans="1:24" ht="15" x14ac:dyDescent="0.25">
      <c r="A218" s="145" t="s">
        <v>152</v>
      </c>
      <c r="B218" s="63" t="s">
        <v>179</v>
      </c>
      <c r="C218" s="62" t="s">
        <v>215</v>
      </c>
      <c r="D218" s="60" t="s">
        <v>20</v>
      </c>
      <c r="E218" s="50" t="s">
        <v>441</v>
      </c>
      <c r="F218" s="62" t="s">
        <v>221</v>
      </c>
      <c r="G218" s="59" t="s">
        <v>224</v>
      </c>
      <c r="H218" s="98"/>
      <c r="I218" s="99"/>
      <c r="J218" s="99">
        <v>6.25</v>
      </c>
      <c r="K218" s="99">
        <f t="shared" si="30"/>
        <v>6.25</v>
      </c>
      <c r="L218" s="136">
        <f t="shared" si="31"/>
        <v>240</v>
      </c>
      <c r="M218" s="136">
        <f t="shared" si="32"/>
        <v>2880</v>
      </c>
      <c r="N218" s="100">
        <f t="shared" si="28"/>
        <v>0</v>
      </c>
      <c r="O218" s="100">
        <f t="shared" si="29"/>
        <v>0</v>
      </c>
      <c r="P218" s="71" t="s">
        <v>246</v>
      </c>
      <c r="Q218" s="60"/>
      <c r="R218" s="60"/>
      <c r="S218" s="125"/>
      <c r="T218" s="126">
        <f t="shared" si="27"/>
        <v>0</v>
      </c>
      <c r="U218" s="60"/>
      <c r="V218" s="151"/>
      <c r="W218" s="60"/>
      <c r="X218" s="61"/>
    </row>
    <row r="219" spans="1:24" ht="15" x14ac:dyDescent="0.25">
      <c r="A219" s="145" t="s">
        <v>152</v>
      </c>
      <c r="B219" s="63" t="s">
        <v>180</v>
      </c>
      <c r="C219" s="62" t="s">
        <v>215</v>
      </c>
      <c r="D219" s="60" t="s">
        <v>20</v>
      </c>
      <c r="E219" s="50" t="s">
        <v>441</v>
      </c>
      <c r="F219" s="62" t="s">
        <v>221</v>
      </c>
      <c r="G219" s="59" t="s">
        <v>224</v>
      </c>
      <c r="H219" s="98"/>
      <c r="I219" s="99"/>
      <c r="J219" s="99">
        <v>6.25</v>
      </c>
      <c r="K219" s="99">
        <f t="shared" si="30"/>
        <v>6.25</v>
      </c>
      <c r="L219" s="136">
        <f t="shared" si="31"/>
        <v>240</v>
      </c>
      <c r="M219" s="136">
        <f t="shared" si="32"/>
        <v>2880</v>
      </c>
      <c r="N219" s="100">
        <f t="shared" si="28"/>
        <v>0</v>
      </c>
      <c r="O219" s="100">
        <f t="shared" si="29"/>
        <v>0</v>
      </c>
      <c r="P219" s="71" t="s">
        <v>246</v>
      </c>
      <c r="Q219" s="60"/>
      <c r="R219" s="60"/>
      <c r="S219" s="125"/>
      <c r="T219" s="126">
        <f t="shared" si="27"/>
        <v>0</v>
      </c>
      <c r="U219" s="60"/>
      <c r="V219" s="151"/>
      <c r="W219" s="60"/>
      <c r="X219" s="61"/>
    </row>
    <row r="220" spans="1:24" ht="15" x14ac:dyDescent="0.25">
      <c r="A220" s="145" t="s">
        <v>152</v>
      </c>
      <c r="B220" s="63" t="s">
        <v>181</v>
      </c>
      <c r="C220" s="62" t="s">
        <v>215</v>
      </c>
      <c r="D220" s="60" t="s">
        <v>20</v>
      </c>
      <c r="E220" s="50" t="s">
        <v>442</v>
      </c>
      <c r="F220" s="62" t="s">
        <v>221</v>
      </c>
      <c r="G220" s="59" t="s">
        <v>224</v>
      </c>
      <c r="H220" s="98"/>
      <c r="I220" s="99"/>
      <c r="J220" s="99">
        <v>5.416666666666667</v>
      </c>
      <c r="K220" s="99">
        <f t="shared" si="30"/>
        <v>5.416666666666667</v>
      </c>
      <c r="L220" s="136">
        <f t="shared" si="31"/>
        <v>240</v>
      </c>
      <c r="M220" s="136">
        <f t="shared" si="32"/>
        <v>2880</v>
      </c>
      <c r="N220" s="100">
        <f t="shared" si="28"/>
        <v>0</v>
      </c>
      <c r="O220" s="100">
        <f t="shared" si="29"/>
        <v>0</v>
      </c>
      <c r="P220" s="71"/>
      <c r="Q220" s="60"/>
      <c r="R220" s="60"/>
      <c r="S220" s="125"/>
      <c r="T220" s="126">
        <f t="shared" si="27"/>
        <v>0</v>
      </c>
      <c r="U220" s="60"/>
      <c r="V220" s="151"/>
      <c r="W220" s="60"/>
      <c r="X220" s="61"/>
    </row>
    <row r="221" spans="1:24" ht="15" x14ac:dyDescent="0.25">
      <c r="A221" s="145" t="s">
        <v>152</v>
      </c>
      <c r="B221" s="59" t="s">
        <v>182</v>
      </c>
      <c r="C221" s="62" t="s">
        <v>215</v>
      </c>
      <c r="D221" s="60" t="s">
        <v>20</v>
      </c>
      <c r="E221" s="50" t="s">
        <v>441</v>
      </c>
      <c r="F221" s="59" t="s">
        <v>221</v>
      </c>
      <c r="G221" s="59" t="s">
        <v>224</v>
      </c>
      <c r="H221" s="98"/>
      <c r="I221" s="99"/>
      <c r="J221" s="83">
        <v>6.25</v>
      </c>
      <c r="K221" s="99">
        <f t="shared" si="30"/>
        <v>6.25</v>
      </c>
      <c r="L221" s="136">
        <f t="shared" si="31"/>
        <v>240</v>
      </c>
      <c r="M221" s="136">
        <f t="shared" si="32"/>
        <v>2880</v>
      </c>
      <c r="N221" s="100">
        <f t="shared" si="28"/>
        <v>0</v>
      </c>
      <c r="O221" s="100">
        <f t="shared" si="29"/>
        <v>0</v>
      </c>
      <c r="P221" s="71"/>
      <c r="Q221" s="60"/>
      <c r="R221" s="60"/>
      <c r="S221" s="125"/>
      <c r="T221" s="126">
        <f t="shared" si="27"/>
        <v>0</v>
      </c>
      <c r="U221" s="60"/>
      <c r="V221" s="151"/>
      <c r="W221" s="60"/>
      <c r="X221" s="61"/>
    </row>
    <row r="222" spans="1:24" ht="15" x14ac:dyDescent="0.25">
      <c r="A222" s="144" t="s">
        <v>153</v>
      </c>
      <c r="B222" s="59" t="s">
        <v>183</v>
      </c>
      <c r="C222" s="59" t="s">
        <v>216</v>
      </c>
      <c r="D222" s="67" t="s">
        <v>20</v>
      </c>
      <c r="E222" s="50" t="s">
        <v>442</v>
      </c>
      <c r="F222" s="59" t="s">
        <v>222</v>
      </c>
      <c r="G222" s="59" t="s">
        <v>225</v>
      </c>
      <c r="H222" s="98">
        <v>57.21</v>
      </c>
      <c r="I222" s="99">
        <v>61.93</v>
      </c>
      <c r="J222" s="83"/>
      <c r="K222" s="83">
        <f>I222</f>
        <v>61.93</v>
      </c>
      <c r="L222" s="136">
        <f>M222/12</f>
        <v>174.91666666666666</v>
      </c>
      <c r="M222" s="136">
        <v>2099</v>
      </c>
      <c r="N222" s="100">
        <f t="shared" si="28"/>
        <v>0.25726536445926634</v>
      </c>
      <c r="O222" s="100">
        <f t="shared" si="29"/>
        <v>9.5283468318246786E-2</v>
      </c>
      <c r="P222" s="71"/>
      <c r="Q222" s="66" t="s">
        <v>231</v>
      </c>
      <c r="R222" s="67" t="s">
        <v>305</v>
      </c>
      <c r="S222" s="127">
        <f>((45*4)*12)/4</f>
        <v>540</v>
      </c>
      <c r="T222" s="126">
        <f t="shared" si="27"/>
        <v>33442.199999999997</v>
      </c>
      <c r="U222" s="63" t="s">
        <v>252</v>
      </c>
      <c r="V222" s="151">
        <v>200</v>
      </c>
      <c r="W222" s="60" t="s">
        <v>254</v>
      </c>
      <c r="X222" s="68"/>
    </row>
    <row r="223" spans="1:24" ht="15" x14ac:dyDescent="0.25">
      <c r="A223" s="144" t="s">
        <v>153</v>
      </c>
      <c r="B223" s="59" t="s">
        <v>183</v>
      </c>
      <c r="C223" s="59" t="s">
        <v>216</v>
      </c>
      <c r="D223" s="67" t="s">
        <v>20</v>
      </c>
      <c r="E223" s="50" t="s">
        <v>442</v>
      </c>
      <c r="F223" s="59" t="s">
        <v>222</v>
      </c>
      <c r="G223" s="59" t="s">
        <v>225</v>
      </c>
      <c r="H223" s="98">
        <v>57.21</v>
      </c>
      <c r="I223" s="99">
        <v>61.93</v>
      </c>
      <c r="J223" s="83"/>
      <c r="K223" s="83">
        <f>I223</f>
        <v>61.93</v>
      </c>
      <c r="L223" s="136">
        <f>M223/12</f>
        <v>174.91666666666666</v>
      </c>
      <c r="M223" s="136">
        <v>2099</v>
      </c>
      <c r="N223" s="100">
        <f t="shared" si="28"/>
        <v>0.25726536445926634</v>
      </c>
      <c r="O223" s="100" t="e">
        <f t="shared" si="29"/>
        <v>#REF!</v>
      </c>
      <c r="P223" s="71"/>
      <c r="Q223" s="66" t="s">
        <v>245</v>
      </c>
      <c r="R223" s="67" t="s">
        <v>305</v>
      </c>
      <c r="S223" s="127">
        <f>((45*4)*12)/4</f>
        <v>540</v>
      </c>
      <c r="T223" s="126">
        <f t="shared" si="27"/>
        <v>33442.199999999997</v>
      </c>
      <c r="U223" s="63" t="s">
        <v>252</v>
      </c>
      <c r="V223" s="151" t="e">
        <f>[1]!Tabella1[[#This Row],[Booking Hours]]</f>
        <v>#REF!</v>
      </c>
      <c r="W223" s="63" t="e">
        <f>[1]!Tabella1[[#This Row],[Booking Period]]</f>
        <v>#REF!</v>
      </c>
      <c r="X223" s="68"/>
    </row>
    <row r="224" spans="1:24" ht="15" x14ac:dyDescent="0.25">
      <c r="A224" s="144" t="s">
        <v>153</v>
      </c>
      <c r="B224" s="59" t="s">
        <v>183</v>
      </c>
      <c r="C224" s="59" t="s">
        <v>216</v>
      </c>
      <c r="D224" s="67" t="s">
        <v>20</v>
      </c>
      <c r="E224" s="50" t="s">
        <v>442</v>
      </c>
      <c r="F224" s="59" t="s">
        <v>222</v>
      </c>
      <c r="G224" s="59" t="s">
        <v>225</v>
      </c>
      <c r="H224" s="98">
        <v>57.21</v>
      </c>
      <c r="I224" s="99">
        <v>61.93</v>
      </c>
      <c r="J224" s="83"/>
      <c r="K224" s="83">
        <f>I224</f>
        <v>61.93</v>
      </c>
      <c r="L224" s="136">
        <f>M224/12</f>
        <v>174.91666666666666</v>
      </c>
      <c r="M224" s="136">
        <v>2099</v>
      </c>
      <c r="N224" s="100">
        <f t="shared" si="28"/>
        <v>2.4297284421152931E-2</v>
      </c>
      <c r="O224" s="100">
        <f t="shared" si="29"/>
        <v>0</v>
      </c>
      <c r="P224" s="71"/>
      <c r="Q224" s="64" t="s">
        <v>235</v>
      </c>
      <c r="R224" s="67" t="s">
        <v>305</v>
      </c>
      <c r="S224" s="127">
        <v>51</v>
      </c>
      <c r="T224" s="126">
        <f t="shared" si="27"/>
        <v>3158.43</v>
      </c>
      <c r="U224" s="75" t="s">
        <v>293</v>
      </c>
      <c r="V224" s="151"/>
      <c r="W224" s="153" t="s">
        <v>260</v>
      </c>
      <c r="X224" s="68"/>
    </row>
    <row r="225" spans="1:24" ht="15" x14ac:dyDescent="0.25">
      <c r="A225" s="144" t="s">
        <v>153</v>
      </c>
      <c r="B225" s="59" t="s">
        <v>183</v>
      </c>
      <c r="C225" s="59" t="s">
        <v>216</v>
      </c>
      <c r="D225" s="67" t="s">
        <v>20</v>
      </c>
      <c r="E225" s="50" t="s">
        <v>442</v>
      </c>
      <c r="F225" s="59" t="s">
        <v>222</v>
      </c>
      <c r="G225" s="59" t="s">
        <v>225</v>
      </c>
      <c r="H225" s="98">
        <v>57.21</v>
      </c>
      <c r="I225" s="99">
        <v>61.93</v>
      </c>
      <c r="J225" s="83"/>
      <c r="K225" s="83">
        <f>I225</f>
        <v>61.93</v>
      </c>
      <c r="L225" s="136">
        <f>M225/12</f>
        <v>174.91666666666666</v>
      </c>
      <c r="M225" s="136">
        <v>2099</v>
      </c>
      <c r="N225" s="100">
        <f t="shared" si="28"/>
        <v>0.5359695092901382</v>
      </c>
      <c r="O225" s="100">
        <f t="shared" si="29"/>
        <v>0</v>
      </c>
      <c r="P225" s="71"/>
      <c r="Q225" s="64" t="s">
        <v>232</v>
      </c>
      <c r="R225" s="67" t="s">
        <v>305</v>
      </c>
      <c r="S225" s="127">
        <v>1125</v>
      </c>
      <c r="T225" s="126">
        <f t="shared" si="27"/>
        <v>69671.25</v>
      </c>
      <c r="U225" s="63" t="s">
        <v>252</v>
      </c>
      <c r="V225" s="151"/>
      <c r="W225" s="63" t="s">
        <v>257</v>
      </c>
      <c r="X225" s="68"/>
    </row>
    <row r="226" spans="1:24" ht="15" x14ac:dyDescent="0.25">
      <c r="A226" s="144" t="s">
        <v>153</v>
      </c>
      <c r="B226" s="59" t="s">
        <v>183</v>
      </c>
      <c r="C226" s="59" t="s">
        <v>216</v>
      </c>
      <c r="D226" s="67" t="s">
        <v>20</v>
      </c>
      <c r="E226" s="50" t="s">
        <v>442</v>
      </c>
      <c r="F226" s="59" t="s">
        <v>222</v>
      </c>
      <c r="G226" s="59" t="s">
        <v>225</v>
      </c>
      <c r="H226" s="98">
        <v>57.21</v>
      </c>
      <c r="I226" s="99">
        <v>61.93</v>
      </c>
      <c r="J226" s="83"/>
      <c r="K226" s="83">
        <f>I226</f>
        <v>61.93</v>
      </c>
      <c r="L226" s="136">
        <f>M226/12</f>
        <v>174.91666666666666</v>
      </c>
      <c r="M226" s="136">
        <v>2099</v>
      </c>
      <c r="N226" s="100">
        <f t="shared" si="28"/>
        <v>0.31252977608384946</v>
      </c>
      <c r="O226" s="100">
        <f t="shared" si="29"/>
        <v>0</v>
      </c>
      <c r="P226" s="71"/>
      <c r="Q226" s="64" t="s">
        <v>233</v>
      </c>
      <c r="R226" s="67" t="s">
        <v>305</v>
      </c>
      <c r="S226" s="127">
        <v>656</v>
      </c>
      <c r="T226" s="126">
        <f t="shared" si="27"/>
        <v>40626.080000000002</v>
      </c>
      <c r="U226" s="63" t="s">
        <v>252</v>
      </c>
      <c r="V226" s="151">
        <v>0</v>
      </c>
      <c r="W226" s="60" t="s">
        <v>264</v>
      </c>
      <c r="X226" s="68"/>
    </row>
    <row r="227" spans="1:24" ht="15" x14ac:dyDescent="0.25">
      <c r="A227" s="145" t="s">
        <v>152</v>
      </c>
      <c r="B227" s="72" t="s">
        <v>184</v>
      </c>
      <c r="C227" s="62" t="s">
        <v>215</v>
      </c>
      <c r="D227" s="60" t="s">
        <v>28</v>
      </c>
      <c r="E227" s="49" t="s">
        <v>28</v>
      </c>
      <c r="F227" s="59" t="s">
        <v>221</v>
      </c>
      <c r="G227" s="59" t="s">
        <v>224</v>
      </c>
      <c r="H227" s="98"/>
      <c r="I227" s="99"/>
      <c r="J227" s="99">
        <v>7.5</v>
      </c>
      <c r="K227" s="99">
        <f t="shared" ref="K227:K245" si="33">J227</f>
        <v>7.5</v>
      </c>
      <c r="L227" s="136">
        <f t="shared" ref="L227:L245" si="34">(60*4)</f>
        <v>240</v>
      </c>
      <c r="M227" s="136">
        <f t="shared" ref="M227:M245" si="35">L227*12</f>
        <v>2880</v>
      </c>
      <c r="N227" s="100">
        <f t="shared" si="28"/>
        <v>0.125</v>
      </c>
      <c r="O227" s="100">
        <f t="shared" si="29"/>
        <v>3.4722222222222224E-2</v>
      </c>
      <c r="P227" s="71"/>
      <c r="Q227" s="60" t="s">
        <v>243</v>
      </c>
      <c r="R227" s="69" t="s">
        <v>306</v>
      </c>
      <c r="S227" s="128">
        <v>360</v>
      </c>
      <c r="T227" s="126">
        <f t="shared" si="27"/>
        <v>0</v>
      </c>
      <c r="U227" s="60" t="s">
        <v>263</v>
      </c>
      <c r="V227" s="151">
        <v>100</v>
      </c>
      <c r="W227" s="60" t="s">
        <v>307</v>
      </c>
      <c r="X227" s="70"/>
    </row>
    <row r="228" spans="1:24" ht="15" x14ac:dyDescent="0.25">
      <c r="A228" s="145" t="s">
        <v>152</v>
      </c>
      <c r="B228" s="72" t="s">
        <v>184</v>
      </c>
      <c r="C228" s="62" t="s">
        <v>215</v>
      </c>
      <c r="D228" s="60" t="s">
        <v>28</v>
      </c>
      <c r="E228" s="49" t="s">
        <v>28</v>
      </c>
      <c r="F228" s="59" t="s">
        <v>221</v>
      </c>
      <c r="G228" s="59" t="s">
        <v>224</v>
      </c>
      <c r="H228" s="98"/>
      <c r="I228" s="99"/>
      <c r="J228" s="99">
        <v>7.5</v>
      </c>
      <c r="K228" s="99">
        <f t="shared" si="33"/>
        <v>7.5</v>
      </c>
      <c r="L228" s="136">
        <f t="shared" si="34"/>
        <v>240</v>
      </c>
      <c r="M228" s="136">
        <f t="shared" si="35"/>
        <v>2880</v>
      </c>
      <c r="N228" s="100">
        <f t="shared" si="28"/>
        <v>8.3333333333333329E-2</v>
      </c>
      <c r="O228" s="100">
        <f t="shared" si="29"/>
        <v>0</v>
      </c>
      <c r="P228" s="71"/>
      <c r="Q228" s="69" t="s">
        <v>247</v>
      </c>
      <c r="R228" s="69" t="s">
        <v>306</v>
      </c>
      <c r="S228" s="128">
        <v>240</v>
      </c>
      <c r="T228" s="126">
        <f t="shared" si="27"/>
        <v>0</v>
      </c>
      <c r="U228" s="60" t="s">
        <v>308</v>
      </c>
      <c r="V228" s="151">
        <v>0</v>
      </c>
      <c r="W228" s="60" t="s">
        <v>264</v>
      </c>
      <c r="X228" s="70"/>
    </row>
    <row r="229" spans="1:24" ht="15" x14ac:dyDescent="0.25">
      <c r="A229" s="145" t="s">
        <v>152</v>
      </c>
      <c r="B229" s="72" t="s">
        <v>184</v>
      </c>
      <c r="C229" s="62" t="s">
        <v>215</v>
      </c>
      <c r="D229" s="60" t="s">
        <v>28</v>
      </c>
      <c r="E229" s="49" t="s">
        <v>28</v>
      </c>
      <c r="F229" s="59" t="s">
        <v>221</v>
      </c>
      <c r="G229" s="59" t="s">
        <v>224</v>
      </c>
      <c r="H229" s="98"/>
      <c r="I229" s="99"/>
      <c r="J229" s="99">
        <v>7.5</v>
      </c>
      <c r="K229" s="99">
        <f t="shared" si="33"/>
        <v>7.5</v>
      </c>
      <c r="L229" s="136">
        <f t="shared" si="34"/>
        <v>240</v>
      </c>
      <c r="M229" s="136">
        <f t="shared" si="35"/>
        <v>2880</v>
      </c>
      <c r="N229" s="100">
        <f t="shared" si="28"/>
        <v>0.125</v>
      </c>
      <c r="O229" s="100">
        <f t="shared" si="29"/>
        <v>0</v>
      </c>
      <c r="P229" s="71"/>
      <c r="Q229" s="60" t="s">
        <v>244</v>
      </c>
      <c r="R229" s="69" t="s">
        <v>306</v>
      </c>
      <c r="S229" s="128">
        <v>360</v>
      </c>
      <c r="T229" s="126">
        <f t="shared" si="27"/>
        <v>0</v>
      </c>
      <c r="U229" s="60" t="s">
        <v>263</v>
      </c>
      <c r="V229" s="151">
        <v>0</v>
      </c>
      <c r="W229" s="60" t="s">
        <v>264</v>
      </c>
      <c r="X229" s="70"/>
    </row>
    <row r="230" spans="1:24" ht="15" x14ac:dyDescent="0.25">
      <c r="A230" s="145" t="s">
        <v>152</v>
      </c>
      <c r="B230" s="72" t="s">
        <v>184</v>
      </c>
      <c r="C230" s="62" t="s">
        <v>215</v>
      </c>
      <c r="D230" s="60" t="s">
        <v>28</v>
      </c>
      <c r="E230" s="49" t="s">
        <v>28</v>
      </c>
      <c r="F230" s="59" t="s">
        <v>221</v>
      </c>
      <c r="G230" s="59" t="s">
        <v>224</v>
      </c>
      <c r="H230" s="98"/>
      <c r="I230" s="99"/>
      <c r="J230" s="99">
        <v>7.5</v>
      </c>
      <c r="K230" s="99">
        <f t="shared" si="33"/>
        <v>7.5</v>
      </c>
      <c r="L230" s="136">
        <f t="shared" si="34"/>
        <v>240</v>
      </c>
      <c r="M230" s="136">
        <f t="shared" si="35"/>
        <v>2880</v>
      </c>
      <c r="N230" s="100">
        <f t="shared" si="28"/>
        <v>3.125E-2</v>
      </c>
      <c r="O230" s="100" t="e">
        <f t="shared" si="29"/>
        <v>#REF!</v>
      </c>
      <c r="P230" s="71"/>
      <c r="Q230" s="66" t="s">
        <v>238</v>
      </c>
      <c r="R230" s="63" t="s">
        <v>272</v>
      </c>
      <c r="S230" s="128">
        <v>90</v>
      </c>
      <c r="T230" s="126">
        <f t="shared" si="27"/>
        <v>0</v>
      </c>
      <c r="U230" s="60" t="s">
        <v>263</v>
      </c>
      <c r="V230" s="151" t="e">
        <f>[1]!Tabella1[[#This Row],[Booking Hours]]</f>
        <v>#REF!</v>
      </c>
      <c r="W230" s="60" t="e">
        <f>[1]!Tabella1[[#This Row],[Booking Period]]</f>
        <v>#REF!</v>
      </c>
      <c r="X230" s="70"/>
    </row>
    <row r="231" spans="1:24" ht="15" x14ac:dyDescent="0.25">
      <c r="A231" s="145" t="s">
        <v>152</v>
      </c>
      <c r="B231" s="72" t="s">
        <v>184</v>
      </c>
      <c r="C231" s="62" t="s">
        <v>215</v>
      </c>
      <c r="D231" s="60" t="s">
        <v>28</v>
      </c>
      <c r="E231" s="49" t="s">
        <v>28</v>
      </c>
      <c r="F231" s="59" t="s">
        <v>221</v>
      </c>
      <c r="G231" s="59" t="s">
        <v>224</v>
      </c>
      <c r="H231" s="98"/>
      <c r="I231" s="99"/>
      <c r="J231" s="99">
        <v>7.5</v>
      </c>
      <c r="K231" s="99">
        <f t="shared" si="33"/>
        <v>7.5</v>
      </c>
      <c r="L231" s="136">
        <f t="shared" si="34"/>
        <v>240</v>
      </c>
      <c r="M231" s="136">
        <f t="shared" si="35"/>
        <v>2880</v>
      </c>
      <c r="N231" s="100">
        <f t="shared" si="28"/>
        <v>3.125E-2</v>
      </c>
      <c r="O231" s="100" t="e">
        <f t="shared" si="29"/>
        <v>#REF!</v>
      </c>
      <c r="P231" s="71"/>
      <c r="Q231" s="64" t="s">
        <v>230</v>
      </c>
      <c r="R231" s="69" t="s">
        <v>272</v>
      </c>
      <c r="S231" s="128">
        <v>90</v>
      </c>
      <c r="T231" s="126">
        <f t="shared" si="27"/>
        <v>0</v>
      </c>
      <c r="U231" s="60" t="s">
        <v>263</v>
      </c>
      <c r="V231" s="151" t="e">
        <f>[1]!Tabella1[[#This Row],[Booking Hours]]</f>
        <v>#REF!</v>
      </c>
      <c r="W231" s="63" t="e">
        <f>[1]!Tabella1[[#This Row],[Booking Period]]</f>
        <v>#REF!</v>
      </c>
      <c r="X231" s="70"/>
    </row>
    <row r="232" spans="1:24" ht="15" x14ac:dyDescent="0.25">
      <c r="A232" s="145" t="s">
        <v>152</v>
      </c>
      <c r="B232" s="72" t="s">
        <v>184</v>
      </c>
      <c r="C232" s="62" t="s">
        <v>215</v>
      </c>
      <c r="D232" s="60" t="s">
        <v>28</v>
      </c>
      <c r="E232" s="49" t="s">
        <v>28</v>
      </c>
      <c r="F232" s="59" t="s">
        <v>221</v>
      </c>
      <c r="G232" s="59" t="s">
        <v>224</v>
      </c>
      <c r="H232" s="98"/>
      <c r="I232" s="99"/>
      <c r="J232" s="99">
        <v>7.5</v>
      </c>
      <c r="K232" s="99">
        <f t="shared" si="33"/>
        <v>7.5</v>
      </c>
      <c r="L232" s="136">
        <f t="shared" si="34"/>
        <v>240</v>
      </c>
      <c r="M232" s="136">
        <f t="shared" si="35"/>
        <v>2880</v>
      </c>
      <c r="N232" s="100">
        <f t="shared" si="28"/>
        <v>2.6041666666666668E-2</v>
      </c>
      <c r="O232" s="100">
        <f t="shared" si="29"/>
        <v>0</v>
      </c>
      <c r="P232" s="71"/>
      <c r="Q232" s="64" t="s">
        <v>234</v>
      </c>
      <c r="R232" s="69" t="s">
        <v>272</v>
      </c>
      <c r="S232" s="128">
        <v>75</v>
      </c>
      <c r="T232" s="126">
        <f t="shared" si="27"/>
        <v>0</v>
      </c>
      <c r="U232" s="60" t="s">
        <v>265</v>
      </c>
      <c r="V232" s="151"/>
      <c r="W232" s="71" t="s">
        <v>100</v>
      </c>
      <c r="X232" s="70"/>
    </row>
    <row r="233" spans="1:24" ht="15" x14ac:dyDescent="0.25">
      <c r="A233" s="145" t="s">
        <v>152</v>
      </c>
      <c r="B233" s="72" t="s">
        <v>184</v>
      </c>
      <c r="C233" s="62" t="s">
        <v>215</v>
      </c>
      <c r="D233" s="60" t="s">
        <v>28</v>
      </c>
      <c r="E233" s="49" t="s">
        <v>28</v>
      </c>
      <c r="F233" s="59" t="s">
        <v>221</v>
      </c>
      <c r="G233" s="59" t="s">
        <v>224</v>
      </c>
      <c r="H233" s="98"/>
      <c r="I233" s="99"/>
      <c r="J233" s="99">
        <v>7.5</v>
      </c>
      <c r="K233" s="99">
        <f t="shared" si="33"/>
        <v>7.5</v>
      </c>
      <c r="L233" s="136">
        <f t="shared" si="34"/>
        <v>240</v>
      </c>
      <c r="M233" s="136">
        <f t="shared" si="35"/>
        <v>2880</v>
      </c>
      <c r="N233" s="100">
        <f t="shared" si="28"/>
        <v>1.0416666666666666E-2</v>
      </c>
      <c r="O233" s="100">
        <f t="shared" si="29"/>
        <v>0</v>
      </c>
      <c r="P233" s="71"/>
      <c r="Q233" s="64" t="s">
        <v>235</v>
      </c>
      <c r="R233" s="69" t="s">
        <v>272</v>
      </c>
      <c r="S233" s="128">
        <v>30</v>
      </c>
      <c r="T233" s="126">
        <f t="shared" si="27"/>
        <v>0</v>
      </c>
      <c r="U233" s="60" t="s">
        <v>266</v>
      </c>
      <c r="V233" s="151"/>
      <c r="W233" s="153" t="s">
        <v>260</v>
      </c>
      <c r="X233" s="70"/>
    </row>
    <row r="234" spans="1:24" ht="15" x14ac:dyDescent="0.25">
      <c r="A234" s="145" t="s">
        <v>152</v>
      </c>
      <c r="B234" s="72" t="s">
        <v>184</v>
      </c>
      <c r="C234" s="62" t="s">
        <v>215</v>
      </c>
      <c r="D234" s="60" t="s">
        <v>28</v>
      </c>
      <c r="E234" s="49" t="s">
        <v>28</v>
      </c>
      <c r="F234" s="59" t="s">
        <v>221</v>
      </c>
      <c r="G234" s="59" t="s">
        <v>224</v>
      </c>
      <c r="H234" s="98"/>
      <c r="I234" s="99"/>
      <c r="J234" s="99">
        <v>7.5</v>
      </c>
      <c r="K234" s="99">
        <f t="shared" si="33"/>
        <v>7.5</v>
      </c>
      <c r="L234" s="136">
        <f t="shared" si="34"/>
        <v>240</v>
      </c>
      <c r="M234" s="136">
        <f t="shared" si="35"/>
        <v>2880</v>
      </c>
      <c r="N234" s="100">
        <f t="shared" si="28"/>
        <v>3.125E-2</v>
      </c>
      <c r="O234" s="100">
        <f t="shared" si="29"/>
        <v>0</v>
      </c>
      <c r="P234" s="71"/>
      <c r="Q234" s="64" t="s">
        <v>232</v>
      </c>
      <c r="R234" s="69" t="s">
        <v>272</v>
      </c>
      <c r="S234" s="128">
        <v>90</v>
      </c>
      <c r="T234" s="126">
        <f t="shared" si="27"/>
        <v>0</v>
      </c>
      <c r="U234" s="60" t="s">
        <v>263</v>
      </c>
      <c r="V234" s="151">
        <v>0</v>
      </c>
      <c r="W234" s="63" t="s">
        <v>264</v>
      </c>
      <c r="X234" s="70"/>
    </row>
    <row r="235" spans="1:24" ht="15" x14ac:dyDescent="0.25">
      <c r="A235" s="145" t="s">
        <v>152</v>
      </c>
      <c r="B235" s="72" t="s">
        <v>184</v>
      </c>
      <c r="C235" s="62" t="s">
        <v>215</v>
      </c>
      <c r="D235" s="60" t="s">
        <v>28</v>
      </c>
      <c r="E235" s="49" t="s">
        <v>28</v>
      </c>
      <c r="F235" s="59" t="s">
        <v>221</v>
      </c>
      <c r="G235" s="59" t="s">
        <v>224</v>
      </c>
      <c r="H235" s="98"/>
      <c r="I235" s="99"/>
      <c r="J235" s="99">
        <v>7.5</v>
      </c>
      <c r="K235" s="99">
        <f t="shared" si="33"/>
        <v>7.5</v>
      </c>
      <c r="L235" s="136">
        <f t="shared" si="34"/>
        <v>240</v>
      </c>
      <c r="M235" s="136">
        <f t="shared" si="35"/>
        <v>2880</v>
      </c>
      <c r="N235" s="100">
        <f t="shared" si="28"/>
        <v>3.125E-2</v>
      </c>
      <c r="O235" s="100" t="e">
        <f t="shared" si="29"/>
        <v>#REF!</v>
      </c>
      <c r="P235" s="71"/>
      <c r="Q235" s="64" t="s">
        <v>233</v>
      </c>
      <c r="R235" s="69" t="s">
        <v>272</v>
      </c>
      <c r="S235" s="128">
        <v>90</v>
      </c>
      <c r="T235" s="126">
        <f t="shared" si="27"/>
        <v>0</v>
      </c>
      <c r="U235" s="60" t="s">
        <v>263</v>
      </c>
      <c r="V235" s="151" t="e">
        <f>[1]!Tabella1[[#This Row],[Booking Hours]]</f>
        <v>#REF!</v>
      </c>
      <c r="W235" s="60" t="e">
        <f>[1]!Tabella1[[#This Row],[Booking Period]]</f>
        <v>#REF!</v>
      </c>
      <c r="X235" s="70"/>
    </row>
    <row r="236" spans="1:24" ht="15" x14ac:dyDescent="0.25">
      <c r="A236" s="145" t="s">
        <v>152</v>
      </c>
      <c r="B236" s="72" t="s">
        <v>184</v>
      </c>
      <c r="C236" s="62" t="s">
        <v>215</v>
      </c>
      <c r="D236" s="60" t="s">
        <v>28</v>
      </c>
      <c r="E236" s="49" t="s">
        <v>28</v>
      </c>
      <c r="F236" s="59" t="s">
        <v>221</v>
      </c>
      <c r="G236" s="59" t="s">
        <v>224</v>
      </c>
      <c r="H236" s="98"/>
      <c r="I236" s="99"/>
      <c r="J236" s="99">
        <v>7.5</v>
      </c>
      <c r="K236" s="99">
        <f t="shared" si="33"/>
        <v>7.5</v>
      </c>
      <c r="L236" s="136">
        <f t="shared" si="34"/>
        <v>240</v>
      </c>
      <c r="M236" s="136">
        <f t="shared" si="35"/>
        <v>2880</v>
      </c>
      <c r="N236" s="100">
        <f t="shared" si="28"/>
        <v>3.125E-2</v>
      </c>
      <c r="O236" s="100">
        <f t="shared" si="29"/>
        <v>0</v>
      </c>
      <c r="P236" s="71"/>
      <c r="Q236" s="64" t="s">
        <v>237</v>
      </c>
      <c r="R236" s="60" t="s">
        <v>282</v>
      </c>
      <c r="S236" s="128">
        <v>90</v>
      </c>
      <c r="T236" s="126">
        <f t="shared" si="27"/>
        <v>0</v>
      </c>
      <c r="U236" s="60" t="s">
        <v>263</v>
      </c>
      <c r="V236" s="151">
        <v>0</v>
      </c>
      <c r="W236" s="60" t="s">
        <v>264</v>
      </c>
      <c r="X236" s="70"/>
    </row>
    <row r="237" spans="1:24" ht="15" x14ac:dyDescent="0.25">
      <c r="A237" s="145" t="s">
        <v>152</v>
      </c>
      <c r="B237" s="72" t="s">
        <v>184</v>
      </c>
      <c r="C237" s="62" t="s">
        <v>215</v>
      </c>
      <c r="D237" s="60" t="s">
        <v>28</v>
      </c>
      <c r="E237" s="49" t="s">
        <v>28</v>
      </c>
      <c r="F237" s="59" t="s">
        <v>221</v>
      </c>
      <c r="G237" s="59" t="s">
        <v>224</v>
      </c>
      <c r="H237" s="98"/>
      <c r="I237" s="99"/>
      <c r="J237" s="99">
        <v>7.5</v>
      </c>
      <c r="K237" s="99">
        <f t="shared" si="33"/>
        <v>7.5</v>
      </c>
      <c r="L237" s="136">
        <f t="shared" si="34"/>
        <v>240</v>
      </c>
      <c r="M237" s="136">
        <f t="shared" si="35"/>
        <v>2880</v>
      </c>
      <c r="N237" s="100">
        <f t="shared" si="28"/>
        <v>3.125E-2</v>
      </c>
      <c r="O237" s="100">
        <f t="shared" si="29"/>
        <v>0</v>
      </c>
      <c r="P237" s="71"/>
      <c r="Q237" s="66" t="s">
        <v>238</v>
      </c>
      <c r="R237" s="60" t="s">
        <v>282</v>
      </c>
      <c r="S237" s="128">
        <v>90</v>
      </c>
      <c r="T237" s="126">
        <f t="shared" si="27"/>
        <v>0</v>
      </c>
      <c r="U237" s="60" t="s">
        <v>263</v>
      </c>
      <c r="V237" s="151">
        <v>0</v>
      </c>
      <c r="W237" s="60" t="s">
        <v>264</v>
      </c>
      <c r="X237" s="70"/>
    </row>
    <row r="238" spans="1:24" ht="15" x14ac:dyDescent="0.25">
      <c r="A238" s="145" t="s">
        <v>152</v>
      </c>
      <c r="B238" s="72" t="s">
        <v>184</v>
      </c>
      <c r="C238" s="62" t="s">
        <v>215</v>
      </c>
      <c r="D238" s="60" t="s">
        <v>28</v>
      </c>
      <c r="E238" s="49" t="s">
        <v>28</v>
      </c>
      <c r="F238" s="59" t="s">
        <v>221</v>
      </c>
      <c r="G238" s="59" t="s">
        <v>224</v>
      </c>
      <c r="H238" s="98"/>
      <c r="I238" s="99"/>
      <c r="J238" s="99">
        <v>7.5</v>
      </c>
      <c r="K238" s="99">
        <f t="shared" si="33"/>
        <v>7.5</v>
      </c>
      <c r="L238" s="136">
        <f t="shared" si="34"/>
        <v>240</v>
      </c>
      <c r="M238" s="136">
        <f t="shared" si="35"/>
        <v>2880</v>
      </c>
      <c r="N238" s="100">
        <f t="shared" si="28"/>
        <v>3.125E-2</v>
      </c>
      <c r="O238" s="100" t="e">
        <f t="shared" si="29"/>
        <v>#REF!</v>
      </c>
      <c r="P238" s="71"/>
      <c r="Q238" s="66" t="s">
        <v>245</v>
      </c>
      <c r="R238" s="60" t="s">
        <v>282</v>
      </c>
      <c r="S238" s="128">
        <v>90</v>
      </c>
      <c r="T238" s="126">
        <f t="shared" si="27"/>
        <v>0</v>
      </c>
      <c r="U238" s="60" t="s">
        <v>263</v>
      </c>
      <c r="V238" s="151" t="e">
        <f>[1]!Tabella1[[#This Row],[Booking Hours]]</f>
        <v>#REF!</v>
      </c>
      <c r="W238" s="63" t="e">
        <f>[1]!Tabella1[[#This Row],[Booking Period]]</f>
        <v>#REF!</v>
      </c>
      <c r="X238" s="70"/>
    </row>
    <row r="239" spans="1:24" ht="15" x14ac:dyDescent="0.25">
      <c r="A239" s="145" t="s">
        <v>152</v>
      </c>
      <c r="B239" s="72" t="s">
        <v>184</v>
      </c>
      <c r="C239" s="62" t="s">
        <v>215</v>
      </c>
      <c r="D239" s="60" t="s">
        <v>28</v>
      </c>
      <c r="E239" s="49" t="s">
        <v>28</v>
      </c>
      <c r="F239" s="59" t="s">
        <v>221</v>
      </c>
      <c r="G239" s="59" t="s">
        <v>224</v>
      </c>
      <c r="H239" s="98"/>
      <c r="I239" s="99"/>
      <c r="J239" s="99">
        <v>7.5</v>
      </c>
      <c r="K239" s="99">
        <f t="shared" si="33"/>
        <v>7.5</v>
      </c>
      <c r="L239" s="136">
        <f t="shared" si="34"/>
        <v>240</v>
      </c>
      <c r="M239" s="136">
        <f t="shared" si="35"/>
        <v>2880</v>
      </c>
      <c r="N239" s="100">
        <f t="shared" si="28"/>
        <v>3.125E-2</v>
      </c>
      <c r="O239" s="100">
        <f t="shared" si="29"/>
        <v>0</v>
      </c>
      <c r="P239" s="71"/>
      <c r="Q239" s="66" t="s">
        <v>231</v>
      </c>
      <c r="R239" s="69" t="s">
        <v>282</v>
      </c>
      <c r="S239" s="128">
        <v>90</v>
      </c>
      <c r="T239" s="126">
        <f t="shared" si="27"/>
        <v>0</v>
      </c>
      <c r="U239" s="60" t="s">
        <v>263</v>
      </c>
      <c r="V239" s="151">
        <v>0</v>
      </c>
      <c r="W239" s="60" t="s">
        <v>264</v>
      </c>
      <c r="X239" s="70"/>
    </row>
    <row r="240" spans="1:24" ht="15" x14ac:dyDescent="0.25">
      <c r="A240" s="145" t="s">
        <v>152</v>
      </c>
      <c r="B240" s="72" t="s">
        <v>184</v>
      </c>
      <c r="C240" s="62" t="s">
        <v>215</v>
      </c>
      <c r="D240" s="60" t="s">
        <v>28</v>
      </c>
      <c r="E240" s="49" t="s">
        <v>28</v>
      </c>
      <c r="F240" s="59" t="s">
        <v>221</v>
      </c>
      <c r="G240" s="59" t="s">
        <v>224</v>
      </c>
      <c r="H240" s="98"/>
      <c r="I240" s="99"/>
      <c r="J240" s="99">
        <v>7.5</v>
      </c>
      <c r="K240" s="99">
        <f t="shared" si="33"/>
        <v>7.5</v>
      </c>
      <c r="L240" s="136">
        <f t="shared" si="34"/>
        <v>240</v>
      </c>
      <c r="M240" s="136">
        <f t="shared" si="35"/>
        <v>2880</v>
      </c>
      <c r="N240" s="100">
        <f t="shared" si="28"/>
        <v>0.125</v>
      </c>
      <c r="O240" s="100">
        <f t="shared" si="29"/>
        <v>0</v>
      </c>
      <c r="P240" s="71"/>
      <c r="Q240" s="64" t="s">
        <v>232</v>
      </c>
      <c r="R240" s="69" t="s">
        <v>282</v>
      </c>
      <c r="S240" s="128">
        <v>360</v>
      </c>
      <c r="T240" s="126">
        <f t="shared" si="27"/>
        <v>0</v>
      </c>
      <c r="U240" s="60" t="s">
        <v>263</v>
      </c>
      <c r="V240" s="151">
        <v>0</v>
      </c>
      <c r="W240" s="63" t="s">
        <v>264</v>
      </c>
      <c r="X240" s="70"/>
    </row>
    <row r="241" spans="1:24" ht="15" x14ac:dyDescent="0.25">
      <c r="A241" s="145" t="s">
        <v>152</v>
      </c>
      <c r="B241" s="72" t="s">
        <v>184</v>
      </c>
      <c r="C241" s="62" t="s">
        <v>215</v>
      </c>
      <c r="D241" s="60" t="s">
        <v>28</v>
      </c>
      <c r="E241" s="49" t="s">
        <v>28</v>
      </c>
      <c r="F241" s="59" t="s">
        <v>221</v>
      </c>
      <c r="G241" s="59" t="s">
        <v>224</v>
      </c>
      <c r="H241" s="98"/>
      <c r="I241" s="99"/>
      <c r="J241" s="99">
        <v>7.5</v>
      </c>
      <c r="K241" s="99">
        <f t="shared" si="33"/>
        <v>7.5</v>
      </c>
      <c r="L241" s="136">
        <f t="shared" si="34"/>
        <v>240</v>
      </c>
      <c r="M241" s="136">
        <f t="shared" si="35"/>
        <v>2880</v>
      </c>
      <c r="N241" s="100">
        <f t="shared" si="28"/>
        <v>0.125</v>
      </c>
      <c r="O241" s="100" t="e">
        <f t="shared" si="29"/>
        <v>#REF!</v>
      </c>
      <c r="P241" s="71"/>
      <c r="Q241" s="64" t="s">
        <v>233</v>
      </c>
      <c r="R241" s="69" t="s">
        <v>282</v>
      </c>
      <c r="S241" s="128">
        <v>360</v>
      </c>
      <c r="T241" s="126">
        <f t="shared" si="27"/>
        <v>0</v>
      </c>
      <c r="U241" s="60" t="s">
        <v>263</v>
      </c>
      <c r="V241" s="151" t="e">
        <f>[1]!Tabella1[[#This Row],[Booking Hours]]</f>
        <v>#REF!</v>
      </c>
      <c r="W241" s="60" t="e">
        <f>[1]!Tabella1[[#This Row],[Booking Period]]</f>
        <v>#REF!</v>
      </c>
      <c r="X241" s="70"/>
    </row>
    <row r="242" spans="1:24" ht="15" x14ac:dyDescent="0.25">
      <c r="A242" s="145" t="s">
        <v>152</v>
      </c>
      <c r="B242" s="72" t="s">
        <v>184</v>
      </c>
      <c r="C242" s="62" t="s">
        <v>215</v>
      </c>
      <c r="D242" s="60" t="s">
        <v>28</v>
      </c>
      <c r="E242" s="49" t="s">
        <v>28</v>
      </c>
      <c r="F242" s="59" t="s">
        <v>221</v>
      </c>
      <c r="G242" s="59" t="s">
        <v>224</v>
      </c>
      <c r="H242" s="98"/>
      <c r="I242" s="99"/>
      <c r="J242" s="99">
        <v>7.5</v>
      </c>
      <c r="K242" s="99">
        <f t="shared" si="33"/>
        <v>7.5</v>
      </c>
      <c r="L242" s="136">
        <f t="shared" si="34"/>
        <v>240</v>
      </c>
      <c r="M242" s="136">
        <f t="shared" si="35"/>
        <v>2880</v>
      </c>
      <c r="N242" s="100">
        <f t="shared" si="28"/>
        <v>6.25E-2</v>
      </c>
      <c r="O242" s="100">
        <f t="shared" si="29"/>
        <v>6.0763888888888888E-2</v>
      </c>
      <c r="P242" s="71"/>
      <c r="Q242" s="60" t="s">
        <v>243</v>
      </c>
      <c r="R242" s="69" t="s">
        <v>282</v>
      </c>
      <c r="S242" s="128">
        <v>180</v>
      </c>
      <c r="T242" s="126">
        <f t="shared" si="27"/>
        <v>0</v>
      </c>
      <c r="U242" s="60" t="s">
        <v>263</v>
      </c>
      <c r="V242" s="151">
        <v>175</v>
      </c>
      <c r="W242" s="60" t="s">
        <v>284</v>
      </c>
      <c r="X242" s="70"/>
    </row>
    <row r="243" spans="1:24" ht="15" x14ac:dyDescent="0.25">
      <c r="A243" s="145" t="s">
        <v>152</v>
      </c>
      <c r="B243" s="72" t="s">
        <v>184</v>
      </c>
      <c r="C243" s="62" t="s">
        <v>215</v>
      </c>
      <c r="D243" s="60" t="s">
        <v>28</v>
      </c>
      <c r="E243" s="49" t="s">
        <v>28</v>
      </c>
      <c r="F243" s="59" t="s">
        <v>221</v>
      </c>
      <c r="G243" s="59" t="s">
        <v>224</v>
      </c>
      <c r="H243" s="98"/>
      <c r="I243" s="99"/>
      <c r="J243" s="99">
        <v>7.5</v>
      </c>
      <c r="K243" s="99">
        <f t="shared" si="33"/>
        <v>7.5</v>
      </c>
      <c r="L243" s="136">
        <f t="shared" si="34"/>
        <v>240</v>
      </c>
      <c r="M243" s="136">
        <f t="shared" si="35"/>
        <v>2880</v>
      </c>
      <c r="N243" s="100">
        <f t="shared" si="28"/>
        <v>6.25E-2</v>
      </c>
      <c r="O243" s="100">
        <f t="shared" si="29"/>
        <v>0</v>
      </c>
      <c r="P243" s="71"/>
      <c r="Q243" s="60" t="s">
        <v>244</v>
      </c>
      <c r="R243" s="69" t="s">
        <v>282</v>
      </c>
      <c r="S243" s="128">
        <v>180</v>
      </c>
      <c r="T243" s="126">
        <f t="shared" si="27"/>
        <v>0</v>
      </c>
      <c r="U243" s="60" t="s">
        <v>263</v>
      </c>
      <c r="V243" s="151">
        <v>0</v>
      </c>
      <c r="W243" s="60" t="s">
        <v>264</v>
      </c>
      <c r="X243" s="70"/>
    </row>
    <row r="244" spans="1:24" ht="15" x14ac:dyDescent="0.25">
      <c r="A244" s="145" t="s">
        <v>152</v>
      </c>
      <c r="B244" s="63" t="s">
        <v>185</v>
      </c>
      <c r="C244" s="62" t="s">
        <v>215</v>
      </c>
      <c r="D244" s="60" t="s">
        <v>20</v>
      </c>
      <c r="E244" s="50" t="s">
        <v>442</v>
      </c>
      <c r="F244" s="62" t="s">
        <v>221</v>
      </c>
      <c r="G244" s="59" t="s">
        <v>224</v>
      </c>
      <c r="H244" s="98"/>
      <c r="I244" s="99"/>
      <c r="J244" s="99">
        <v>5.416666666666667</v>
      </c>
      <c r="K244" s="99">
        <f t="shared" si="33"/>
        <v>5.416666666666667</v>
      </c>
      <c r="L244" s="136">
        <f t="shared" si="34"/>
        <v>240</v>
      </c>
      <c r="M244" s="136">
        <f t="shared" si="35"/>
        <v>2880</v>
      </c>
      <c r="N244" s="100">
        <f t="shared" si="28"/>
        <v>1</v>
      </c>
      <c r="O244" s="100" t="e">
        <f t="shared" si="29"/>
        <v>#REF!</v>
      </c>
      <c r="P244" s="71"/>
      <c r="Q244" s="64" t="s">
        <v>230</v>
      </c>
      <c r="R244" s="67" t="s">
        <v>309</v>
      </c>
      <c r="S244" s="126">
        <f>((60*4)*12)</f>
        <v>2880</v>
      </c>
      <c r="T244" s="126">
        <f t="shared" si="27"/>
        <v>0</v>
      </c>
      <c r="U244" s="60" t="s">
        <v>252</v>
      </c>
      <c r="V244" s="151" t="e">
        <f>[1]!Tabella1[[#This Row],[Booking Hours]]</f>
        <v>#REF!</v>
      </c>
      <c r="W244" s="60" t="e">
        <f>[1]!Tabella1[[#This Row],[Booking Period]]</f>
        <v>#REF!</v>
      </c>
      <c r="X244" s="65"/>
    </row>
    <row r="245" spans="1:24" ht="15" x14ac:dyDescent="0.25">
      <c r="A245" s="145" t="s">
        <v>152</v>
      </c>
      <c r="B245" s="63" t="s">
        <v>186</v>
      </c>
      <c r="C245" s="62" t="s">
        <v>215</v>
      </c>
      <c r="D245" s="60" t="s">
        <v>20</v>
      </c>
      <c r="E245" s="50" t="s">
        <v>442</v>
      </c>
      <c r="F245" s="62" t="s">
        <v>221</v>
      </c>
      <c r="G245" s="59" t="s">
        <v>224</v>
      </c>
      <c r="H245" s="98"/>
      <c r="I245" s="99"/>
      <c r="J245" s="99">
        <v>5.416666666666667</v>
      </c>
      <c r="K245" s="99">
        <f t="shared" si="33"/>
        <v>5.416666666666667</v>
      </c>
      <c r="L245" s="136">
        <f t="shared" si="34"/>
        <v>240</v>
      </c>
      <c r="M245" s="136">
        <f t="shared" si="35"/>
        <v>2880</v>
      </c>
      <c r="N245" s="100">
        <f t="shared" si="28"/>
        <v>1</v>
      </c>
      <c r="O245" s="100" t="e">
        <f t="shared" si="29"/>
        <v>#REF!</v>
      </c>
      <c r="P245" s="71"/>
      <c r="Q245" s="64" t="s">
        <v>230</v>
      </c>
      <c r="R245" s="60" t="s">
        <v>251</v>
      </c>
      <c r="S245" s="126">
        <f>((60*4)*12)</f>
        <v>2880</v>
      </c>
      <c r="T245" s="126">
        <f t="shared" si="27"/>
        <v>0</v>
      </c>
      <c r="U245" s="60" t="s">
        <v>252</v>
      </c>
      <c r="V245" s="151" t="e">
        <f>[1]!Tabella1[[#This Row],[Booking Hours]]</f>
        <v>#REF!</v>
      </c>
      <c r="W245" s="60" t="e">
        <f>[1]!Tabella1[[#This Row],[Booking Period]]</f>
        <v>#REF!</v>
      </c>
      <c r="X245" s="65"/>
    </row>
    <row r="246" spans="1:24" ht="15" x14ac:dyDescent="0.25">
      <c r="A246" s="145" t="s">
        <v>153</v>
      </c>
      <c r="B246" s="59" t="s">
        <v>187</v>
      </c>
      <c r="C246" s="72" t="s">
        <v>216</v>
      </c>
      <c r="D246" s="67" t="s">
        <v>28</v>
      </c>
      <c r="E246" s="49" t="s">
        <v>28</v>
      </c>
      <c r="F246" s="72" t="s">
        <v>222</v>
      </c>
      <c r="G246" s="59" t="s">
        <v>225</v>
      </c>
      <c r="H246" s="98">
        <v>57.21</v>
      </c>
      <c r="I246" s="99">
        <v>61.93</v>
      </c>
      <c r="J246" s="103"/>
      <c r="K246" s="83">
        <f t="shared" ref="K246:K268" si="36">I246</f>
        <v>61.93</v>
      </c>
      <c r="L246" s="136">
        <f t="shared" ref="L246:L268" si="37">M246/12</f>
        <v>174.91666666666666</v>
      </c>
      <c r="M246" s="136">
        <v>2099</v>
      </c>
      <c r="N246" s="100">
        <f t="shared" si="28"/>
        <v>0.1715102429728442</v>
      </c>
      <c r="O246" s="100">
        <f t="shared" si="29"/>
        <v>0</v>
      </c>
      <c r="P246" s="71"/>
      <c r="Q246" s="60" t="s">
        <v>243</v>
      </c>
      <c r="R246" s="76" t="s">
        <v>306</v>
      </c>
      <c r="S246" s="126">
        <v>360</v>
      </c>
      <c r="T246" s="126">
        <f t="shared" si="27"/>
        <v>22294.799999999999</v>
      </c>
      <c r="U246" s="63" t="s">
        <v>263</v>
      </c>
      <c r="V246" s="151">
        <v>0</v>
      </c>
      <c r="W246" s="60" t="s">
        <v>264</v>
      </c>
      <c r="X246" s="65"/>
    </row>
    <row r="247" spans="1:24" ht="15" x14ac:dyDescent="0.25">
      <c r="A247" s="145" t="s">
        <v>153</v>
      </c>
      <c r="B247" s="59" t="s">
        <v>187</v>
      </c>
      <c r="C247" s="72" t="s">
        <v>216</v>
      </c>
      <c r="D247" s="67" t="s">
        <v>28</v>
      </c>
      <c r="E247" s="49" t="s">
        <v>28</v>
      </c>
      <c r="F247" s="72" t="s">
        <v>222</v>
      </c>
      <c r="G247" s="59" t="s">
        <v>225</v>
      </c>
      <c r="H247" s="98">
        <v>57.21</v>
      </c>
      <c r="I247" s="99">
        <v>61.93</v>
      </c>
      <c r="J247" s="103"/>
      <c r="K247" s="83">
        <f t="shared" si="36"/>
        <v>61.93</v>
      </c>
      <c r="L247" s="136">
        <f t="shared" si="37"/>
        <v>174.91666666666666</v>
      </c>
      <c r="M247" s="136">
        <v>2099</v>
      </c>
      <c r="N247" s="100">
        <f t="shared" si="28"/>
        <v>0.11434016198189614</v>
      </c>
      <c r="O247" s="100">
        <f t="shared" si="29"/>
        <v>0</v>
      </c>
      <c r="P247" s="71"/>
      <c r="Q247" s="66" t="s">
        <v>247</v>
      </c>
      <c r="R247" s="76" t="s">
        <v>306</v>
      </c>
      <c r="S247" s="126">
        <v>240</v>
      </c>
      <c r="T247" s="126">
        <f t="shared" si="27"/>
        <v>14863.2</v>
      </c>
      <c r="U247" s="63" t="s">
        <v>308</v>
      </c>
      <c r="V247" s="151">
        <v>0</v>
      </c>
      <c r="W247" s="63" t="s">
        <v>264</v>
      </c>
      <c r="X247" s="65"/>
    </row>
    <row r="248" spans="1:24" ht="15" x14ac:dyDescent="0.25">
      <c r="A248" s="145" t="s">
        <v>153</v>
      </c>
      <c r="B248" s="59" t="s">
        <v>187</v>
      </c>
      <c r="C248" s="72" t="s">
        <v>216</v>
      </c>
      <c r="D248" s="67" t="s">
        <v>28</v>
      </c>
      <c r="E248" s="49" t="s">
        <v>28</v>
      </c>
      <c r="F248" s="72" t="s">
        <v>222</v>
      </c>
      <c r="G248" s="59" t="s">
        <v>225</v>
      </c>
      <c r="H248" s="98">
        <v>57.21</v>
      </c>
      <c r="I248" s="99">
        <v>61.93</v>
      </c>
      <c r="J248" s="103"/>
      <c r="K248" s="83">
        <f t="shared" si="36"/>
        <v>61.93</v>
      </c>
      <c r="L248" s="136">
        <f t="shared" si="37"/>
        <v>174.91666666666666</v>
      </c>
      <c r="M248" s="136">
        <v>2099</v>
      </c>
      <c r="N248" s="100">
        <f t="shared" si="28"/>
        <v>0.1715102429728442</v>
      </c>
      <c r="O248" s="100">
        <f t="shared" si="29"/>
        <v>0</v>
      </c>
      <c r="P248" s="71"/>
      <c r="Q248" s="60" t="s">
        <v>244</v>
      </c>
      <c r="R248" s="76" t="s">
        <v>306</v>
      </c>
      <c r="S248" s="126">
        <v>360</v>
      </c>
      <c r="T248" s="126">
        <f t="shared" si="27"/>
        <v>22294.799999999999</v>
      </c>
      <c r="U248" s="63" t="s">
        <v>263</v>
      </c>
      <c r="V248" s="151">
        <v>0</v>
      </c>
      <c r="W248" s="60" t="s">
        <v>264</v>
      </c>
      <c r="X248" s="65"/>
    </row>
    <row r="249" spans="1:24" ht="15" x14ac:dyDescent="0.25">
      <c r="A249" s="145" t="s">
        <v>153</v>
      </c>
      <c r="B249" s="59" t="s">
        <v>187</v>
      </c>
      <c r="C249" s="72" t="s">
        <v>216</v>
      </c>
      <c r="D249" s="67" t="s">
        <v>28</v>
      </c>
      <c r="E249" s="49" t="s">
        <v>28</v>
      </c>
      <c r="F249" s="72" t="s">
        <v>222</v>
      </c>
      <c r="G249" s="59" t="s">
        <v>225</v>
      </c>
      <c r="H249" s="98">
        <v>57.21</v>
      </c>
      <c r="I249" s="99">
        <v>61.93</v>
      </c>
      <c r="J249" s="103"/>
      <c r="K249" s="83">
        <f t="shared" si="36"/>
        <v>61.93</v>
      </c>
      <c r="L249" s="136">
        <f t="shared" si="37"/>
        <v>174.91666666666666</v>
      </c>
      <c r="M249" s="136">
        <v>2099</v>
      </c>
      <c r="N249" s="100">
        <f t="shared" si="28"/>
        <v>2.8585040495474036E-2</v>
      </c>
      <c r="O249" s="100" t="e">
        <f t="shared" si="29"/>
        <v>#REF!</v>
      </c>
      <c r="P249" s="71"/>
      <c r="Q249" s="64" t="s">
        <v>230</v>
      </c>
      <c r="R249" s="76" t="s">
        <v>310</v>
      </c>
      <c r="S249" s="126">
        <v>60</v>
      </c>
      <c r="T249" s="126">
        <f t="shared" si="27"/>
        <v>3715.8</v>
      </c>
      <c r="U249" s="63" t="s">
        <v>269</v>
      </c>
      <c r="V249" s="151" t="e">
        <f>[1]!Tabella1[[#This Row],[Booking Hours]]</f>
        <v>#REF!</v>
      </c>
      <c r="W249" s="63" t="e">
        <f>[1]!Tabella1[[#This Row],[Booking Period]]</f>
        <v>#REF!</v>
      </c>
      <c r="X249" s="65"/>
    </row>
    <row r="250" spans="1:24" ht="15" x14ac:dyDescent="0.25">
      <c r="A250" s="145" t="s">
        <v>153</v>
      </c>
      <c r="B250" s="59" t="s">
        <v>187</v>
      </c>
      <c r="C250" s="72" t="s">
        <v>216</v>
      </c>
      <c r="D250" s="67" t="s">
        <v>28</v>
      </c>
      <c r="E250" s="49" t="s">
        <v>28</v>
      </c>
      <c r="F250" s="72" t="s">
        <v>222</v>
      </c>
      <c r="G250" s="59" t="s">
        <v>225</v>
      </c>
      <c r="H250" s="98">
        <v>57.21</v>
      </c>
      <c r="I250" s="99">
        <v>61.93</v>
      </c>
      <c r="J250" s="103"/>
      <c r="K250" s="83">
        <f t="shared" si="36"/>
        <v>61.93</v>
      </c>
      <c r="L250" s="136">
        <f t="shared" si="37"/>
        <v>174.91666666666666</v>
      </c>
      <c r="M250" s="136">
        <v>2099</v>
      </c>
      <c r="N250" s="100">
        <f t="shared" si="28"/>
        <v>2.8585040495474036E-2</v>
      </c>
      <c r="O250" s="100" t="e">
        <f t="shared" si="29"/>
        <v>#REF!</v>
      </c>
      <c r="P250" s="71"/>
      <c r="Q250" s="64" t="s">
        <v>234</v>
      </c>
      <c r="R250" s="76" t="s">
        <v>310</v>
      </c>
      <c r="S250" s="126">
        <v>60</v>
      </c>
      <c r="T250" s="126">
        <f t="shared" si="27"/>
        <v>3715.8</v>
      </c>
      <c r="U250" s="63" t="s">
        <v>270</v>
      </c>
      <c r="V250" s="151" t="e">
        <f>[1]!Tabella1[[#This Row],[Booking Hours]]</f>
        <v>#REF!</v>
      </c>
      <c r="W250" s="60" t="e">
        <f>[1]!Tabella1[[#This Row],[Booking Period]]</f>
        <v>#REF!</v>
      </c>
      <c r="X250" s="65"/>
    </row>
    <row r="251" spans="1:24" ht="15" x14ac:dyDescent="0.25">
      <c r="A251" s="145" t="s">
        <v>153</v>
      </c>
      <c r="B251" s="59" t="s">
        <v>187</v>
      </c>
      <c r="C251" s="72" t="s">
        <v>216</v>
      </c>
      <c r="D251" s="67" t="s">
        <v>28</v>
      </c>
      <c r="E251" s="49" t="s">
        <v>28</v>
      </c>
      <c r="F251" s="72" t="s">
        <v>222</v>
      </c>
      <c r="G251" s="59" t="s">
        <v>225</v>
      </c>
      <c r="H251" s="98">
        <v>57.21</v>
      </c>
      <c r="I251" s="99">
        <v>61.93</v>
      </c>
      <c r="J251" s="103"/>
      <c r="K251" s="83">
        <f t="shared" si="36"/>
        <v>61.93</v>
      </c>
      <c r="L251" s="136">
        <f t="shared" si="37"/>
        <v>174.91666666666666</v>
      </c>
      <c r="M251" s="136">
        <v>2099</v>
      </c>
      <c r="N251" s="100">
        <f t="shared" si="28"/>
        <v>2.8585040495474036E-2</v>
      </c>
      <c r="O251" s="100">
        <f t="shared" si="29"/>
        <v>0</v>
      </c>
      <c r="P251" s="71"/>
      <c r="Q251" s="64" t="s">
        <v>235</v>
      </c>
      <c r="R251" s="76" t="s">
        <v>310</v>
      </c>
      <c r="S251" s="126">
        <v>60</v>
      </c>
      <c r="T251" s="126">
        <f t="shared" si="27"/>
        <v>3715.8</v>
      </c>
      <c r="U251" s="63" t="s">
        <v>271</v>
      </c>
      <c r="V251" s="151"/>
      <c r="W251" s="153" t="s">
        <v>260</v>
      </c>
      <c r="X251" s="65"/>
    </row>
    <row r="252" spans="1:24" ht="15" x14ac:dyDescent="0.25">
      <c r="A252" s="145" t="s">
        <v>153</v>
      </c>
      <c r="B252" s="59" t="s">
        <v>187</v>
      </c>
      <c r="C252" s="72" t="s">
        <v>216</v>
      </c>
      <c r="D252" s="67" t="s">
        <v>28</v>
      </c>
      <c r="E252" s="49" t="s">
        <v>28</v>
      </c>
      <c r="F252" s="72" t="s">
        <v>222</v>
      </c>
      <c r="G252" s="59" t="s">
        <v>225</v>
      </c>
      <c r="H252" s="98">
        <v>57.21</v>
      </c>
      <c r="I252" s="99">
        <v>61.93</v>
      </c>
      <c r="J252" s="103"/>
      <c r="K252" s="83">
        <f t="shared" si="36"/>
        <v>61.93</v>
      </c>
      <c r="L252" s="136">
        <f t="shared" si="37"/>
        <v>174.91666666666666</v>
      </c>
      <c r="M252" s="136">
        <v>2099</v>
      </c>
      <c r="N252" s="100">
        <f t="shared" si="28"/>
        <v>2.8585040495474036E-2</v>
      </c>
      <c r="O252" s="100">
        <f t="shared" si="29"/>
        <v>0</v>
      </c>
      <c r="P252" s="71"/>
      <c r="Q252" s="64" t="s">
        <v>232</v>
      </c>
      <c r="R252" s="76" t="s">
        <v>310</v>
      </c>
      <c r="S252" s="126">
        <v>60</v>
      </c>
      <c r="T252" s="126">
        <f t="shared" si="27"/>
        <v>3715.8</v>
      </c>
      <c r="U252" s="63" t="s">
        <v>269</v>
      </c>
      <c r="V252" s="151">
        <v>0</v>
      </c>
      <c r="W252" s="63" t="s">
        <v>264</v>
      </c>
      <c r="X252" s="65"/>
    </row>
    <row r="253" spans="1:24" ht="15" x14ac:dyDescent="0.25">
      <c r="A253" s="145" t="s">
        <v>153</v>
      </c>
      <c r="B253" s="59" t="s">
        <v>187</v>
      </c>
      <c r="C253" s="72" t="s">
        <v>216</v>
      </c>
      <c r="D253" s="67" t="s">
        <v>28</v>
      </c>
      <c r="E253" s="49" t="s">
        <v>28</v>
      </c>
      <c r="F253" s="72" t="s">
        <v>222</v>
      </c>
      <c r="G253" s="59" t="s">
        <v>225</v>
      </c>
      <c r="H253" s="98">
        <v>57.21</v>
      </c>
      <c r="I253" s="99">
        <v>61.93</v>
      </c>
      <c r="J253" s="103"/>
      <c r="K253" s="83">
        <f t="shared" si="36"/>
        <v>61.93</v>
      </c>
      <c r="L253" s="136">
        <f t="shared" si="37"/>
        <v>174.91666666666666</v>
      </c>
      <c r="M253" s="136">
        <v>2099</v>
      </c>
      <c r="N253" s="100">
        <f t="shared" si="28"/>
        <v>2.8585040495474036E-2</v>
      </c>
      <c r="O253" s="100" t="e">
        <f t="shared" si="29"/>
        <v>#REF!</v>
      </c>
      <c r="P253" s="71"/>
      <c r="Q253" s="64" t="s">
        <v>233</v>
      </c>
      <c r="R253" s="76" t="s">
        <v>310</v>
      </c>
      <c r="S253" s="126">
        <v>60</v>
      </c>
      <c r="T253" s="126">
        <f t="shared" si="27"/>
        <v>3715.8</v>
      </c>
      <c r="U253" s="63" t="s">
        <v>269</v>
      </c>
      <c r="V253" s="151" t="e">
        <f>[1]!Tabella1[[#This Row],[Booking Hours]]</f>
        <v>#REF!</v>
      </c>
      <c r="W253" s="60" t="e">
        <f>[1]!Tabella1[[#This Row],[Booking Period]]</f>
        <v>#REF!</v>
      </c>
      <c r="X253" s="65"/>
    </row>
    <row r="254" spans="1:24" ht="15" x14ac:dyDescent="0.25">
      <c r="A254" s="145" t="s">
        <v>153</v>
      </c>
      <c r="B254" s="59" t="s">
        <v>187</v>
      </c>
      <c r="C254" s="72" t="s">
        <v>216</v>
      </c>
      <c r="D254" s="67" t="s">
        <v>28</v>
      </c>
      <c r="E254" s="49" t="s">
        <v>28</v>
      </c>
      <c r="F254" s="72" t="s">
        <v>222</v>
      </c>
      <c r="G254" s="59" t="s">
        <v>225</v>
      </c>
      <c r="H254" s="98">
        <v>57.21</v>
      </c>
      <c r="I254" s="99">
        <v>61.93</v>
      </c>
      <c r="J254" s="103"/>
      <c r="K254" s="83">
        <f t="shared" si="36"/>
        <v>61.93</v>
      </c>
      <c r="L254" s="136">
        <f t="shared" si="37"/>
        <v>174.91666666666666</v>
      </c>
      <c r="M254" s="136">
        <v>2099</v>
      </c>
      <c r="N254" s="100">
        <f t="shared" si="28"/>
        <v>3.3349213911386372E-2</v>
      </c>
      <c r="O254" s="100" t="e">
        <f t="shared" si="29"/>
        <v>#REF!</v>
      </c>
      <c r="P254" s="71"/>
      <c r="Q254" s="64" t="s">
        <v>230</v>
      </c>
      <c r="R254" s="76" t="s">
        <v>311</v>
      </c>
      <c r="S254" s="126">
        <v>70</v>
      </c>
      <c r="T254" s="126">
        <f t="shared" si="27"/>
        <v>4335.1000000000004</v>
      </c>
      <c r="U254" s="63" t="s">
        <v>269</v>
      </c>
      <c r="V254" s="151" t="e">
        <f>[1]!Tabella1[[#This Row],[Booking Hours]]</f>
        <v>#REF!</v>
      </c>
      <c r="W254" s="63" t="e">
        <f>[1]!Tabella1[[#This Row],[Booking Period]]</f>
        <v>#REF!</v>
      </c>
      <c r="X254" s="65"/>
    </row>
    <row r="255" spans="1:24" ht="15" x14ac:dyDescent="0.25">
      <c r="A255" s="145" t="s">
        <v>153</v>
      </c>
      <c r="B255" s="59" t="s">
        <v>187</v>
      </c>
      <c r="C255" s="72" t="s">
        <v>216</v>
      </c>
      <c r="D255" s="67" t="s">
        <v>28</v>
      </c>
      <c r="E255" s="49" t="s">
        <v>28</v>
      </c>
      <c r="F255" s="72" t="s">
        <v>222</v>
      </c>
      <c r="G255" s="59" t="s">
        <v>225</v>
      </c>
      <c r="H255" s="98">
        <v>57.21</v>
      </c>
      <c r="I255" s="99">
        <v>61.93</v>
      </c>
      <c r="J255" s="103"/>
      <c r="K255" s="83">
        <f t="shared" si="36"/>
        <v>61.93</v>
      </c>
      <c r="L255" s="136">
        <f t="shared" si="37"/>
        <v>174.91666666666666</v>
      </c>
      <c r="M255" s="136">
        <v>2099</v>
      </c>
      <c r="N255" s="100">
        <f t="shared" si="28"/>
        <v>3.3349213911386372E-2</v>
      </c>
      <c r="O255" s="100">
        <f t="shared" si="29"/>
        <v>0</v>
      </c>
      <c r="P255" s="71"/>
      <c r="Q255" s="64" t="s">
        <v>234</v>
      </c>
      <c r="R255" s="76" t="s">
        <v>311</v>
      </c>
      <c r="S255" s="126">
        <v>70</v>
      </c>
      <c r="T255" s="126">
        <f t="shared" si="27"/>
        <v>4335.1000000000004</v>
      </c>
      <c r="U255" s="63" t="s">
        <v>270</v>
      </c>
      <c r="V255" s="151">
        <v>0</v>
      </c>
      <c r="W255" s="60" t="s">
        <v>264</v>
      </c>
      <c r="X255" s="65"/>
    </row>
    <row r="256" spans="1:24" ht="15" x14ac:dyDescent="0.25">
      <c r="A256" s="145" t="s">
        <v>153</v>
      </c>
      <c r="B256" s="59" t="s">
        <v>187</v>
      </c>
      <c r="C256" s="72" t="s">
        <v>216</v>
      </c>
      <c r="D256" s="67" t="s">
        <v>28</v>
      </c>
      <c r="E256" s="49" t="s">
        <v>28</v>
      </c>
      <c r="F256" s="72" t="s">
        <v>222</v>
      </c>
      <c r="G256" s="59" t="s">
        <v>225</v>
      </c>
      <c r="H256" s="98">
        <v>57.21</v>
      </c>
      <c r="I256" s="99">
        <v>61.93</v>
      </c>
      <c r="J256" s="103"/>
      <c r="K256" s="83">
        <f t="shared" si="36"/>
        <v>61.93</v>
      </c>
      <c r="L256" s="136">
        <f t="shared" si="37"/>
        <v>174.91666666666666</v>
      </c>
      <c r="M256" s="136">
        <v>2099</v>
      </c>
      <c r="N256" s="100">
        <f t="shared" si="28"/>
        <v>3.3349213911386372E-2</v>
      </c>
      <c r="O256" s="100">
        <f t="shared" si="29"/>
        <v>0</v>
      </c>
      <c r="P256" s="71"/>
      <c r="Q256" s="64" t="s">
        <v>235</v>
      </c>
      <c r="R256" s="76" t="s">
        <v>311</v>
      </c>
      <c r="S256" s="126">
        <v>70</v>
      </c>
      <c r="T256" s="126">
        <f t="shared" si="27"/>
        <v>4335.1000000000004</v>
      </c>
      <c r="U256" s="63" t="s">
        <v>271</v>
      </c>
      <c r="V256" s="151"/>
      <c r="W256" s="153" t="s">
        <v>260</v>
      </c>
      <c r="X256" s="65"/>
    </row>
    <row r="257" spans="1:24" ht="15" x14ac:dyDescent="0.25">
      <c r="A257" s="145" t="s">
        <v>153</v>
      </c>
      <c r="B257" s="59" t="s">
        <v>187</v>
      </c>
      <c r="C257" s="72" t="s">
        <v>216</v>
      </c>
      <c r="D257" s="67" t="s">
        <v>28</v>
      </c>
      <c r="E257" s="49" t="s">
        <v>28</v>
      </c>
      <c r="F257" s="72" t="s">
        <v>222</v>
      </c>
      <c r="G257" s="59" t="s">
        <v>225</v>
      </c>
      <c r="H257" s="98">
        <v>57.21</v>
      </c>
      <c r="I257" s="99">
        <v>61.93</v>
      </c>
      <c r="J257" s="103"/>
      <c r="K257" s="83">
        <f t="shared" si="36"/>
        <v>61.93</v>
      </c>
      <c r="L257" s="136">
        <f t="shared" si="37"/>
        <v>174.91666666666666</v>
      </c>
      <c r="M257" s="136">
        <v>2099</v>
      </c>
      <c r="N257" s="100">
        <f t="shared" si="28"/>
        <v>3.3349213911386372E-2</v>
      </c>
      <c r="O257" s="100">
        <f t="shared" si="29"/>
        <v>0</v>
      </c>
      <c r="P257" s="71"/>
      <c r="Q257" s="64" t="s">
        <v>232</v>
      </c>
      <c r="R257" s="76" t="s">
        <v>311</v>
      </c>
      <c r="S257" s="126">
        <v>70</v>
      </c>
      <c r="T257" s="126">
        <f t="shared" si="27"/>
        <v>4335.1000000000004</v>
      </c>
      <c r="U257" s="63" t="s">
        <v>269</v>
      </c>
      <c r="V257" s="151">
        <v>0</v>
      </c>
      <c r="W257" s="63" t="s">
        <v>264</v>
      </c>
      <c r="X257" s="65"/>
    </row>
    <row r="258" spans="1:24" ht="15" x14ac:dyDescent="0.25">
      <c r="A258" s="145" t="s">
        <v>153</v>
      </c>
      <c r="B258" s="59" t="s">
        <v>187</v>
      </c>
      <c r="C258" s="72" t="s">
        <v>216</v>
      </c>
      <c r="D258" s="67" t="s">
        <v>28</v>
      </c>
      <c r="E258" s="49" t="s">
        <v>28</v>
      </c>
      <c r="F258" s="72" t="s">
        <v>222</v>
      </c>
      <c r="G258" s="59" t="s">
        <v>225</v>
      </c>
      <c r="H258" s="98">
        <v>57.21</v>
      </c>
      <c r="I258" s="99">
        <v>61.93</v>
      </c>
      <c r="J258" s="103"/>
      <c r="K258" s="83">
        <f t="shared" si="36"/>
        <v>61.93</v>
      </c>
      <c r="L258" s="136">
        <f t="shared" si="37"/>
        <v>174.91666666666666</v>
      </c>
      <c r="M258" s="136">
        <v>2099</v>
      </c>
      <c r="N258" s="100">
        <f t="shared" si="28"/>
        <v>3.3349213911386372E-2</v>
      </c>
      <c r="O258" s="100" t="e">
        <f t="shared" si="29"/>
        <v>#REF!</v>
      </c>
      <c r="P258" s="71"/>
      <c r="Q258" s="64" t="s">
        <v>233</v>
      </c>
      <c r="R258" s="76" t="s">
        <v>311</v>
      </c>
      <c r="S258" s="126">
        <v>70</v>
      </c>
      <c r="T258" s="126">
        <f t="shared" ref="T258:T321" si="38">S258*I258</f>
        <v>4335.1000000000004</v>
      </c>
      <c r="U258" s="63" t="s">
        <v>269</v>
      </c>
      <c r="V258" s="151" t="e">
        <f>[1]!Tabella1[[#This Row],[Booking Hours]]</f>
        <v>#REF!</v>
      </c>
      <c r="W258" s="60" t="e">
        <f>[1]!Tabella1[[#This Row],[Booking Period]]</f>
        <v>#REF!</v>
      </c>
      <c r="X258" s="65"/>
    </row>
    <row r="259" spans="1:24" ht="15" x14ac:dyDescent="0.25">
      <c r="A259" s="145" t="s">
        <v>153</v>
      </c>
      <c r="B259" s="59" t="s">
        <v>187</v>
      </c>
      <c r="C259" s="72" t="s">
        <v>216</v>
      </c>
      <c r="D259" s="67" t="s">
        <v>28</v>
      </c>
      <c r="E259" s="49" t="s">
        <v>28</v>
      </c>
      <c r="F259" s="72" t="s">
        <v>222</v>
      </c>
      <c r="G259" s="59" t="s">
        <v>225</v>
      </c>
      <c r="H259" s="98">
        <v>57.21</v>
      </c>
      <c r="I259" s="99">
        <v>61.93</v>
      </c>
      <c r="J259" s="103"/>
      <c r="K259" s="83">
        <f t="shared" si="36"/>
        <v>61.93</v>
      </c>
      <c r="L259" s="136">
        <f t="shared" si="37"/>
        <v>174.91666666666666</v>
      </c>
      <c r="M259" s="136">
        <v>2099</v>
      </c>
      <c r="N259" s="100">
        <f t="shared" ref="N259:N271" si="39">S259/M259</f>
        <v>2.8585040495474036E-2</v>
      </c>
      <c r="O259" s="100" t="e">
        <f t="shared" ref="O259:O271" si="40">V259/M259</f>
        <v>#REF!</v>
      </c>
      <c r="P259" s="71"/>
      <c r="Q259" s="64" t="s">
        <v>230</v>
      </c>
      <c r="R259" s="76" t="s">
        <v>312</v>
      </c>
      <c r="S259" s="126">
        <v>60</v>
      </c>
      <c r="T259" s="126">
        <f t="shared" si="38"/>
        <v>3715.8</v>
      </c>
      <c r="U259" s="63" t="s">
        <v>269</v>
      </c>
      <c r="V259" s="151" t="e">
        <f>[1]!Tabella1[[#This Row],[Booking Hours]]</f>
        <v>#REF!</v>
      </c>
      <c r="W259" s="63" t="e">
        <f>[1]!Tabella1[[#This Row],[Booking Period]]</f>
        <v>#REF!</v>
      </c>
      <c r="X259" s="65"/>
    </row>
    <row r="260" spans="1:24" ht="15" x14ac:dyDescent="0.25">
      <c r="A260" s="145" t="s">
        <v>153</v>
      </c>
      <c r="B260" s="59" t="s">
        <v>187</v>
      </c>
      <c r="C260" s="72" t="s">
        <v>216</v>
      </c>
      <c r="D260" s="67" t="s">
        <v>28</v>
      </c>
      <c r="E260" s="49" t="s">
        <v>28</v>
      </c>
      <c r="F260" s="72" t="s">
        <v>222</v>
      </c>
      <c r="G260" s="59" t="s">
        <v>225</v>
      </c>
      <c r="H260" s="98">
        <v>57.21</v>
      </c>
      <c r="I260" s="99">
        <v>61.93</v>
      </c>
      <c r="J260" s="103"/>
      <c r="K260" s="83">
        <f t="shared" si="36"/>
        <v>61.93</v>
      </c>
      <c r="L260" s="136">
        <f t="shared" si="37"/>
        <v>174.91666666666666</v>
      </c>
      <c r="M260" s="136">
        <v>2099</v>
      </c>
      <c r="N260" s="100">
        <f t="shared" si="39"/>
        <v>2.8585040495474036E-2</v>
      </c>
      <c r="O260" s="100" t="e">
        <f t="shared" si="40"/>
        <v>#REF!</v>
      </c>
      <c r="P260" s="71"/>
      <c r="Q260" s="64" t="s">
        <v>234</v>
      </c>
      <c r="R260" s="76" t="s">
        <v>312</v>
      </c>
      <c r="S260" s="126">
        <v>60</v>
      </c>
      <c r="T260" s="126">
        <f t="shared" si="38"/>
        <v>3715.8</v>
      </c>
      <c r="U260" s="63" t="s">
        <v>270</v>
      </c>
      <c r="V260" s="151" t="e">
        <f>[1]!Tabella1[[#This Row],[Booking Hours]]</f>
        <v>#REF!</v>
      </c>
      <c r="W260" s="60" t="e">
        <f>[1]!Tabella1[[#This Row],[Booking Period]]</f>
        <v>#REF!</v>
      </c>
      <c r="X260" s="65"/>
    </row>
    <row r="261" spans="1:24" ht="15" x14ac:dyDescent="0.25">
      <c r="A261" s="145" t="s">
        <v>153</v>
      </c>
      <c r="B261" s="59" t="s">
        <v>187</v>
      </c>
      <c r="C261" s="72" t="s">
        <v>216</v>
      </c>
      <c r="D261" s="67" t="s">
        <v>28</v>
      </c>
      <c r="E261" s="49" t="s">
        <v>28</v>
      </c>
      <c r="F261" s="72" t="s">
        <v>222</v>
      </c>
      <c r="G261" s="59" t="s">
        <v>225</v>
      </c>
      <c r="H261" s="98">
        <v>57.21</v>
      </c>
      <c r="I261" s="99">
        <v>61.93</v>
      </c>
      <c r="J261" s="103"/>
      <c r="K261" s="83">
        <f t="shared" si="36"/>
        <v>61.93</v>
      </c>
      <c r="L261" s="136">
        <f t="shared" si="37"/>
        <v>174.91666666666666</v>
      </c>
      <c r="M261" s="136">
        <v>2099</v>
      </c>
      <c r="N261" s="100">
        <f t="shared" si="39"/>
        <v>2.8585040495474036E-2</v>
      </c>
      <c r="O261" s="100">
        <f t="shared" si="40"/>
        <v>0</v>
      </c>
      <c r="P261" s="71"/>
      <c r="Q261" s="64" t="s">
        <v>235</v>
      </c>
      <c r="R261" s="76" t="s">
        <v>312</v>
      </c>
      <c r="S261" s="126">
        <v>60</v>
      </c>
      <c r="T261" s="126">
        <f t="shared" si="38"/>
        <v>3715.8</v>
      </c>
      <c r="U261" s="63" t="s">
        <v>271</v>
      </c>
      <c r="V261" s="151"/>
      <c r="W261" s="153" t="s">
        <v>260</v>
      </c>
      <c r="X261" s="65"/>
    </row>
    <row r="262" spans="1:24" ht="15" x14ac:dyDescent="0.25">
      <c r="A262" s="145" t="s">
        <v>153</v>
      </c>
      <c r="B262" s="59" t="s">
        <v>187</v>
      </c>
      <c r="C262" s="72" t="s">
        <v>216</v>
      </c>
      <c r="D262" s="67" t="s">
        <v>28</v>
      </c>
      <c r="E262" s="49" t="s">
        <v>28</v>
      </c>
      <c r="F262" s="72" t="s">
        <v>222</v>
      </c>
      <c r="G262" s="59" t="s">
        <v>225</v>
      </c>
      <c r="H262" s="98">
        <v>57.21</v>
      </c>
      <c r="I262" s="99">
        <v>61.93</v>
      </c>
      <c r="J262" s="103"/>
      <c r="K262" s="83">
        <f t="shared" si="36"/>
        <v>61.93</v>
      </c>
      <c r="L262" s="136">
        <f t="shared" si="37"/>
        <v>174.91666666666666</v>
      </c>
      <c r="M262" s="136">
        <v>2099</v>
      </c>
      <c r="N262" s="100">
        <f t="shared" si="39"/>
        <v>2.8585040495474036E-2</v>
      </c>
      <c r="O262" s="100" t="e">
        <f t="shared" si="40"/>
        <v>#REF!</v>
      </c>
      <c r="P262" s="71"/>
      <c r="Q262" s="64" t="s">
        <v>232</v>
      </c>
      <c r="R262" s="76" t="s">
        <v>312</v>
      </c>
      <c r="S262" s="126">
        <v>60</v>
      </c>
      <c r="T262" s="126">
        <f t="shared" si="38"/>
        <v>3715.8</v>
      </c>
      <c r="U262" s="63" t="s">
        <v>269</v>
      </c>
      <c r="V262" s="151" t="e">
        <f>[1]!Tabella1[[#This Row],[Booking Hours]]</f>
        <v>#REF!</v>
      </c>
      <c r="W262" s="63" t="s">
        <v>257</v>
      </c>
      <c r="X262" s="65"/>
    </row>
    <row r="263" spans="1:24" ht="15" x14ac:dyDescent="0.25">
      <c r="A263" s="145" t="s">
        <v>153</v>
      </c>
      <c r="B263" s="59" t="s">
        <v>187</v>
      </c>
      <c r="C263" s="72" t="s">
        <v>216</v>
      </c>
      <c r="D263" s="67" t="s">
        <v>28</v>
      </c>
      <c r="E263" s="49" t="s">
        <v>28</v>
      </c>
      <c r="F263" s="72" t="s">
        <v>222</v>
      </c>
      <c r="G263" s="59" t="s">
        <v>225</v>
      </c>
      <c r="H263" s="98">
        <v>57.21</v>
      </c>
      <c r="I263" s="99">
        <v>61.93</v>
      </c>
      <c r="J263" s="103"/>
      <c r="K263" s="83">
        <f t="shared" si="36"/>
        <v>61.93</v>
      </c>
      <c r="L263" s="136">
        <f t="shared" si="37"/>
        <v>174.91666666666666</v>
      </c>
      <c r="M263" s="136">
        <v>2099</v>
      </c>
      <c r="N263" s="100">
        <f t="shared" si="39"/>
        <v>2.8585040495474036E-2</v>
      </c>
      <c r="O263" s="100" t="e">
        <f t="shared" si="40"/>
        <v>#REF!</v>
      </c>
      <c r="P263" s="71"/>
      <c r="Q263" s="64" t="s">
        <v>233</v>
      </c>
      <c r="R263" s="76" t="s">
        <v>312</v>
      </c>
      <c r="S263" s="126">
        <v>60</v>
      </c>
      <c r="T263" s="126">
        <f t="shared" si="38"/>
        <v>3715.8</v>
      </c>
      <c r="U263" s="63" t="s">
        <v>269</v>
      </c>
      <c r="V263" s="151" t="e">
        <f>[1]!Tabella1[[#This Row],[Booking Hours]]</f>
        <v>#REF!</v>
      </c>
      <c r="W263" s="60" t="e">
        <f>[1]!Tabella1[[#This Row],[Booking Period]]</f>
        <v>#REF!</v>
      </c>
      <c r="X263" s="65"/>
    </row>
    <row r="264" spans="1:24" ht="15" x14ac:dyDescent="0.25">
      <c r="A264" s="145" t="s">
        <v>153</v>
      </c>
      <c r="B264" s="59" t="s">
        <v>187</v>
      </c>
      <c r="C264" s="72" t="s">
        <v>216</v>
      </c>
      <c r="D264" s="67" t="s">
        <v>28</v>
      </c>
      <c r="E264" s="49" t="s">
        <v>28</v>
      </c>
      <c r="F264" s="72" t="s">
        <v>222</v>
      </c>
      <c r="G264" s="59" t="s">
        <v>225</v>
      </c>
      <c r="H264" s="98">
        <v>57.21</v>
      </c>
      <c r="I264" s="99">
        <v>61.93</v>
      </c>
      <c r="J264" s="103"/>
      <c r="K264" s="83">
        <f t="shared" si="36"/>
        <v>61.93</v>
      </c>
      <c r="L264" s="136">
        <f t="shared" si="37"/>
        <v>174.91666666666666</v>
      </c>
      <c r="M264" s="136">
        <v>2099</v>
      </c>
      <c r="N264" s="100">
        <f t="shared" si="39"/>
        <v>3.3349213911386372E-2</v>
      </c>
      <c r="O264" s="100" t="e">
        <f t="shared" si="40"/>
        <v>#REF!</v>
      </c>
      <c r="P264" s="71"/>
      <c r="Q264" s="64" t="s">
        <v>230</v>
      </c>
      <c r="R264" s="76" t="s">
        <v>313</v>
      </c>
      <c r="S264" s="126">
        <v>70</v>
      </c>
      <c r="T264" s="126">
        <f t="shared" si="38"/>
        <v>4335.1000000000004</v>
      </c>
      <c r="U264" s="63" t="s">
        <v>269</v>
      </c>
      <c r="V264" s="151" t="e">
        <f>[1]!Tabella1[[#This Row],[Booking Hours]]</f>
        <v>#REF!</v>
      </c>
      <c r="W264" s="63" t="e">
        <f>[1]!Tabella1[[#This Row],[Booking Period]]</f>
        <v>#REF!</v>
      </c>
      <c r="X264" s="65"/>
    </row>
    <row r="265" spans="1:24" ht="15" x14ac:dyDescent="0.25">
      <c r="A265" s="145" t="s">
        <v>153</v>
      </c>
      <c r="B265" s="59" t="s">
        <v>187</v>
      </c>
      <c r="C265" s="72" t="s">
        <v>216</v>
      </c>
      <c r="D265" s="67" t="s">
        <v>28</v>
      </c>
      <c r="E265" s="49" t="s">
        <v>28</v>
      </c>
      <c r="F265" s="72" t="s">
        <v>222</v>
      </c>
      <c r="G265" s="59" t="s">
        <v>225</v>
      </c>
      <c r="H265" s="98">
        <v>57.21</v>
      </c>
      <c r="I265" s="99">
        <v>61.93</v>
      </c>
      <c r="J265" s="103"/>
      <c r="K265" s="83">
        <f t="shared" si="36"/>
        <v>61.93</v>
      </c>
      <c r="L265" s="136">
        <f t="shared" si="37"/>
        <v>174.91666666666666</v>
      </c>
      <c r="M265" s="136">
        <v>2099</v>
      </c>
      <c r="N265" s="100">
        <f t="shared" si="39"/>
        <v>3.3349213911386372E-2</v>
      </c>
      <c r="O265" s="100" t="e">
        <f t="shared" si="40"/>
        <v>#REF!</v>
      </c>
      <c r="P265" s="71"/>
      <c r="Q265" s="64" t="s">
        <v>234</v>
      </c>
      <c r="R265" s="76" t="s">
        <v>313</v>
      </c>
      <c r="S265" s="126">
        <v>70</v>
      </c>
      <c r="T265" s="126">
        <f t="shared" si="38"/>
        <v>4335.1000000000004</v>
      </c>
      <c r="U265" s="63" t="s">
        <v>270</v>
      </c>
      <c r="V265" s="151" t="e">
        <f>[1]!Tabella1[[#This Row],[Booking Hours]]</f>
        <v>#REF!</v>
      </c>
      <c r="W265" s="60" t="e">
        <f>[1]!Tabella1[[#This Row],[Booking Period]]</f>
        <v>#REF!</v>
      </c>
      <c r="X265" s="65"/>
    </row>
    <row r="266" spans="1:24" ht="15" x14ac:dyDescent="0.25">
      <c r="A266" s="145" t="s">
        <v>153</v>
      </c>
      <c r="B266" s="59" t="s">
        <v>187</v>
      </c>
      <c r="C266" s="72" t="s">
        <v>216</v>
      </c>
      <c r="D266" s="67" t="s">
        <v>28</v>
      </c>
      <c r="E266" s="49" t="s">
        <v>28</v>
      </c>
      <c r="F266" s="72" t="s">
        <v>222</v>
      </c>
      <c r="G266" s="59" t="s">
        <v>225</v>
      </c>
      <c r="H266" s="98">
        <v>57.21</v>
      </c>
      <c r="I266" s="99">
        <v>61.93</v>
      </c>
      <c r="J266" s="103"/>
      <c r="K266" s="83">
        <f t="shared" si="36"/>
        <v>61.93</v>
      </c>
      <c r="L266" s="136">
        <f t="shared" si="37"/>
        <v>174.91666666666666</v>
      </c>
      <c r="M266" s="136">
        <v>2099</v>
      </c>
      <c r="N266" s="100">
        <f t="shared" si="39"/>
        <v>3.3349213911386372E-2</v>
      </c>
      <c r="O266" s="100">
        <f t="shared" si="40"/>
        <v>0</v>
      </c>
      <c r="P266" s="71"/>
      <c r="Q266" s="64" t="s">
        <v>235</v>
      </c>
      <c r="R266" s="76" t="s">
        <v>313</v>
      </c>
      <c r="S266" s="126">
        <v>70</v>
      </c>
      <c r="T266" s="126">
        <f t="shared" si="38"/>
        <v>4335.1000000000004</v>
      </c>
      <c r="U266" s="63" t="s">
        <v>271</v>
      </c>
      <c r="V266" s="151"/>
      <c r="W266" s="153" t="s">
        <v>260</v>
      </c>
      <c r="X266" s="65"/>
    </row>
    <row r="267" spans="1:24" ht="15" x14ac:dyDescent="0.25">
      <c r="A267" s="145" t="s">
        <v>153</v>
      </c>
      <c r="B267" s="59" t="s">
        <v>187</v>
      </c>
      <c r="C267" s="72" t="s">
        <v>216</v>
      </c>
      <c r="D267" s="67" t="s">
        <v>28</v>
      </c>
      <c r="E267" s="49" t="s">
        <v>28</v>
      </c>
      <c r="F267" s="72" t="s">
        <v>222</v>
      </c>
      <c r="G267" s="59" t="s">
        <v>225</v>
      </c>
      <c r="H267" s="98">
        <v>57.21</v>
      </c>
      <c r="I267" s="99">
        <v>61.93</v>
      </c>
      <c r="J267" s="103"/>
      <c r="K267" s="83">
        <f t="shared" si="36"/>
        <v>61.93</v>
      </c>
      <c r="L267" s="136">
        <f t="shared" si="37"/>
        <v>174.91666666666666</v>
      </c>
      <c r="M267" s="136">
        <v>2099</v>
      </c>
      <c r="N267" s="100">
        <f t="shared" si="39"/>
        <v>3.3349213911386372E-2</v>
      </c>
      <c r="O267" s="100" t="e">
        <f t="shared" si="40"/>
        <v>#REF!</v>
      </c>
      <c r="P267" s="71"/>
      <c r="Q267" s="64" t="s">
        <v>232</v>
      </c>
      <c r="R267" s="76" t="s">
        <v>313</v>
      </c>
      <c r="S267" s="126">
        <v>70</v>
      </c>
      <c r="T267" s="126">
        <f t="shared" si="38"/>
        <v>4335.1000000000004</v>
      </c>
      <c r="U267" s="63" t="s">
        <v>269</v>
      </c>
      <c r="V267" s="151" t="e">
        <f>[1]!Tabella1[[#This Row],[Booking Hours]]</f>
        <v>#REF!</v>
      </c>
      <c r="W267" s="63" t="s">
        <v>257</v>
      </c>
      <c r="X267" s="65"/>
    </row>
    <row r="268" spans="1:24" ht="15" x14ac:dyDescent="0.25">
      <c r="A268" s="145" t="s">
        <v>153</v>
      </c>
      <c r="B268" s="59" t="s">
        <v>187</v>
      </c>
      <c r="C268" s="72" t="s">
        <v>216</v>
      </c>
      <c r="D268" s="67" t="s">
        <v>28</v>
      </c>
      <c r="E268" s="49" t="s">
        <v>28</v>
      </c>
      <c r="F268" s="72" t="s">
        <v>222</v>
      </c>
      <c r="G268" s="59" t="s">
        <v>225</v>
      </c>
      <c r="H268" s="98">
        <v>57.21</v>
      </c>
      <c r="I268" s="99">
        <v>61.93</v>
      </c>
      <c r="J268" s="103"/>
      <c r="K268" s="83">
        <f t="shared" si="36"/>
        <v>61.93</v>
      </c>
      <c r="L268" s="136">
        <f t="shared" si="37"/>
        <v>174.91666666666666</v>
      </c>
      <c r="M268" s="136">
        <v>2099</v>
      </c>
      <c r="N268" s="100">
        <f t="shared" si="39"/>
        <v>3.3349213911386372E-2</v>
      </c>
      <c r="O268" s="100" t="e">
        <f t="shared" si="40"/>
        <v>#REF!</v>
      </c>
      <c r="P268" s="71"/>
      <c r="Q268" s="64" t="s">
        <v>233</v>
      </c>
      <c r="R268" s="76" t="s">
        <v>313</v>
      </c>
      <c r="S268" s="126">
        <v>70</v>
      </c>
      <c r="T268" s="126">
        <f t="shared" si="38"/>
        <v>4335.1000000000004</v>
      </c>
      <c r="U268" s="63" t="s">
        <v>269</v>
      </c>
      <c r="V268" s="151" t="e">
        <f>[1]!Tabella1[[#This Row],[Booking Hours]]</f>
        <v>#REF!</v>
      </c>
      <c r="W268" s="60" t="e">
        <f>[1]!Tabella1[[#This Row],[Booking Period]]</f>
        <v>#REF!</v>
      </c>
      <c r="X268" s="65"/>
    </row>
    <row r="269" spans="1:24" ht="15" x14ac:dyDescent="0.25">
      <c r="A269" s="145" t="s">
        <v>152</v>
      </c>
      <c r="B269" s="63" t="s">
        <v>188</v>
      </c>
      <c r="C269" s="62" t="s">
        <v>215</v>
      </c>
      <c r="D269" s="60" t="s">
        <v>20</v>
      </c>
      <c r="E269" s="50" t="s">
        <v>442</v>
      </c>
      <c r="F269" s="62" t="s">
        <v>221</v>
      </c>
      <c r="G269" s="59" t="s">
        <v>224</v>
      </c>
      <c r="H269" s="98"/>
      <c r="I269" s="99"/>
      <c r="J269" s="99">
        <v>7.5</v>
      </c>
      <c r="K269" s="99">
        <f>J269</f>
        <v>7.5</v>
      </c>
      <c r="L269" s="136">
        <f>(60*4)</f>
        <v>240</v>
      </c>
      <c r="M269" s="136">
        <f>L269*12</f>
        <v>2880</v>
      </c>
      <c r="N269" s="100">
        <f t="shared" si="39"/>
        <v>0</v>
      </c>
      <c r="O269" s="100">
        <f t="shared" si="40"/>
        <v>0</v>
      </c>
      <c r="P269" s="71"/>
      <c r="Q269" s="60"/>
      <c r="R269" s="60"/>
      <c r="S269" s="125"/>
      <c r="T269" s="126">
        <f t="shared" si="38"/>
        <v>0</v>
      </c>
      <c r="U269" s="60"/>
      <c r="V269" s="151"/>
      <c r="W269" s="60"/>
      <c r="X269" s="61"/>
    </row>
    <row r="270" spans="1:24" ht="15" x14ac:dyDescent="0.25">
      <c r="A270" s="145" t="s">
        <v>152</v>
      </c>
      <c r="B270" s="63" t="s">
        <v>189</v>
      </c>
      <c r="C270" s="62" t="s">
        <v>215</v>
      </c>
      <c r="D270" s="60" t="s">
        <v>20</v>
      </c>
      <c r="E270" s="50" t="s">
        <v>442</v>
      </c>
      <c r="F270" s="62" t="s">
        <v>221</v>
      </c>
      <c r="G270" s="59" t="s">
        <v>224</v>
      </c>
      <c r="H270" s="98"/>
      <c r="I270" s="99"/>
      <c r="J270" s="99">
        <v>5.416666666666667</v>
      </c>
      <c r="K270" s="99">
        <f>J270</f>
        <v>5.416666666666667</v>
      </c>
      <c r="L270" s="136">
        <f>(60*4)</f>
        <v>240</v>
      </c>
      <c r="M270" s="136">
        <f>L270*12</f>
        <v>2880</v>
      </c>
      <c r="N270" s="100">
        <f t="shared" si="39"/>
        <v>1</v>
      </c>
      <c r="O270" s="100" t="e">
        <f t="shared" si="40"/>
        <v>#REF!</v>
      </c>
      <c r="P270" s="71"/>
      <c r="Q270" s="64" t="s">
        <v>230</v>
      </c>
      <c r="R270" s="67" t="s">
        <v>309</v>
      </c>
      <c r="S270" s="126">
        <f>((60*4)*12)</f>
        <v>2880</v>
      </c>
      <c r="T270" s="126">
        <f t="shared" si="38"/>
        <v>0</v>
      </c>
      <c r="U270" s="60" t="s">
        <v>252</v>
      </c>
      <c r="V270" s="151" t="e">
        <f>[1]!Tabella1[[#This Row],[Booking Hours]]</f>
        <v>#REF!</v>
      </c>
      <c r="W270" s="60" t="e">
        <f>[1]!Tabella1[[#This Row],[Booking Period]]</f>
        <v>#REF!</v>
      </c>
      <c r="X270" s="65"/>
    </row>
    <row r="271" spans="1:24" ht="15" x14ac:dyDescent="0.25">
      <c r="A271" s="144" t="s">
        <v>153</v>
      </c>
      <c r="B271" s="59" t="s">
        <v>190</v>
      </c>
      <c r="C271" s="59" t="s">
        <v>216</v>
      </c>
      <c r="D271" s="60" t="s">
        <v>219</v>
      </c>
      <c r="E271" s="49" t="s">
        <v>219</v>
      </c>
      <c r="F271" s="59" t="s">
        <v>222</v>
      </c>
      <c r="G271" s="59" t="s">
        <v>225</v>
      </c>
      <c r="H271" s="98">
        <v>57.21</v>
      </c>
      <c r="I271" s="99">
        <v>61.93</v>
      </c>
      <c r="J271" s="83"/>
      <c r="K271" s="83">
        <f>I271</f>
        <v>61.93</v>
      </c>
      <c r="L271" s="136">
        <f>M271/12</f>
        <v>174.91666666666666</v>
      </c>
      <c r="M271" s="136">
        <v>2099</v>
      </c>
      <c r="N271" s="100">
        <f t="shared" si="39"/>
        <v>0</v>
      </c>
      <c r="O271" s="100">
        <f t="shared" si="40"/>
        <v>0</v>
      </c>
      <c r="P271" s="71"/>
      <c r="Q271" s="60"/>
      <c r="R271" s="60"/>
      <c r="S271" s="125"/>
      <c r="T271" s="126">
        <f t="shared" si="38"/>
        <v>0</v>
      </c>
      <c r="U271" s="60"/>
      <c r="V271" s="151"/>
      <c r="W271" s="60"/>
      <c r="X271" s="61"/>
    </row>
    <row r="272" spans="1:24" ht="15" x14ac:dyDescent="0.25">
      <c r="A272" s="146" t="s">
        <v>152</v>
      </c>
      <c r="B272" s="77" t="s">
        <v>191</v>
      </c>
      <c r="C272" s="78" t="s">
        <v>215</v>
      </c>
      <c r="D272" s="67" t="s">
        <v>220</v>
      </c>
      <c r="E272" s="51" t="s">
        <v>440</v>
      </c>
      <c r="F272" s="77" t="s">
        <v>221</v>
      </c>
      <c r="G272" s="77" t="s">
        <v>224</v>
      </c>
      <c r="H272" s="104"/>
      <c r="I272" s="105"/>
      <c r="J272" s="105"/>
      <c r="K272" s="105"/>
      <c r="L272" s="138"/>
      <c r="M272" s="138"/>
      <c r="N272" s="100"/>
      <c r="O272" s="100"/>
      <c r="P272" s="71"/>
      <c r="Q272" s="66" t="s">
        <v>245</v>
      </c>
      <c r="R272" s="67" t="s">
        <v>314</v>
      </c>
      <c r="S272" s="126">
        <f>((60*4)*12)/2</f>
        <v>1440</v>
      </c>
      <c r="T272" s="126">
        <f t="shared" si="38"/>
        <v>0</v>
      </c>
      <c r="U272" s="63" t="s">
        <v>252</v>
      </c>
      <c r="V272" s="151" t="e">
        <f>[1]!Tabella1[[#This Row],[Booking Hours]]</f>
        <v>#REF!</v>
      </c>
      <c r="W272" s="63" t="e">
        <f>[1]!Tabella1[[#This Row],[Booking Period]]</f>
        <v>#REF!</v>
      </c>
      <c r="X272" s="65"/>
    </row>
    <row r="273" spans="1:24" ht="15" x14ac:dyDescent="0.25">
      <c r="A273" s="146" t="s">
        <v>152</v>
      </c>
      <c r="B273" s="77" t="s">
        <v>191</v>
      </c>
      <c r="C273" s="78" t="s">
        <v>215</v>
      </c>
      <c r="D273" s="67" t="s">
        <v>220</v>
      </c>
      <c r="E273" s="51" t="s">
        <v>440</v>
      </c>
      <c r="F273" s="77" t="s">
        <v>221</v>
      </c>
      <c r="G273" s="77" t="s">
        <v>224</v>
      </c>
      <c r="H273" s="104"/>
      <c r="I273" s="105"/>
      <c r="J273" s="105"/>
      <c r="K273" s="105"/>
      <c r="L273" s="138"/>
      <c r="M273" s="138"/>
      <c r="N273" s="100"/>
      <c r="O273" s="100"/>
      <c r="P273" s="71"/>
      <c r="Q273" s="60" t="s">
        <v>243</v>
      </c>
      <c r="R273" s="67" t="s">
        <v>253</v>
      </c>
      <c r="S273" s="126">
        <f>((60*4)*3)/2</f>
        <v>360</v>
      </c>
      <c r="T273" s="126">
        <f t="shared" si="38"/>
        <v>0</v>
      </c>
      <c r="U273" s="63" t="s">
        <v>292</v>
      </c>
      <c r="V273" s="151">
        <v>100</v>
      </c>
      <c r="W273" s="60" t="s">
        <v>292</v>
      </c>
      <c r="X273" s="65"/>
    </row>
    <row r="274" spans="1:24" ht="15" x14ac:dyDescent="0.25">
      <c r="A274" s="146" t="s">
        <v>152</v>
      </c>
      <c r="B274" s="77" t="s">
        <v>191</v>
      </c>
      <c r="C274" s="78" t="s">
        <v>215</v>
      </c>
      <c r="D274" s="67" t="s">
        <v>220</v>
      </c>
      <c r="E274" s="51" t="s">
        <v>440</v>
      </c>
      <c r="F274" s="77" t="s">
        <v>221</v>
      </c>
      <c r="G274" s="77" t="s">
        <v>224</v>
      </c>
      <c r="H274" s="104"/>
      <c r="I274" s="105"/>
      <c r="J274" s="105"/>
      <c r="K274" s="105"/>
      <c r="L274" s="138"/>
      <c r="M274" s="138"/>
      <c r="N274" s="100"/>
      <c r="O274" s="100"/>
      <c r="P274" s="71"/>
      <c r="Q274" s="64" t="s">
        <v>235</v>
      </c>
      <c r="R274" s="67" t="s">
        <v>253</v>
      </c>
      <c r="S274" s="126">
        <f>((60*4)*12)/2</f>
        <v>1440</v>
      </c>
      <c r="T274" s="126">
        <f t="shared" si="38"/>
        <v>0</v>
      </c>
      <c r="U274" s="75" t="s">
        <v>293</v>
      </c>
      <c r="V274" s="151"/>
      <c r="W274" s="153" t="s">
        <v>260</v>
      </c>
      <c r="X274" s="65"/>
    </row>
    <row r="275" spans="1:24" ht="15" x14ac:dyDescent="0.25">
      <c r="A275" s="145" t="s">
        <v>153</v>
      </c>
      <c r="B275" s="62" t="s">
        <v>192</v>
      </c>
      <c r="C275" s="72" t="s">
        <v>216</v>
      </c>
      <c r="D275" s="67" t="s">
        <v>220</v>
      </c>
      <c r="E275" s="49" t="s">
        <v>445</v>
      </c>
      <c r="F275" s="59" t="s">
        <v>222</v>
      </c>
      <c r="G275" s="59" t="s">
        <v>225</v>
      </c>
      <c r="H275" s="98">
        <v>57.21</v>
      </c>
      <c r="I275" s="99">
        <v>61.93</v>
      </c>
      <c r="J275" s="99"/>
      <c r="K275" s="83">
        <f>I275</f>
        <v>61.93</v>
      </c>
      <c r="L275" s="136">
        <f>M275/12</f>
        <v>174.91666666666666</v>
      </c>
      <c r="M275" s="136">
        <v>2099</v>
      </c>
      <c r="N275" s="100" t="e">
        <f t="shared" ref="N275:N321" si="41">U275/M275</f>
        <v>#VALUE!</v>
      </c>
      <c r="O275" s="100">
        <f t="shared" ref="O275:O321" si="42">X275/M275</f>
        <v>0</v>
      </c>
      <c r="P275" s="71"/>
      <c r="Q275" s="64" t="s">
        <v>233</v>
      </c>
      <c r="R275" s="67" t="s">
        <v>315</v>
      </c>
      <c r="S275" s="127">
        <v>450</v>
      </c>
      <c r="T275" s="126">
        <f t="shared" si="38"/>
        <v>27868.5</v>
      </c>
      <c r="U275" s="63" t="s">
        <v>316</v>
      </c>
      <c r="V275" s="151" t="e">
        <f>[1]!Tabella1[[#This Row],[Booking Hours]]</f>
        <v>#REF!</v>
      </c>
      <c r="W275" s="155" t="e">
        <f>[1]!Tabella1[[#This Row],[Booking Period]]</f>
        <v>#REF!</v>
      </c>
      <c r="X275" s="79"/>
    </row>
    <row r="276" spans="1:24" ht="15" x14ac:dyDescent="0.25">
      <c r="A276" s="145" t="s">
        <v>152</v>
      </c>
      <c r="B276" s="63" t="s">
        <v>193</v>
      </c>
      <c r="C276" s="62" t="s">
        <v>215</v>
      </c>
      <c r="D276" s="60" t="s">
        <v>20</v>
      </c>
      <c r="E276" s="50" t="s">
        <v>442</v>
      </c>
      <c r="F276" s="62" t="s">
        <v>221</v>
      </c>
      <c r="G276" s="59" t="s">
        <v>224</v>
      </c>
      <c r="H276" s="98"/>
      <c r="I276" s="99"/>
      <c r="J276" s="99">
        <v>5.416666666666667</v>
      </c>
      <c r="K276" s="99">
        <f>J276</f>
        <v>5.416666666666667</v>
      </c>
      <c r="L276" s="136">
        <f>(60*4)</f>
        <v>240</v>
      </c>
      <c r="M276" s="136">
        <f>L276*12</f>
        <v>2880</v>
      </c>
      <c r="N276" s="100" t="e">
        <f t="shared" si="41"/>
        <v>#VALUE!</v>
      </c>
      <c r="O276" s="100">
        <f t="shared" si="42"/>
        <v>0</v>
      </c>
      <c r="P276" s="71"/>
      <c r="Q276" s="64" t="s">
        <v>230</v>
      </c>
      <c r="R276" s="60" t="s">
        <v>304</v>
      </c>
      <c r="S276" s="126">
        <f>((60*4)*12)</f>
        <v>2880</v>
      </c>
      <c r="T276" s="126">
        <f t="shared" si="38"/>
        <v>0</v>
      </c>
      <c r="U276" s="60" t="s">
        <v>252</v>
      </c>
      <c r="V276" s="151" t="e">
        <f>[1]!Tabella1[[#This Row],[Booking Hours]]</f>
        <v>#REF!</v>
      </c>
      <c r="W276" s="60" t="e">
        <f>[1]!Tabella1[[#This Row],[Booking Period]]</f>
        <v>#REF!</v>
      </c>
      <c r="X276" s="65"/>
    </row>
    <row r="277" spans="1:24" ht="15" x14ac:dyDescent="0.25">
      <c r="A277" s="146" t="s">
        <v>152</v>
      </c>
      <c r="B277" s="80" t="s">
        <v>194</v>
      </c>
      <c r="C277" s="78" t="s">
        <v>215</v>
      </c>
      <c r="D277" s="60" t="s">
        <v>28</v>
      </c>
      <c r="E277" s="51" t="s">
        <v>28</v>
      </c>
      <c r="F277" s="77" t="s">
        <v>221</v>
      </c>
      <c r="G277" s="77" t="s">
        <v>224</v>
      </c>
      <c r="H277" s="104"/>
      <c r="I277" s="105"/>
      <c r="J277" s="105"/>
      <c r="K277" s="105"/>
      <c r="L277" s="138"/>
      <c r="M277" s="138"/>
      <c r="N277" s="100"/>
      <c r="O277" s="100"/>
      <c r="P277" s="71"/>
      <c r="Q277" s="66" t="s">
        <v>238</v>
      </c>
      <c r="R277" s="63" t="s">
        <v>272</v>
      </c>
      <c r="S277" s="128">
        <v>90</v>
      </c>
      <c r="T277" s="126">
        <f t="shared" si="38"/>
        <v>0</v>
      </c>
      <c r="U277" s="60" t="s">
        <v>263</v>
      </c>
      <c r="V277" s="151" t="e">
        <f>[1]!Tabella1[[#This Row],[Booking Hours]]</f>
        <v>#REF!</v>
      </c>
      <c r="W277" s="60" t="e">
        <f>[1]!Tabella1[[#This Row],[Booking Period]]</f>
        <v>#REF!</v>
      </c>
      <c r="X277" s="70"/>
    </row>
    <row r="278" spans="1:24" ht="15" x14ac:dyDescent="0.25">
      <c r="A278" s="146" t="s">
        <v>152</v>
      </c>
      <c r="B278" s="80" t="s">
        <v>194</v>
      </c>
      <c r="C278" s="78" t="s">
        <v>215</v>
      </c>
      <c r="D278" s="60" t="s">
        <v>28</v>
      </c>
      <c r="E278" s="51" t="s">
        <v>28</v>
      </c>
      <c r="F278" s="77" t="s">
        <v>221</v>
      </c>
      <c r="G278" s="77" t="s">
        <v>224</v>
      </c>
      <c r="H278" s="104"/>
      <c r="I278" s="105"/>
      <c r="J278" s="105"/>
      <c r="K278" s="105"/>
      <c r="L278" s="138"/>
      <c r="M278" s="138"/>
      <c r="N278" s="100"/>
      <c r="O278" s="100"/>
      <c r="P278" s="71"/>
      <c r="Q278" s="64" t="s">
        <v>230</v>
      </c>
      <c r="R278" s="69" t="s">
        <v>272</v>
      </c>
      <c r="S278" s="128">
        <v>90</v>
      </c>
      <c r="T278" s="126">
        <f t="shared" si="38"/>
        <v>0</v>
      </c>
      <c r="U278" s="60" t="s">
        <v>263</v>
      </c>
      <c r="V278" s="151" t="e">
        <f>[1]!Tabella1[[#This Row],[Booking Hours]]</f>
        <v>#REF!</v>
      </c>
      <c r="W278" s="63" t="e">
        <f>[1]!Tabella1[[#This Row],[Booking Period]]</f>
        <v>#REF!</v>
      </c>
      <c r="X278" s="70"/>
    </row>
    <row r="279" spans="1:24" ht="15" x14ac:dyDescent="0.25">
      <c r="A279" s="146" t="s">
        <v>152</v>
      </c>
      <c r="B279" s="80" t="s">
        <v>194</v>
      </c>
      <c r="C279" s="78" t="s">
        <v>215</v>
      </c>
      <c r="D279" s="60" t="s">
        <v>28</v>
      </c>
      <c r="E279" s="51" t="s">
        <v>28</v>
      </c>
      <c r="F279" s="77" t="s">
        <v>221</v>
      </c>
      <c r="G279" s="77" t="s">
        <v>224</v>
      </c>
      <c r="H279" s="104"/>
      <c r="I279" s="105"/>
      <c r="J279" s="105"/>
      <c r="K279" s="105"/>
      <c r="L279" s="138"/>
      <c r="M279" s="138"/>
      <c r="N279" s="100"/>
      <c r="O279" s="100"/>
      <c r="P279" s="71"/>
      <c r="Q279" s="64" t="s">
        <v>234</v>
      </c>
      <c r="R279" s="69" t="s">
        <v>272</v>
      </c>
      <c r="S279" s="128">
        <v>75</v>
      </c>
      <c r="T279" s="126">
        <f t="shared" si="38"/>
        <v>0</v>
      </c>
      <c r="U279" s="60" t="s">
        <v>265</v>
      </c>
      <c r="V279" s="151"/>
      <c r="W279" s="71" t="s">
        <v>100</v>
      </c>
      <c r="X279" s="70"/>
    </row>
    <row r="280" spans="1:24" ht="15" x14ac:dyDescent="0.25">
      <c r="A280" s="146" t="s">
        <v>152</v>
      </c>
      <c r="B280" s="80" t="s">
        <v>194</v>
      </c>
      <c r="C280" s="78" t="s">
        <v>215</v>
      </c>
      <c r="D280" s="60" t="s">
        <v>28</v>
      </c>
      <c r="E280" s="51" t="s">
        <v>28</v>
      </c>
      <c r="F280" s="77" t="s">
        <v>221</v>
      </c>
      <c r="G280" s="77" t="s">
        <v>224</v>
      </c>
      <c r="H280" s="104"/>
      <c r="I280" s="105"/>
      <c r="J280" s="105"/>
      <c r="K280" s="105"/>
      <c r="L280" s="138"/>
      <c r="M280" s="138"/>
      <c r="N280" s="100"/>
      <c r="O280" s="100"/>
      <c r="P280" s="71"/>
      <c r="Q280" s="64" t="s">
        <v>235</v>
      </c>
      <c r="R280" s="69" t="s">
        <v>272</v>
      </c>
      <c r="S280" s="128">
        <v>30</v>
      </c>
      <c r="T280" s="126">
        <f t="shared" si="38"/>
        <v>0</v>
      </c>
      <c r="U280" s="60" t="s">
        <v>266</v>
      </c>
      <c r="V280" s="151"/>
      <c r="W280" s="153" t="s">
        <v>260</v>
      </c>
      <c r="X280" s="70"/>
    </row>
    <row r="281" spans="1:24" ht="15" x14ac:dyDescent="0.25">
      <c r="A281" s="146" t="s">
        <v>152</v>
      </c>
      <c r="B281" s="80" t="s">
        <v>194</v>
      </c>
      <c r="C281" s="78" t="s">
        <v>215</v>
      </c>
      <c r="D281" s="60" t="s">
        <v>28</v>
      </c>
      <c r="E281" s="51" t="s">
        <v>28</v>
      </c>
      <c r="F281" s="77" t="s">
        <v>221</v>
      </c>
      <c r="G281" s="77" t="s">
        <v>224</v>
      </c>
      <c r="H281" s="104"/>
      <c r="I281" s="105"/>
      <c r="J281" s="105"/>
      <c r="K281" s="105"/>
      <c r="L281" s="138"/>
      <c r="M281" s="138"/>
      <c r="N281" s="100"/>
      <c r="O281" s="100"/>
      <c r="P281" s="71"/>
      <c r="Q281" s="64" t="s">
        <v>232</v>
      </c>
      <c r="R281" s="69" t="s">
        <v>272</v>
      </c>
      <c r="S281" s="128">
        <v>90</v>
      </c>
      <c r="T281" s="126">
        <f t="shared" si="38"/>
        <v>0</v>
      </c>
      <c r="U281" s="60" t="s">
        <v>263</v>
      </c>
      <c r="V281" s="151">
        <v>0</v>
      </c>
      <c r="W281" s="63" t="s">
        <v>264</v>
      </c>
      <c r="X281" s="70"/>
    </row>
    <row r="282" spans="1:24" ht="15" x14ac:dyDescent="0.25">
      <c r="A282" s="146" t="s">
        <v>152</v>
      </c>
      <c r="B282" s="80" t="s">
        <v>194</v>
      </c>
      <c r="C282" s="78" t="s">
        <v>215</v>
      </c>
      <c r="D282" s="60" t="s">
        <v>28</v>
      </c>
      <c r="E282" s="51" t="s">
        <v>28</v>
      </c>
      <c r="F282" s="77" t="s">
        <v>221</v>
      </c>
      <c r="G282" s="77" t="s">
        <v>224</v>
      </c>
      <c r="H282" s="104"/>
      <c r="I282" s="105"/>
      <c r="J282" s="105"/>
      <c r="K282" s="105"/>
      <c r="L282" s="138"/>
      <c r="M282" s="138"/>
      <c r="N282" s="100"/>
      <c r="O282" s="100"/>
      <c r="P282" s="71"/>
      <c r="Q282" s="64" t="s">
        <v>233</v>
      </c>
      <c r="R282" s="69" t="s">
        <v>272</v>
      </c>
      <c r="S282" s="128">
        <v>90</v>
      </c>
      <c r="T282" s="126">
        <f t="shared" si="38"/>
        <v>0</v>
      </c>
      <c r="U282" s="60" t="s">
        <v>263</v>
      </c>
      <c r="V282" s="151" t="e">
        <f>[1]!Tabella1[[#This Row],[Booking Hours]]</f>
        <v>#REF!</v>
      </c>
      <c r="W282" s="60" t="e">
        <f>[1]!Tabella1[[#This Row],[Booking Period]]</f>
        <v>#REF!</v>
      </c>
      <c r="X282" s="70"/>
    </row>
    <row r="283" spans="1:24" ht="15" x14ac:dyDescent="0.25">
      <c r="A283" s="146" t="s">
        <v>152</v>
      </c>
      <c r="B283" s="80" t="s">
        <v>194</v>
      </c>
      <c r="C283" s="78" t="s">
        <v>215</v>
      </c>
      <c r="D283" s="60" t="s">
        <v>28</v>
      </c>
      <c r="E283" s="51" t="s">
        <v>28</v>
      </c>
      <c r="F283" s="77" t="s">
        <v>221</v>
      </c>
      <c r="G283" s="77" t="s">
        <v>224</v>
      </c>
      <c r="H283" s="104"/>
      <c r="I283" s="105"/>
      <c r="J283" s="105"/>
      <c r="K283" s="105"/>
      <c r="L283" s="138"/>
      <c r="M283" s="138"/>
      <c r="N283" s="100"/>
      <c r="O283" s="100"/>
      <c r="P283" s="71"/>
      <c r="Q283" s="64" t="s">
        <v>237</v>
      </c>
      <c r="R283" s="60" t="s">
        <v>282</v>
      </c>
      <c r="S283" s="128">
        <v>180</v>
      </c>
      <c r="T283" s="126">
        <f t="shared" si="38"/>
        <v>0</v>
      </c>
      <c r="U283" s="60" t="s">
        <v>263</v>
      </c>
      <c r="V283" s="151">
        <v>0</v>
      </c>
      <c r="W283" s="60" t="s">
        <v>264</v>
      </c>
      <c r="X283" s="70"/>
    </row>
    <row r="284" spans="1:24" ht="15" x14ac:dyDescent="0.25">
      <c r="A284" s="146" t="s">
        <v>152</v>
      </c>
      <c r="B284" s="80" t="s">
        <v>194</v>
      </c>
      <c r="C284" s="78" t="s">
        <v>215</v>
      </c>
      <c r="D284" s="60" t="s">
        <v>28</v>
      </c>
      <c r="E284" s="51" t="s">
        <v>28</v>
      </c>
      <c r="F284" s="77" t="s">
        <v>221</v>
      </c>
      <c r="G284" s="77" t="s">
        <v>224</v>
      </c>
      <c r="H284" s="104"/>
      <c r="I284" s="105"/>
      <c r="J284" s="105"/>
      <c r="K284" s="105"/>
      <c r="L284" s="138"/>
      <c r="M284" s="138"/>
      <c r="N284" s="100"/>
      <c r="O284" s="100"/>
      <c r="P284" s="71"/>
      <c r="Q284" s="66" t="s">
        <v>238</v>
      </c>
      <c r="R284" s="60" t="s">
        <v>282</v>
      </c>
      <c r="S284" s="128">
        <v>180</v>
      </c>
      <c r="T284" s="126">
        <f t="shared" si="38"/>
        <v>0</v>
      </c>
      <c r="U284" s="60" t="s">
        <v>263</v>
      </c>
      <c r="V284" s="151">
        <v>0</v>
      </c>
      <c r="W284" s="60" t="s">
        <v>264</v>
      </c>
      <c r="X284" s="70"/>
    </row>
    <row r="285" spans="1:24" ht="15" x14ac:dyDescent="0.25">
      <c r="A285" s="146" t="s">
        <v>152</v>
      </c>
      <c r="B285" s="80" t="s">
        <v>194</v>
      </c>
      <c r="C285" s="78" t="s">
        <v>215</v>
      </c>
      <c r="D285" s="60" t="s">
        <v>28</v>
      </c>
      <c r="E285" s="51" t="s">
        <v>28</v>
      </c>
      <c r="F285" s="77" t="s">
        <v>221</v>
      </c>
      <c r="G285" s="77" t="s">
        <v>224</v>
      </c>
      <c r="H285" s="104"/>
      <c r="I285" s="105"/>
      <c r="J285" s="105"/>
      <c r="K285" s="105"/>
      <c r="L285" s="138"/>
      <c r="M285" s="138"/>
      <c r="N285" s="100"/>
      <c r="O285" s="100"/>
      <c r="P285" s="71"/>
      <c r="Q285" s="66" t="s">
        <v>245</v>
      </c>
      <c r="R285" s="60" t="s">
        <v>282</v>
      </c>
      <c r="S285" s="128">
        <v>90</v>
      </c>
      <c r="T285" s="126">
        <f t="shared" si="38"/>
        <v>0</v>
      </c>
      <c r="U285" s="60" t="s">
        <v>263</v>
      </c>
      <c r="V285" s="151" t="e">
        <f>[1]!Tabella1[[#This Row],[Booking Hours]]</f>
        <v>#REF!</v>
      </c>
      <c r="W285" s="63" t="e">
        <f>[1]!Tabella1[[#This Row],[Booking Period]]</f>
        <v>#REF!</v>
      </c>
      <c r="X285" s="70"/>
    </row>
    <row r="286" spans="1:24" ht="15" x14ac:dyDescent="0.25">
      <c r="A286" s="146" t="s">
        <v>152</v>
      </c>
      <c r="B286" s="80" t="s">
        <v>194</v>
      </c>
      <c r="C286" s="78" t="s">
        <v>215</v>
      </c>
      <c r="D286" s="60" t="s">
        <v>28</v>
      </c>
      <c r="E286" s="51" t="s">
        <v>28</v>
      </c>
      <c r="F286" s="77" t="s">
        <v>221</v>
      </c>
      <c r="G286" s="77" t="s">
        <v>224</v>
      </c>
      <c r="H286" s="104"/>
      <c r="I286" s="105"/>
      <c r="J286" s="105"/>
      <c r="K286" s="105"/>
      <c r="L286" s="138"/>
      <c r="M286" s="138"/>
      <c r="N286" s="100"/>
      <c r="O286" s="100"/>
      <c r="P286" s="71"/>
      <c r="Q286" s="64" t="s">
        <v>230</v>
      </c>
      <c r="R286" s="69" t="s">
        <v>282</v>
      </c>
      <c r="S286" s="128">
        <v>360</v>
      </c>
      <c r="T286" s="126">
        <f t="shared" si="38"/>
        <v>0</v>
      </c>
      <c r="U286" s="60" t="s">
        <v>263</v>
      </c>
      <c r="V286" s="151" t="e">
        <f>[1]!Tabella1[[#This Row],[Booking Hours]]</f>
        <v>#REF!</v>
      </c>
      <c r="W286" s="63" t="e">
        <f>[1]!Tabella1[[#This Row],[Booking Period]]</f>
        <v>#REF!</v>
      </c>
      <c r="X286" s="70"/>
    </row>
    <row r="287" spans="1:24" ht="15" x14ac:dyDescent="0.25">
      <c r="A287" s="146" t="s">
        <v>152</v>
      </c>
      <c r="B287" s="80" t="s">
        <v>194</v>
      </c>
      <c r="C287" s="78" t="s">
        <v>215</v>
      </c>
      <c r="D287" s="60" t="s">
        <v>28</v>
      </c>
      <c r="E287" s="51" t="s">
        <v>28</v>
      </c>
      <c r="F287" s="77" t="s">
        <v>221</v>
      </c>
      <c r="G287" s="77" t="s">
        <v>224</v>
      </c>
      <c r="H287" s="104"/>
      <c r="I287" s="105"/>
      <c r="J287" s="105"/>
      <c r="K287" s="105"/>
      <c r="L287" s="138"/>
      <c r="M287" s="138"/>
      <c r="N287" s="100"/>
      <c r="O287" s="100"/>
      <c r="P287" s="71"/>
      <c r="Q287" s="66" t="s">
        <v>231</v>
      </c>
      <c r="R287" s="69" t="s">
        <v>282</v>
      </c>
      <c r="S287" s="128">
        <v>180</v>
      </c>
      <c r="T287" s="126">
        <f t="shared" si="38"/>
        <v>0</v>
      </c>
      <c r="U287" s="60" t="s">
        <v>263</v>
      </c>
      <c r="V287" s="151">
        <v>100</v>
      </c>
      <c r="W287" s="60" t="s">
        <v>254</v>
      </c>
      <c r="X287" s="70"/>
    </row>
    <row r="288" spans="1:24" ht="15" x14ac:dyDescent="0.25">
      <c r="A288" s="146" t="s">
        <v>152</v>
      </c>
      <c r="B288" s="80" t="s">
        <v>194</v>
      </c>
      <c r="C288" s="78" t="s">
        <v>215</v>
      </c>
      <c r="D288" s="60" t="s">
        <v>28</v>
      </c>
      <c r="E288" s="51" t="s">
        <v>28</v>
      </c>
      <c r="F288" s="77" t="s">
        <v>221</v>
      </c>
      <c r="G288" s="77" t="s">
        <v>224</v>
      </c>
      <c r="H288" s="104"/>
      <c r="I288" s="105"/>
      <c r="J288" s="105"/>
      <c r="K288" s="105"/>
      <c r="L288" s="138"/>
      <c r="M288" s="138"/>
      <c r="N288" s="100"/>
      <c r="O288" s="100"/>
      <c r="P288" s="71"/>
      <c r="Q288" s="64" t="s">
        <v>234</v>
      </c>
      <c r="R288" s="69" t="s">
        <v>282</v>
      </c>
      <c r="S288" s="128">
        <v>270</v>
      </c>
      <c r="T288" s="126">
        <f t="shared" si="38"/>
        <v>0</v>
      </c>
      <c r="U288" s="60" t="s">
        <v>265</v>
      </c>
      <c r="V288" s="151">
        <v>0</v>
      </c>
      <c r="W288" s="60" t="s">
        <v>264</v>
      </c>
      <c r="X288" s="70"/>
    </row>
    <row r="289" spans="1:24" ht="15" x14ac:dyDescent="0.25">
      <c r="A289" s="146" t="s">
        <v>152</v>
      </c>
      <c r="B289" s="80" t="s">
        <v>194</v>
      </c>
      <c r="C289" s="78" t="s">
        <v>215</v>
      </c>
      <c r="D289" s="60" t="s">
        <v>28</v>
      </c>
      <c r="E289" s="51" t="s">
        <v>28</v>
      </c>
      <c r="F289" s="77" t="s">
        <v>221</v>
      </c>
      <c r="G289" s="77" t="s">
        <v>224</v>
      </c>
      <c r="H289" s="104"/>
      <c r="I289" s="105"/>
      <c r="J289" s="105"/>
      <c r="K289" s="105"/>
      <c r="L289" s="138"/>
      <c r="M289" s="138"/>
      <c r="N289" s="100"/>
      <c r="O289" s="100"/>
      <c r="P289" s="71"/>
      <c r="Q289" s="64" t="s">
        <v>235</v>
      </c>
      <c r="R289" s="69" t="s">
        <v>282</v>
      </c>
      <c r="S289" s="128">
        <v>90</v>
      </c>
      <c r="T289" s="126">
        <f t="shared" si="38"/>
        <v>0</v>
      </c>
      <c r="U289" s="60" t="s">
        <v>266</v>
      </c>
      <c r="V289" s="151"/>
      <c r="W289" s="153" t="s">
        <v>260</v>
      </c>
      <c r="X289" s="70"/>
    </row>
    <row r="290" spans="1:24" ht="15" x14ac:dyDescent="0.25">
      <c r="A290" s="146" t="s">
        <v>152</v>
      </c>
      <c r="B290" s="80" t="s">
        <v>194</v>
      </c>
      <c r="C290" s="78" t="s">
        <v>215</v>
      </c>
      <c r="D290" s="60" t="s">
        <v>28</v>
      </c>
      <c r="E290" s="51" t="s">
        <v>28</v>
      </c>
      <c r="F290" s="77" t="s">
        <v>221</v>
      </c>
      <c r="G290" s="77" t="s">
        <v>224</v>
      </c>
      <c r="H290" s="104"/>
      <c r="I290" s="105"/>
      <c r="J290" s="105"/>
      <c r="K290" s="105"/>
      <c r="L290" s="138"/>
      <c r="M290" s="138"/>
      <c r="N290" s="100"/>
      <c r="O290" s="100"/>
      <c r="P290" s="71"/>
      <c r="Q290" s="64" t="s">
        <v>232</v>
      </c>
      <c r="R290" s="69" t="s">
        <v>282</v>
      </c>
      <c r="S290" s="128">
        <v>360</v>
      </c>
      <c r="T290" s="126">
        <f t="shared" si="38"/>
        <v>0</v>
      </c>
      <c r="U290" s="60" t="s">
        <v>263</v>
      </c>
      <c r="V290" s="151">
        <v>0</v>
      </c>
      <c r="W290" s="63" t="s">
        <v>264</v>
      </c>
      <c r="X290" s="70"/>
    </row>
    <row r="291" spans="1:24" ht="15" x14ac:dyDescent="0.25">
      <c r="A291" s="146" t="s">
        <v>152</v>
      </c>
      <c r="B291" s="80" t="s">
        <v>194</v>
      </c>
      <c r="C291" s="78" t="s">
        <v>215</v>
      </c>
      <c r="D291" s="60" t="s">
        <v>28</v>
      </c>
      <c r="E291" s="51" t="s">
        <v>28</v>
      </c>
      <c r="F291" s="77" t="s">
        <v>221</v>
      </c>
      <c r="G291" s="77" t="s">
        <v>224</v>
      </c>
      <c r="H291" s="104"/>
      <c r="I291" s="105"/>
      <c r="J291" s="105"/>
      <c r="K291" s="105"/>
      <c r="L291" s="138"/>
      <c r="M291" s="138"/>
      <c r="N291" s="100"/>
      <c r="O291" s="100"/>
      <c r="P291" s="71"/>
      <c r="Q291" s="64" t="s">
        <v>233</v>
      </c>
      <c r="R291" s="69" t="s">
        <v>282</v>
      </c>
      <c r="S291" s="128">
        <v>360</v>
      </c>
      <c r="T291" s="126">
        <f t="shared" si="38"/>
        <v>0</v>
      </c>
      <c r="U291" s="60" t="s">
        <v>263</v>
      </c>
      <c r="V291" s="151" t="e">
        <f>[1]!Tabella1[[#This Row],[Booking Hours]]</f>
        <v>#REF!</v>
      </c>
      <c r="W291" s="60" t="e">
        <f>[1]!Tabella1[[#This Row],[Booking Period]]</f>
        <v>#REF!</v>
      </c>
      <c r="X291" s="70"/>
    </row>
    <row r="292" spans="1:24" ht="15" x14ac:dyDescent="0.25">
      <c r="A292" s="146" t="s">
        <v>152</v>
      </c>
      <c r="B292" s="80" t="s">
        <v>194</v>
      </c>
      <c r="C292" s="78" t="s">
        <v>215</v>
      </c>
      <c r="D292" s="60" t="s">
        <v>28</v>
      </c>
      <c r="E292" s="51" t="s">
        <v>28</v>
      </c>
      <c r="F292" s="77" t="s">
        <v>221</v>
      </c>
      <c r="G292" s="77" t="s">
        <v>224</v>
      </c>
      <c r="H292" s="104"/>
      <c r="I292" s="105"/>
      <c r="J292" s="105"/>
      <c r="K292" s="105"/>
      <c r="L292" s="138"/>
      <c r="M292" s="138"/>
      <c r="N292" s="100"/>
      <c r="O292" s="100"/>
      <c r="P292" s="71"/>
      <c r="Q292" s="60" t="s">
        <v>243</v>
      </c>
      <c r="R292" s="69" t="s">
        <v>282</v>
      </c>
      <c r="S292" s="128">
        <v>180</v>
      </c>
      <c r="T292" s="126">
        <f t="shared" si="38"/>
        <v>0</v>
      </c>
      <c r="U292" s="60" t="s">
        <v>263</v>
      </c>
      <c r="V292" s="151">
        <v>175</v>
      </c>
      <c r="W292" s="60" t="s">
        <v>284</v>
      </c>
      <c r="X292" s="70"/>
    </row>
    <row r="293" spans="1:24" ht="15" x14ac:dyDescent="0.25">
      <c r="A293" s="146" t="s">
        <v>152</v>
      </c>
      <c r="B293" s="80" t="s">
        <v>194</v>
      </c>
      <c r="C293" s="78" t="s">
        <v>215</v>
      </c>
      <c r="D293" s="60" t="s">
        <v>28</v>
      </c>
      <c r="E293" s="51" t="s">
        <v>28</v>
      </c>
      <c r="F293" s="77" t="s">
        <v>221</v>
      </c>
      <c r="G293" s="77" t="s">
        <v>224</v>
      </c>
      <c r="H293" s="104"/>
      <c r="I293" s="105"/>
      <c r="J293" s="105"/>
      <c r="K293" s="105"/>
      <c r="L293" s="138"/>
      <c r="M293" s="138"/>
      <c r="N293" s="100"/>
      <c r="O293" s="100"/>
      <c r="P293" s="71"/>
      <c r="Q293" s="60" t="s">
        <v>244</v>
      </c>
      <c r="R293" s="69" t="s">
        <v>282</v>
      </c>
      <c r="S293" s="128">
        <v>180</v>
      </c>
      <c r="T293" s="126">
        <f t="shared" si="38"/>
        <v>0</v>
      </c>
      <c r="U293" s="60" t="s">
        <v>263</v>
      </c>
      <c r="V293" s="151">
        <v>0</v>
      </c>
      <c r="W293" s="60" t="s">
        <v>264</v>
      </c>
      <c r="X293" s="70"/>
    </row>
    <row r="294" spans="1:24" ht="30" x14ac:dyDescent="0.25">
      <c r="A294" s="145" t="s">
        <v>153</v>
      </c>
      <c r="B294" s="72" t="s">
        <v>195</v>
      </c>
      <c r="C294" s="72" t="s">
        <v>216</v>
      </c>
      <c r="D294" s="63" t="s">
        <v>20</v>
      </c>
      <c r="E294" s="50" t="s">
        <v>441</v>
      </c>
      <c r="F294" s="59" t="s">
        <v>222</v>
      </c>
      <c r="G294" s="59" t="s">
        <v>225</v>
      </c>
      <c r="H294" s="98">
        <v>57.21</v>
      </c>
      <c r="I294" s="99">
        <v>61.93</v>
      </c>
      <c r="J294" s="101"/>
      <c r="K294" s="83">
        <f>I294</f>
        <v>61.93</v>
      </c>
      <c r="L294" s="136">
        <f>M294/12</f>
        <v>174.91666666666666</v>
      </c>
      <c r="M294" s="136">
        <v>2099</v>
      </c>
      <c r="N294" s="100" t="e">
        <f t="shared" si="41"/>
        <v>#VALUE!</v>
      </c>
      <c r="O294" s="100">
        <f t="shared" si="42"/>
        <v>0</v>
      </c>
      <c r="P294" s="71"/>
      <c r="Q294" s="66" t="s">
        <v>238</v>
      </c>
      <c r="R294" s="67" t="s">
        <v>283</v>
      </c>
      <c r="S294" s="127">
        <f>((45*4)*6)/4</f>
        <v>270</v>
      </c>
      <c r="T294" s="126">
        <f t="shared" si="38"/>
        <v>16721.099999999999</v>
      </c>
      <c r="U294" s="63" t="s">
        <v>284</v>
      </c>
      <c r="V294" s="151">
        <v>0</v>
      </c>
      <c r="W294" s="63" t="s">
        <v>264</v>
      </c>
      <c r="X294" s="79"/>
    </row>
    <row r="295" spans="1:24" ht="30" x14ac:dyDescent="0.25">
      <c r="A295" s="145" t="s">
        <v>153</v>
      </c>
      <c r="B295" s="72" t="s">
        <v>195</v>
      </c>
      <c r="C295" s="72" t="s">
        <v>216</v>
      </c>
      <c r="D295" s="63" t="s">
        <v>20</v>
      </c>
      <c r="E295" s="50" t="s">
        <v>441</v>
      </c>
      <c r="F295" s="59" t="s">
        <v>222</v>
      </c>
      <c r="G295" s="59" t="s">
        <v>225</v>
      </c>
      <c r="H295" s="98">
        <v>57.21</v>
      </c>
      <c r="I295" s="99">
        <v>61.93</v>
      </c>
      <c r="J295" s="101"/>
      <c r="K295" s="83">
        <f>I295</f>
        <v>61.93</v>
      </c>
      <c r="L295" s="136">
        <f>M295/12</f>
        <v>174.91666666666666</v>
      </c>
      <c r="M295" s="136">
        <v>2099</v>
      </c>
      <c r="N295" s="100" t="e">
        <f t="shared" si="41"/>
        <v>#VALUE!</v>
      </c>
      <c r="O295" s="100">
        <f t="shared" si="42"/>
        <v>0</v>
      </c>
      <c r="P295" s="71"/>
      <c r="Q295" s="64" t="s">
        <v>230</v>
      </c>
      <c r="R295" s="67" t="s">
        <v>283</v>
      </c>
      <c r="S295" s="129">
        <f>((45*4)*6)/4</f>
        <v>270</v>
      </c>
      <c r="T295" s="130">
        <f t="shared" si="38"/>
        <v>16721.099999999999</v>
      </c>
      <c r="U295" s="75" t="s">
        <v>284</v>
      </c>
      <c r="V295" s="154" t="e">
        <f>[1]!Tabella1[[#This Row],[Booking Hours]]</f>
        <v>#REF!</v>
      </c>
      <c r="W295" s="75" t="e">
        <f>[1]!Tabella1[[#This Row],[Booking Period]]</f>
        <v>#REF!</v>
      </c>
      <c r="X295" s="81"/>
    </row>
    <row r="296" spans="1:24" ht="15" x14ac:dyDescent="0.25">
      <c r="A296" s="145" t="s">
        <v>152</v>
      </c>
      <c r="B296" s="63" t="s">
        <v>196</v>
      </c>
      <c r="C296" s="62" t="s">
        <v>215</v>
      </c>
      <c r="D296" s="60" t="s">
        <v>20</v>
      </c>
      <c r="E296" s="50" t="s">
        <v>442</v>
      </c>
      <c r="F296" s="62" t="s">
        <v>221</v>
      </c>
      <c r="G296" s="59" t="s">
        <v>224</v>
      </c>
      <c r="H296" s="98"/>
      <c r="I296" s="99"/>
      <c r="J296" s="99">
        <v>5.416666666666667</v>
      </c>
      <c r="K296" s="99">
        <f>J296</f>
        <v>5.416666666666667</v>
      </c>
      <c r="L296" s="136">
        <f>(60*4)</f>
        <v>240</v>
      </c>
      <c r="M296" s="136">
        <f>L296*12</f>
        <v>2880</v>
      </c>
      <c r="N296" s="100" t="e">
        <f t="shared" si="41"/>
        <v>#VALUE!</v>
      </c>
      <c r="O296" s="100">
        <f t="shared" si="42"/>
        <v>0</v>
      </c>
      <c r="P296" s="71"/>
      <c r="Q296" s="64" t="s">
        <v>230</v>
      </c>
      <c r="R296" s="60" t="s">
        <v>304</v>
      </c>
      <c r="S296" s="126">
        <f>((60*4)*12)</f>
        <v>2880</v>
      </c>
      <c r="T296" s="126">
        <f t="shared" si="38"/>
        <v>0</v>
      </c>
      <c r="U296" s="60" t="s">
        <v>252</v>
      </c>
      <c r="V296" s="151" t="e">
        <f>[1]!Tabella1[[#This Row],[Booking Hours]]</f>
        <v>#REF!</v>
      </c>
      <c r="W296" s="60" t="e">
        <f>[1]!Tabella1[[#This Row],[Booking Period]]</f>
        <v>#REF!</v>
      </c>
      <c r="X296" s="65"/>
    </row>
    <row r="297" spans="1:24" ht="15" x14ac:dyDescent="0.25">
      <c r="A297" s="145" t="s">
        <v>152</v>
      </c>
      <c r="B297" s="63" t="s">
        <v>197</v>
      </c>
      <c r="C297" s="62" t="s">
        <v>215</v>
      </c>
      <c r="D297" s="60" t="s">
        <v>20</v>
      </c>
      <c r="E297" s="50" t="s">
        <v>442</v>
      </c>
      <c r="F297" s="62" t="s">
        <v>221</v>
      </c>
      <c r="G297" s="59" t="s">
        <v>224</v>
      </c>
      <c r="H297" s="98"/>
      <c r="I297" s="99"/>
      <c r="J297" s="99">
        <v>5.416666666666667</v>
      </c>
      <c r="K297" s="99">
        <f>J297</f>
        <v>5.416666666666667</v>
      </c>
      <c r="L297" s="136">
        <f>(60*4)</f>
        <v>240</v>
      </c>
      <c r="M297" s="136">
        <f>L297*12</f>
        <v>2880</v>
      </c>
      <c r="N297" s="100" t="e">
        <f t="shared" si="41"/>
        <v>#VALUE!</v>
      </c>
      <c r="O297" s="100">
        <f t="shared" si="42"/>
        <v>0</v>
      </c>
      <c r="P297" s="71" t="s">
        <v>240</v>
      </c>
      <c r="Q297" s="64"/>
      <c r="R297" s="60" t="s">
        <v>273</v>
      </c>
      <c r="S297" s="125"/>
      <c r="T297" s="126">
        <f t="shared" si="38"/>
        <v>0</v>
      </c>
      <c r="U297" s="60" t="s">
        <v>252</v>
      </c>
      <c r="V297" s="151"/>
      <c r="W297" s="60"/>
      <c r="X297" s="61"/>
    </row>
    <row r="298" spans="1:24" ht="15" x14ac:dyDescent="0.25">
      <c r="A298" s="145" t="s">
        <v>152</v>
      </c>
      <c r="B298" s="63" t="s">
        <v>198</v>
      </c>
      <c r="C298" s="62" t="s">
        <v>215</v>
      </c>
      <c r="D298" s="60" t="s">
        <v>20</v>
      </c>
      <c r="E298" s="50" t="s">
        <v>442</v>
      </c>
      <c r="F298" s="62" t="s">
        <v>221</v>
      </c>
      <c r="G298" s="59" t="s">
        <v>224</v>
      </c>
      <c r="H298" s="98"/>
      <c r="I298" s="99"/>
      <c r="J298" s="99">
        <v>5.416666666666667</v>
      </c>
      <c r="K298" s="99">
        <f>J298</f>
        <v>5.416666666666667</v>
      </c>
      <c r="L298" s="136"/>
      <c r="M298" s="136"/>
      <c r="N298" s="100"/>
      <c r="O298" s="100"/>
      <c r="P298" s="71" t="s">
        <v>246</v>
      </c>
      <c r="Q298" s="60"/>
      <c r="R298" s="60"/>
      <c r="S298" s="125"/>
      <c r="T298" s="126">
        <f t="shared" si="38"/>
        <v>0</v>
      </c>
      <c r="U298" s="60"/>
      <c r="V298" s="151"/>
      <c r="W298" s="60"/>
      <c r="X298" s="61"/>
    </row>
    <row r="299" spans="1:24" ht="15" x14ac:dyDescent="0.25">
      <c r="A299" s="145" t="s">
        <v>154</v>
      </c>
      <c r="B299" s="60" t="s">
        <v>199</v>
      </c>
      <c r="C299" s="59" t="s">
        <v>217</v>
      </c>
      <c r="D299" s="60" t="s">
        <v>28</v>
      </c>
      <c r="E299" s="49" t="s">
        <v>28</v>
      </c>
      <c r="F299" s="63" t="s">
        <v>223</v>
      </c>
      <c r="G299" s="59" t="s">
        <v>227</v>
      </c>
      <c r="H299" s="82">
        <v>64.23</v>
      </c>
      <c r="I299" s="83">
        <v>69.510000000000005</v>
      </c>
      <c r="J299" s="83"/>
      <c r="K299" s="83">
        <f t="shared" ref="K299:K317" si="43">I299</f>
        <v>69.510000000000005</v>
      </c>
      <c r="L299" s="136">
        <f t="shared" ref="L299:L317" si="44">M299/12</f>
        <v>141.16666666666666</v>
      </c>
      <c r="M299" s="136">
        <v>1694</v>
      </c>
      <c r="N299" s="100" t="e">
        <f t="shared" si="41"/>
        <v>#VALUE!</v>
      </c>
      <c r="O299" s="100">
        <f t="shared" si="42"/>
        <v>0</v>
      </c>
      <c r="P299" s="71"/>
      <c r="Q299" s="64" t="s">
        <v>236</v>
      </c>
      <c r="R299" s="60" t="s">
        <v>262</v>
      </c>
      <c r="S299" s="125">
        <v>96</v>
      </c>
      <c r="T299" s="126">
        <f t="shared" si="38"/>
        <v>6672.9600000000009</v>
      </c>
      <c r="U299" s="60" t="s">
        <v>263</v>
      </c>
      <c r="V299" s="151">
        <v>0</v>
      </c>
      <c r="W299" s="60" t="s">
        <v>264</v>
      </c>
      <c r="X299" s="61"/>
    </row>
    <row r="300" spans="1:24" ht="15" x14ac:dyDescent="0.25">
      <c r="A300" s="145" t="s">
        <v>154</v>
      </c>
      <c r="B300" s="60" t="s">
        <v>199</v>
      </c>
      <c r="C300" s="59" t="s">
        <v>217</v>
      </c>
      <c r="D300" s="60" t="s">
        <v>28</v>
      </c>
      <c r="E300" s="49" t="s">
        <v>28</v>
      </c>
      <c r="F300" s="63" t="s">
        <v>223</v>
      </c>
      <c r="G300" s="59" t="s">
        <v>227</v>
      </c>
      <c r="H300" s="82">
        <v>64.23</v>
      </c>
      <c r="I300" s="83">
        <v>69.510000000000005</v>
      </c>
      <c r="J300" s="83"/>
      <c r="K300" s="83">
        <f t="shared" si="43"/>
        <v>69.510000000000005</v>
      </c>
      <c r="L300" s="136">
        <f t="shared" si="44"/>
        <v>141.16666666666666</v>
      </c>
      <c r="M300" s="136">
        <v>1694</v>
      </c>
      <c r="N300" s="100" t="e">
        <f t="shared" si="41"/>
        <v>#VALUE!</v>
      </c>
      <c r="O300" s="100">
        <f t="shared" si="42"/>
        <v>0</v>
      </c>
      <c r="P300" s="71"/>
      <c r="Q300" s="64" t="s">
        <v>237</v>
      </c>
      <c r="R300" s="60" t="s">
        <v>262</v>
      </c>
      <c r="S300" s="125">
        <v>96</v>
      </c>
      <c r="T300" s="126">
        <f t="shared" si="38"/>
        <v>6672.9600000000009</v>
      </c>
      <c r="U300" s="60" t="s">
        <v>263</v>
      </c>
      <c r="V300" s="151" t="e">
        <f>[1]!Tabella1[[#This Row],[Booking Hours]]</f>
        <v>#REF!</v>
      </c>
      <c r="W300" s="60" t="e">
        <f>[1]!Tabella1[[#This Row],[Booking Period]]</f>
        <v>#REF!</v>
      </c>
      <c r="X300" s="61"/>
    </row>
    <row r="301" spans="1:24" ht="15" x14ac:dyDescent="0.25">
      <c r="A301" s="145" t="s">
        <v>154</v>
      </c>
      <c r="B301" s="60" t="s">
        <v>199</v>
      </c>
      <c r="C301" s="59" t="s">
        <v>217</v>
      </c>
      <c r="D301" s="60" t="s">
        <v>28</v>
      </c>
      <c r="E301" s="49" t="s">
        <v>28</v>
      </c>
      <c r="F301" s="63" t="s">
        <v>223</v>
      </c>
      <c r="G301" s="59" t="s">
        <v>227</v>
      </c>
      <c r="H301" s="82">
        <v>64.23</v>
      </c>
      <c r="I301" s="83">
        <v>69.510000000000005</v>
      </c>
      <c r="J301" s="83"/>
      <c r="K301" s="83">
        <f t="shared" si="43"/>
        <v>69.510000000000005</v>
      </c>
      <c r="L301" s="136">
        <f t="shared" si="44"/>
        <v>141.16666666666666</v>
      </c>
      <c r="M301" s="136">
        <v>1694</v>
      </c>
      <c r="N301" s="100" t="e">
        <f t="shared" si="41"/>
        <v>#VALUE!</v>
      </c>
      <c r="O301" s="100">
        <f t="shared" si="42"/>
        <v>0</v>
      </c>
      <c r="P301" s="71"/>
      <c r="Q301" s="66" t="s">
        <v>238</v>
      </c>
      <c r="R301" s="60" t="s">
        <v>262</v>
      </c>
      <c r="S301" s="125">
        <v>144</v>
      </c>
      <c r="T301" s="126">
        <f t="shared" si="38"/>
        <v>10009.44</v>
      </c>
      <c r="U301" s="60" t="s">
        <v>263</v>
      </c>
      <c r="V301" s="151" t="e">
        <f>[1]!Tabella1[[#This Row],[Booking Hours]]</f>
        <v>#REF!</v>
      </c>
      <c r="W301" s="60" t="e">
        <f>[1]!Tabella1[[#This Row],[Booking Period]]</f>
        <v>#REF!</v>
      </c>
      <c r="X301" s="61"/>
    </row>
    <row r="302" spans="1:24" ht="15" x14ac:dyDescent="0.25">
      <c r="A302" s="145" t="s">
        <v>154</v>
      </c>
      <c r="B302" s="60" t="s">
        <v>199</v>
      </c>
      <c r="C302" s="59" t="s">
        <v>217</v>
      </c>
      <c r="D302" s="60" t="s">
        <v>28</v>
      </c>
      <c r="E302" s="49" t="s">
        <v>28</v>
      </c>
      <c r="F302" s="63" t="s">
        <v>223</v>
      </c>
      <c r="G302" s="59" t="s">
        <v>227</v>
      </c>
      <c r="H302" s="82">
        <v>64.23</v>
      </c>
      <c r="I302" s="83">
        <v>69.510000000000005</v>
      </c>
      <c r="J302" s="83"/>
      <c r="K302" s="83">
        <f t="shared" si="43"/>
        <v>69.510000000000005</v>
      </c>
      <c r="L302" s="136">
        <f t="shared" si="44"/>
        <v>141.16666666666666</v>
      </c>
      <c r="M302" s="136">
        <v>1694</v>
      </c>
      <c r="N302" s="100" t="e">
        <f t="shared" si="41"/>
        <v>#VALUE!</v>
      </c>
      <c r="O302" s="100">
        <f t="shared" si="42"/>
        <v>0</v>
      </c>
      <c r="P302" s="71"/>
      <c r="Q302" s="64" t="s">
        <v>230</v>
      </c>
      <c r="R302" s="60" t="s">
        <v>262</v>
      </c>
      <c r="S302" s="125">
        <v>288</v>
      </c>
      <c r="T302" s="126">
        <f t="shared" si="38"/>
        <v>20018.88</v>
      </c>
      <c r="U302" s="60" t="s">
        <v>263</v>
      </c>
      <c r="V302" s="151" t="e">
        <f>[1]!Tabella1[[#This Row],[Booking Hours]]</f>
        <v>#REF!</v>
      </c>
      <c r="W302" s="63" t="e">
        <f>[1]!Tabella1[[#This Row],[Booking Period]]</f>
        <v>#REF!</v>
      </c>
      <c r="X302" s="61"/>
    </row>
    <row r="303" spans="1:24" ht="15" x14ac:dyDescent="0.25">
      <c r="A303" s="145" t="s">
        <v>154</v>
      </c>
      <c r="B303" s="60" t="s">
        <v>199</v>
      </c>
      <c r="C303" s="59" t="s">
        <v>217</v>
      </c>
      <c r="D303" s="60" t="s">
        <v>28</v>
      </c>
      <c r="E303" s="49" t="s">
        <v>28</v>
      </c>
      <c r="F303" s="63" t="s">
        <v>223</v>
      </c>
      <c r="G303" s="59" t="s">
        <v>227</v>
      </c>
      <c r="H303" s="82">
        <v>64.23</v>
      </c>
      <c r="I303" s="83">
        <v>69.510000000000005</v>
      </c>
      <c r="J303" s="83"/>
      <c r="K303" s="83">
        <f t="shared" si="43"/>
        <v>69.510000000000005</v>
      </c>
      <c r="L303" s="136">
        <f t="shared" si="44"/>
        <v>141.16666666666666</v>
      </c>
      <c r="M303" s="136">
        <v>1694</v>
      </c>
      <c r="N303" s="100" t="e">
        <f t="shared" si="41"/>
        <v>#VALUE!</v>
      </c>
      <c r="O303" s="100">
        <f t="shared" si="42"/>
        <v>0</v>
      </c>
      <c r="P303" s="71"/>
      <c r="Q303" s="64" t="s">
        <v>234</v>
      </c>
      <c r="R303" s="60" t="s">
        <v>262</v>
      </c>
      <c r="S303" s="125">
        <v>288</v>
      </c>
      <c r="T303" s="126">
        <f t="shared" si="38"/>
        <v>20018.88</v>
      </c>
      <c r="U303" s="60" t="s">
        <v>265</v>
      </c>
      <c r="V303" s="151" t="e">
        <f>[1]!Tabella1[[#This Row],[Booking Hours]]</f>
        <v>#REF!</v>
      </c>
      <c r="W303" s="60" t="e">
        <f>[1]!Tabella1[[#This Row],[Booking Period]]</f>
        <v>#REF!</v>
      </c>
      <c r="X303" s="61"/>
    </row>
    <row r="304" spans="1:24" ht="15" x14ac:dyDescent="0.25">
      <c r="A304" s="145" t="s">
        <v>154</v>
      </c>
      <c r="B304" s="60" t="s">
        <v>199</v>
      </c>
      <c r="C304" s="59" t="s">
        <v>217</v>
      </c>
      <c r="D304" s="60" t="s">
        <v>28</v>
      </c>
      <c r="E304" s="49" t="s">
        <v>28</v>
      </c>
      <c r="F304" s="63" t="s">
        <v>223</v>
      </c>
      <c r="G304" s="59" t="s">
        <v>227</v>
      </c>
      <c r="H304" s="82">
        <v>64.23</v>
      </c>
      <c r="I304" s="83">
        <v>69.510000000000005</v>
      </c>
      <c r="J304" s="83"/>
      <c r="K304" s="83">
        <f t="shared" si="43"/>
        <v>69.510000000000005</v>
      </c>
      <c r="L304" s="136">
        <f t="shared" si="44"/>
        <v>141.16666666666666</v>
      </c>
      <c r="M304" s="136">
        <v>1694</v>
      </c>
      <c r="N304" s="100" t="e">
        <f t="shared" si="41"/>
        <v>#VALUE!</v>
      </c>
      <c r="O304" s="100">
        <f t="shared" si="42"/>
        <v>0</v>
      </c>
      <c r="P304" s="71"/>
      <c r="Q304" s="64" t="s">
        <v>235</v>
      </c>
      <c r="R304" s="60" t="s">
        <v>262</v>
      </c>
      <c r="S304" s="125">
        <v>72</v>
      </c>
      <c r="T304" s="126">
        <f t="shared" si="38"/>
        <v>5004.72</v>
      </c>
      <c r="U304" s="60" t="s">
        <v>266</v>
      </c>
      <c r="V304" s="151"/>
      <c r="W304" s="153" t="s">
        <v>260</v>
      </c>
      <c r="X304" s="61"/>
    </row>
    <row r="305" spans="1:24" ht="15" x14ac:dyDescent="0.25">
      <c r="A305" s="145" t="s">
        <v>154</v>
      </c>
      <c r="B305" s="60" t="s">
        <v>199</v>
      </c>
      <c r="C305" s="59" t="s">
        <v>217</v>
      </c>
      <c r="D305" s="60" t="s">
        <v>28</v>
      </c>
      <c r="E305" s="49" t="s">
        <v>28</v>
      </c>
      <c r="F305" s="63" t="s">
        <v>223</v>
      </c>
      <c r="G305" s="59" t="s">
        <v>227</v>
      </c>
      <c r="H305" s="82">
        <v>64.23</v>
      </c>
      <c r="I305" s="83">
        <v>69.510000000000005</v>
      </c>
      <c r="J305" s="83"/>
      <c r="K305" s="83">
        <f t="shared" si="43"/>
        <v>69.510000000000005</v>
      </c>
      <c r="L305" s="136">
        <f t="shared" si="44"/>
        <v>141.16666666666666</v>
      </c>
      <c r="M305" s="136">
        <v>1694</v>
      </c>
      <c r="N305" s="100" t="e">
        <f t="shared" si="41"/>
        <v>#VALUE!</v>
      </c>
      <c r="O305" s="100">
        <f t="shared" si="42"/>
        <v>0</v>
      </c>
      <c r="P305" s="71"/>
      <c r="Q305" s="64" t="s">
        <v>232</v>
      </c>
      <c r="R305" s="60" t="s">
        <v>262</v>
      </c>
      <c r="S305" s="125">
        <v>144</v>
      </c>
      <c r="T305" s="126">
        <f t="shared" si="38"/>
        <v>10009.44</v>
      </c>
      <c r="U305" s="60" t="s">
        <v>263</v>
      </c>
      <c r="V305" s="151">
        <v>0</v>
      </c>
      <c r="W305" s="63" t="s">
        <v>264</v>
      </c>
      <c r="X305" s="61"/>
    </row>
    <row r="306" spans="1:24" ht="15" x14ac:dyDescent="0.25">
      <c r="A306" s="145" t="s">
        <v>154</v>
      </c>
      <c r="B306" s="60" t="s">
        <v>199</v>
      </c>
      <c r="C306" s="59" t="s">
        <v>217</v>
      </c>
      <c r="D306" s="60" t="s">
        <v>28</v>
      </c>
      <c r="E306" s="49" t="s">
        <v>28</v>
      </c>
      <c r="F306" s="63" t="s">
        <v>223</v>
      </c>
      <c r="G306" s="59" t="s">
        <v>227</v>
      </c>
      <c r="H306" s="82">
        <v>64.23</v>
      </c>
      <c r="I306" s="83">
        <v>69.510000000000005</v>
      </c>
      <c r="J306" s="83"/>
      <c r="K306" s="83">
        <f t="shared" si="43"/>
        <v>69.510000000000005</v>
      </c>
      <c r="L306" s="136">
        <f t="shared" si="44"/>
        <v>141.16666666666666</v>
      </c>
      <c r="M306" s="136">
        <v>1694</v>
      </c>
      <c r="N306" s="100" t="e">
        <f t="shared" si="41"/>
        <v>#VALUE!</v>
      </c>
      <c r="O306" s="100">
        <f t="shared" si="42"/>
        <v>0</v>
      </c>
      <c r="P306" s="71"/>
      <c r="Q306" s="64" t="s">
        <v>233</v>
      </c>
      <c r="R306" s="60" t="s">
        <v>262</v>
      </c>
      <c r="S306" s="125">
        <v>144</v>
      </c>
      <c r="T306" s="126">
        <f t="shared" si="38"/>
        <v>10009.44</v>
      </c>
      <c r="U306" s="60" t="s">
        <v>263</v>
      </c>
      <c r="V306" s="151"/>
      <c r="W306" s="71" t="s">
        <v>100</v>
      </c>
      <c r="X306" s="61"/>
    </row>
    <row r="307" spans="1:24" ht="15" x14ac:dyDescent="0.25">
      <c r="A307" s="145" t="s">
        <v>154</v>
      </c>
      <c r="B307" s="60" t="s">
        <v>199</v>
      </c>
      <c r="C307" s="59" t="s">
        <v>217</v>
      </c>
      <c r="D307" s="60" t="s">
        <v>28</v>
      </c>
      <c r="E307" s="49" t="s">
        <v>28</v>
      </c>
      <c r="F307" s="63" t="s">
        <v>223</v>
      </c>
      <c r="G307" s="59" t="s">
        <v>227</v>
      </c>
      <c r="H307" s="82">
        <v>64.23</v>
      </c>
      <c r="I307" s="83">
        <v>69.510000000000005</v>
      </c>
      <c r="J307" s="83"/>
      <c r="K307" s="83">
        <f t="shared" si="43"/>
        <v>69.510000000000005</v>
      </c>
      <c r="L307" s="136">
        <f t="shared" si="44"/>
        <v>141.16666666666666</v>
      </c>
      <c r="M307" s="136">
        <v>1694</v>
      </c>
      <c r="N307" s="100" t="e">
        <f t="shared" si="41"/>
        <v>#VALUE!</v>
      </c>
      <c r="O307" s="100">
        <f t="shared" si="42"/>
        <v>0</v>
      </c>
      <c r="P307" s="71"/>
      <c r="Q307" s="64" t="s">
        <v>239</v>
      </c>
      <c r="R307" s="60" t="s">
        <v>262</v>
      </c>
      <c r="S307" s="125">
        <v>96</v>
      </c>
      <c r="T307" s="126">
        <f t="shared" si="38"/>
        <v>6672.9600000000009</v>
      </c>
      <c r="U307" s="60" t="s">
        <v>263</v>
      </c>
      <c r="V307" s="151" t="e">
        <f>[1]!Tabella1[[#This Row],[Booking Hours]]</f>
        <v>#REF!</v>
      </c>
      <c r="W307" s="60" t="e">
        <f>[1]!Tabella1[[#This Row],[Booking Period]]</f>
        <v>#REF!</v>
      </c>
      <c r="X307" s="61"/>
    </row>
    <row r="308" spans="1:24" ht="15" x14ac:dyDescent="0.25">
      <c r="A308" s="145" t="s">
        <v>154</v>
      </c>
      <c r="B308" s="60" t="s">
        <v>199</v>
      </c>
      <c r="C308" s="59" t="s">
        <v>217</v>
      </c>
      <c r="D308" s="60" t="s">
        <v>28</v>
      </c>
      <c r="E308" s="49" t="s">
        <v>28</v>
      </c>
      <c r="F308" s="63" t="s">
        <v>223</v>
      </c>
      <c r="G308" s="59" t="s">
        <v>227</v>
      </c>
      <c r="H308" s="82">
        <v>64.23</v>
      </c>
      <c r="I308" s="83">
        <v>69.510000000000005</v>
      </c>
      <c r="J308" s="83"/>
      <c r="K308" s="83">
        <f t="shared" si="43"/>
        <v>69.510000000000005</v>
      </c>
      <c r="L308" s="136">
        <f t="shared" si="44"/>
        <v>141.16666666666666</v>
      </c>
      <c r="M308" s="136">
        <v>1694</v>
      </c>
      <c r="N308" s="100" t="e">
        <f t="shared" si="41"/>
        <v>#VALUE!</v>
      </c>
      <c r="O308" s="100">
        <f t="shared" si="42"/>
        <v>0</v>
      </c>
      <c r="P308" s="71"/>
      <c r="Q308" s="64" t="s">
        <v>230</v>
      </c>
      <c r="R308" s="60" t="s">
        <v>268</v>
      </c>
      <c r="S308" s="125">
        <v>50</v>
      </c>
      <c r="T308" s="126">
        <f t="shared" si="38"/>
        <v>3475.5000000000005</v>
      </c>
      <c r="U308" s="60" t="s">
        <v>269</v>
      </c>
      <c r="V308" s="151" t="e">
        <f>[1]!Tabella1[[#This Row],[Booking Hours]]</f>
        <v>#REF!</v>
      </c>
      <c r="W308" s="63" t="e">
        <f>[1]!Tabella1[[#This Row],[Booking Period]]</f>
        <v>#REF!</v>
      </c>
      <c r="X308" s="61"/>
    </row>
    <row r="309" spans="1:24" ht="15" x14ac:dyDescent="0.25">
      <c r="A309" s="145" t="s">
        <v>154</v>
      </c>
      <c r="B309" s="60" t="s">
        <v>199</v>
      </c>
      <c r="C309" s="59" t="s">
        <v>217</v>
      </c>
      <c r="D309" s="60" t="s">
        <v>28</v>
      </c>
      <c r="E309" s="49" t="s">
        <v>28</v>
      </c>
      <c r="F309" s="63" t="s">
        <v>223</v>
      </c>
      <c r="G309" s="59" t="s">
        <v>227</v>
      </c>
      <c r="H309" s="82">
        <v>64.23</v>
      </c>
      <c r="I309" s="83">
        <v>69.510000000000005</v>
      </c>
      <c r="J309" s="83"/>
      <c r="K309" s="83">
        <f t="shared" si="43"/>
        <v>69.510000000000005</v>
      </c>
      <c r="L309" s="136">
        <f t="shared" si="44"/>
        <v>141.16666666666666</v>
      </c>
      <c r="M309" s="136">
        <v>1694</v>
      </c>
      <c r="N309" s="100" t="e">
        <f t="shared" si="41"/>
        <v>#VALUE!</v>
      </c>
      <c r="O309" s="100">
        <f t="shared" si="42"/>
        <v>0</v>
      </c>
      <c r="P309" s="71"/>
      <c r="Q309" s="64" t="s">
        <v>234</v>
      </c>
      <c r="R309" s="60" t="s">
        <v>268</v>
      </c>
      <c r="S309" s="125">
        <v>50</v>
      </c>
      <c r="T309" s="126">
        <f t="shared" si="38"/>
        <v>3475.5000000000005</v>
      </c>
      <c r="U309" s="60" t="s">
        <v>270</v>
      </c>
      <c r="V309" s="151" t="e">
        <f>[1]!Tabella1[[#This Row],[Booking Hours]]</f>
        <v>#REF!</v>
      </c>
      <c r="W309" s="60" t="e">
        <f>[1]!Tabella1[[#This Row],[Booking Period]]</f>
        <v>#REF!</v>
      </c>
      <c r="X309" s="61"/>
    </row>
    <row r="310" spans="1:24" ht="15" x14ac:dyDescent="0.25">
      <c r="A310" s="145" t="s">
        <v>154</v>
      </c>
      <c r="B310" s="60" t="s">
        <v>199</v>
      </c>
      <c r="C310" s="59" t="s">
        <v>217</v>
      </c>
      <c r="D310" s="60" t="s">
        <v>28</v>
      </c>
      <c r="E310" s="49" t="s">
        <v>28</v>
      </c>
      <c r="F310" s="63" t="s">
        <v>223</v>
      </c>
      <c r="G310" s="59" t="s">
        <v>227</v>
      </c>
      <c r="H310" s="82">
        <v>64.23</v>
      </c>
      <c r="I310" s="83">
        <v>69.510000000000005</v>
      </c>
      <c r="J310" s="83"/>
      <c r="K310" s="83">
        <f t="shared" si="43"/>
        <v>69.510000000000005</v>
      </c>
      <c r="L310" s="136">
        <f t="shared" si="44"/>
        <v>141.16666666666666</v>
      </c>
      <c r="M310" s="136">
        <v>1694</v>
      </c>
      <c r="N310" s="100" t="e">
        <f t="shared" si="41"/>
        <v>#VALUE!</v>
      </c>
      <c r="O310" s="100">
        <f t="shared" si="42"/>
        <v>0</v>
      </c>
      <c r="P310" s="71"/>
      <c r="Q310" s="64" t="s">
        <v>235</v>
      </c>
      <c r="R310" s="60" t="s">
        <v>268</v>
      </c>
      <c r="S310" s="125">
        <v>50</v>
      </c>
      <c r="T310" s="126">
        <f t="shared" si="38"/>
        <v>3475.5000000000005</v>
      </c>
      <c r="U310" s="60" t="s">
        <v>271</v>
      </c>
      <c r="V310" s="151"/>
      <c r="W310" s="153" t="s">
        <v>260</v>
      </c>
      <c r="X310" s="61"/>
    </row>
    <row r="311" spans="1:24" ht="15" x14ac:dyDescent="0.25">
      <c r="A311" s="145" t="s">
        <v>154</v>
      </c>
      <c r="B311" s="60" t="s">
        <v>199</v>
      </c>
      <c r="C311" s="59" t="s">
        <v>217</v>
      </c>
      <c r="D311" s="60" t="s">
        <v>28</v>
      </c>
      <c r="E311" s="49" t="s">
        <v>28</v>
      </c>
      <c r="F311" s="63" t="s">
        <v>223</v>
      </c>
      <c r="G311" s="59" t="s">
        <v>227</v>
      </c>
      <c r="H311" s="82">
        <v>64.23</v>
      </c>
      <c r="I311" s="83">
        <v>69.510000000000005</v>
      </c>
      <c r="J311" s="83"/>
      <c r="K311" s="83">
        <f t="shared" si="43"/>
        <v>69.510000000000005</v>
      </c>
      <c r="L311" s="136">
        <f t="shared" si="44"/>
        <v>141.16666666666666</v>
      </c>
      <c r="M311" s="136">
        <v>1694</v>
      </c>
      <c r="N311" s="100" t="e">
        <f t="shared" si="41"/>
        <v>#VALUE!</v>
      </c>
      <c r="O311" s="100">
        <f t="shared" si="42"/>
        <v>0</v>
      </c>
      <c r="P311" s="71"/>
      <c r="Q311" s="64" t="s">
        <v>232</v>
      </c>
      <c r="R311" s="60" t="s">
        <v>268</v>
      </c>
      <c r="S311" s="125">
        <v>50</v>
      </c>
      <c r="T311" s="126">
        <f t="shared" si="38"/>
        <v>3475.5000000000005</v>
      </c>
      <c r="U311" s="60" t="s">
        <v>269</v>
      </c>
      <c r="V311" s="151">
        <v>0</v>
      </c>
      <c r="W311" s="63" t="s">
        <v>264</v>
      </c>
      <c r="X311" s="61"/>
    </row>
    <row r="312" spans="1:24" ht="15" x14ac:dyDescent="0.25">
      <c r="A312" s="145" t="s">
        <v>154</v>
      </c>
      <c r="B312" s="60" t="s">
        <v>199</v>
      </c>
      <c r="C312" s="59" t="s">
        <v>217</v>
      </c>
      <c r="D312" s="60" t="s">
        <v>28</v>
      </c>
      <c r="E312" s="49" t="s">
        <v>28</v>
      </c>
      <c r="F312" s="63" t="s">
        <v>223</v>
      </c>
      <c r="G312" s="59" t="s">
        <v>227</v>
      </c>
      <c r="H312" s="82">
        <v>64.23</v>
      </c>
      <c r="I312" s="83">
        <v>69.510000000000005</v>
      </c>
      <c r="J312" s="83"/>
      <c r="K312" s="83">
        <f t="shared" si="43"/>
        <v>69.510000000000005</v>
      </c>
      <c r="L312" s="136">
        <f t="shared" si="44"/>
        <v>141.16666666666666</v>
      </c>
      <c r="M312" s="136">
        <v>1694</v>
      </c>
      <c r="N312" s="100" t="e">
        <f t="shared" si="41"/>
        <v>#VALUE!</v>
      </c>
      <c r="O312" s="100">
        <f t="shared" si="42"/>
        <v>0</v>
      </c>
      <c r="P312" s="71"/>
      <c r="Q312" s="64" t="s">
        <v>233</v>
      </c>
      <c r="R312" s="60" t="s">
        <v>268</v>
      </c>
      <c r="S312" s="125">
        <v>50</v>
      </c>
      <c r="T312" s="126">
        <f t="shared" si="38"/>
        <v>3475.5000000000005</v>
      </c>
      <c r="U312" s="60" t="s">
        <v>269</v>
      </c>
      <c r="V312" s="151"/>
      <c r="W312" s="71" t="s">
        <v>100</v>
      </c>
      <c r="X312" s="61"/>
    </row>
    <row r="313" spans="1:24" ht="15" x14ac:dyDescent="0.25">
      <c r="A313" s="145" t="s">
        <v>153</v>
      </c>
      <c r="B313" s="72" t="s">
        <v>200</v>
      </c>
      <c r="C313" s="72" t="s">
        <v>216</v>
      </c>
      <c r="D313" s="67" t="s">
        <v>20</v>
      </c>
      <c r="E313" s="50" t="s">
        <v>442</v>
      </c>
      <c r="F313" s="59" t="s">
        <v>222</v>
      </c>
      <c r="G313" s="59" t="s">
        <v>225</v>
      </c>
      <c r="H313" s="98">
        <v>57.21</v>
      </c>
      <c r="I313" s="99">
        <v>61.93</v>
      </c>
      <c r="J313" s="99"/>
      <c r="K313" s="83">
        <f t="shared" si="43"/>
        <v>61.93</v>
      </c>
      <c r="L313" s="136">
        <f t="shared" si="44"/>
        <v>174.91666666666666</v>
      </c>
      <c r="M313" s="136">
        <v>2099</v>
      </c>
      <c r="N313" s="100" t="e">
        <f t="shared" si="41"/>
        <v>#VALUE!</v>
      </c>
      <c r="O313" s="100">
        <f t="shared" si="42"/>
        <v>0</v>
      </c>
      <c r="P313" s="71"/>
      <c r="Q313" s="66" t="s">
        <v>238</v>
      </c>
      <c r="R313" s="67" t="s">
        <v>317</v>
      </c>
      <c r="S313" s="127">
        <v>120</v>
      </c>
      <c r="T313" s="126">
        <f t="shared" si="38"/>
        <v>7431.6</v>
      </c>
      <c r="U313" s="63" t="s">
        <v>252</v>
      </c>
      <c r="V313" s="151" t="e">
        <f>[1]!Tabella1[[#This Row],[Booking Hours]]</f>
        <v>#REF!</v>
      </c>
      <c r="W313" s="63" t="e">
        <f>[1]!Tabella1[[#This Row],[Booking Period]]</f>
        <v>#REF!</v>
      </c>
      <c r="X313" s="79"/>
    </row>
    <row r="314" spans="1:24" ht="15" x14ac:dyDescent="0.25">
      <c r="A314" s="145" t="s">
        <v>153</v>
      </c>
      <c r="B314" s="72" t="s">
        <v>200</v>
      </c>
      <c r="C314" s="72" t="s">
        <v>216</v>
      </c>
      <c r="D314" s="67" t="s">
        <v>20</v>
      </c>
      <c r="E314" s="50" t="s">
        <v>442</v>
      </c>
      <c r="F314" s="59" t="s">
        <v>222</v>
      </c>
      <c r="G314" s="59" t="s">
        <v>225</v>
      </c>
      <c r="H314" s="98">
        <v>57.21</v>
      </c>
      <c r="I314" s="99">
        <v>61.93</v>
      </c>
      <c r="J314" s="99"/>
      <c r="K314" s="83">
        <f t="shared" si="43"/>
        <v>61.93</v>
      </c>
      <c r="L314" s="136">
        <f t="shared" si="44"/>
        <v>174.91666666666666</v>
      </c>
      <c r="M314" s="136">
        <v>2099</v>
      </c>
      <c r="N314" s="100" t="e">
        <f t="shared" si="41"/>
        <v>#VALUE!</v>
      </c>
      <c r="O314" s="100">
        <f t="shared" si="42"/>
        <v>0</v>
      </c>
      <c r="P314" s="71"/>
      <c r="Q314" s="64" t="s">
        <v>230</v>
      </c>
      <c r="R314" s="67" t="s">
        <v>317</v>
      </c>
      <c r="S314" s="127">
        <v>845</v>
      </c>
      <c r="T314" s="126">
        <f t="shared" si="38"/>
        <v>52330.85</v>
      </c>
      <c r="U314" s="63" t="s">
        <v>252</v>
      </c>
      <c r="V314" s="151" t="e">
        <f>[1]!Tabella1[[#This Row],[Booking Hours]]</f>
        <v>#REF!</v>
      </c>
      <c r="W314" s="60" t="e">
        <f>[1]!Tabella1[[#This Row],[Booking Period]]</f>
        <v>#REF!</v>
      </c>
      <c r="X314" s="79"/>
    </row>
    <row r="315" spans="1:24" ht="15" x14ac:dyDescent="0.25">
      <c r="A315" s="145" t="s">
        <v>153</v>
      </c>
      <c r="B315" s="72" t="s">
        <v>200</v>
      </c>
      <c r="C315" s="72" t="s">
        <v>216</v>
      </c>
      <c r="D315" s="67" t="s">
        <v>20</v>
      </c>
      <c r="E315" s="50" t="s">
        <v>442</v>
      </c>
      <c r="F315" s="59" t="s">
        <v>222</v>
      </c>
      <c r="G315" s="59" t="s">
        <v>225</v>
      </c>
      <c r="H315" s="98">
        <v>57.21</v>
      </c>
      <c r="I315" s="99">
        <v>61.93</v>
      </c>
      <c r="J315" s="99"/>
      <c r="K315" s="83">
        <f t="shared" si="43"/>
        <v>61.93</v>
      </c>
      <c r="L315" s="136">
        <f t="shared" si="44"/>
        <v>174.91666666666666</v>
      </c>
      <c r="M315" s="136">
        <v>2099</v>
      </c>
      <c r="N315" s="100" t="e">
        <f t="shared" si="41"/>
        <v>#VALUE!</v>
      </c>
      <c r="O315" s="100">
        <f t="shared" si="42"/>
        <v>0</v>
      </c>
      <c r="P315" s="71"/>
      <c r="Q315" s="64" t="s">
        <v>235</v>
      </c>
      <c r="R315" s="67" t="s">
        <v>317</v>
      </c>
      <c r="S315" s="127">
        <v>51</v>
      </c>
      <c r="T315" s="126">
        <f t="shared" si="38"/>
        <v>3158.43</v>
      </c>
      <c r="U315" s="75" t="s">
        <v>293</v>
      </c>
      <c r="V315" s="151"/>
      <c r="W315" s="153" t="s">
        <v>260</v>
      </c>
      <c r="X315" s="79"/>
    </row>
    <row r="316" spans="1:24" ht="15" x14ac:dyDescent="0.25">
      <c r="A316" s="145" t="s">
        <v>153</v>
      </c>
      <c r="B316" s="72" t="s">
        <v>200</v>
      </c>
      <c r="C316" s="72" t="s">
        <v>216</v>
      </c>
      <c r="D316" s="67" t="s">
        <v>20</v>
      </c>
      <c r="E316" s="50" t="s">
        <v>442</v>
      </c>
      <c r="F316" s="59" t="s">
        <v>222</v>
      </c>
      <c r="G316" s="59" t="s">
        <v>225</v>
      </c>
      <c r="H316" s="98">
        <v>57.21</v>
      </c>
      <c r="I316" s="99">
        <v>61.93</v>
      </c>
      <c r="J316" s="99"/>
      <c r="K316" s="83">
        <f t="shared" si="43"/>
        <v>61.93</v>
      </c>
      <c r="L316" s="136">
        <f t="shared" si="44"/>
        <v>174.91666666666666</v>
      </c>
      <c r="M316" s="136">
        <v>2099</v>
      </c>
      <c r="N316" s="100" t="e">
        <f t="shared" si="41"/>
        <v>#VALUE!</v>
      </c>
      <c r="O316" s="100">
        <f t="shared" si="42"/>
        <v>0</v>
      </c>
      <c r="P316" s="71"/>
      <c r="Q316" s="64" t="s">
        <v>232</v>
      </c>
      <c r="R316" s="67" t="s">
        <v>317</v>
      </c>
      <c r="S316" s="127">
        <v>281</v>
      </c>
      <c r="T316" s="126">
        <f t="shared" si="38"/>
        <v>17402.329999999998</v>
      </c>
      <c r="U316" s="63" t="s">
        <v>252</v>
      </c>
      <c r="V316" s="151"/>
      <c r="W316" s="63" t="s">
        <v>257</v>
      </c>
      <c r="X316" s="79"/>
    </row>
    <row r="317" spans="1:24" ht="15" x14ac:dyDescent="0.25">
      <c r="A317" s="145" t="s">
        <v>153</v>
      </c>
      <c r="B317" s="72" t="s">
        <v>200</v>
      </c>
      <c r="C317" s="72" t="s">
        <v>216</v>
      </c>
      <c r="D317" s="67" t="s">
        <v>20</v>
      </c>
      <c r="E317" s="50" t="s">
        <v>442</v>
      </c>
      <c r="F317" s="59" t="s">
        <v>222</v>
      </c>
      <c r="G317" s="59" t="s">
        <v>225</v>
      </c>
      <c r="H317" s="98">
        <v>57.21</v>
      </c>
      <c r="I317" s="99">
        <v>61.93</v>
      </c>
      <c r="J317" s="99"/>
      <c r="K317" s="83">
        <f t="shared" si="43"/>
        <v>61.93</v>
      </c>
      <c r="L317" s="136">
        <f t="shared" si="44"/>
        <v>174.91666666666666</v>
      </c>
      <c r="M317" s="136">
        <v>2099</v>
      </c>
      <c r="N317" s="100" t="e">
        <f t="shared" si="41"/>
        <v>#VALUE!</v>
      </c>
      <c r="O317" s="100">
        <f t="shared" si="42"/>
        <v>0</v>
      </c>
      <c r="P317" s="71"/>
      <c r="Q317" s="64" t="s">
        <v>233</v>
      </c>
      <c r="R317" s="67" t="s">
        <v>317</v>
      </c>
      <c r="S317" s="127">
        <v>328</v>
      </c>
      <c r="T317" s="126">
        <f t="shared" si="38"/>
        <v>20313.04</v>
      </c>
      <c r="U317" s="63" t="s">
        <v>252</v>
      </c>
      <c r="V317" s="151">
        <v>0</v>
      </c>
      <c r="W317" s="60" t="s">
        <v>264</v>
      </c>
      <c r="X317" s="79"/>
    </row>
    <row r="318" spans="1:24" ht="15" x14ac:dyDescent="0.25">
      <c r="A318" s="145" t="s">
        <v>152</v>
      </c>
      <c r="B318" s="63" t="s">
        <v>201</v>
      </c>
      <c r="C318" s="62" t="s">
        <v>215</v>
      </c>
      <c r="D318" s="60" t="s">
        <v>20</v>
      </c>
      <c r="E318" s="50" t="s">
        <v>442</v>
      </c>
      <c r="F318" s="62" t="s">
        <v>221</v>
      </c>
      <c r="G318" s="59" t="s">
        <v>224</v>
      </c>
      <c r="H318" s="98"/>
      <c r="I318" s="99"/>
      <c r="J318" s="99">
        <v>5.416666666666667</v>
      </c>
      <c r="K318" s="99">
        <f>J318</f>
        <v>5.416666666666667</v>
      </c>
      <c r="L318" s="136">
        <f>(60*4)</f>
        <v>240</v>
      </c>
      <c r="M318" s="136">
        <f>L318*12</f>
        <v>2880</v>
      </c>
      <c r="N318" s="100" t="e">
        <f t="shared" si="41"/>
        <v>#VALUE!</v>
      </c>
      <c r="O318" s="100">
        <f t="shared" si="42"/>
        <v>0</v>
      </c>
      <c r="P318" s="71"/>
      <c r="Q318" s="64" t="s">
        <v>230</v>
      </c>
      <c r="R318" s="67" t="s">
        <v>309</v>
      </c>
      <c r="S318" s="125"/>
      <c r="T318" s="126">
        <f t="shared" si="38"/>
        <v>0</v>
      </c>
      <c r="U318" s="60" t="s">
        <v>252</v>
      </c>
      <c r="V318" s="151" t="e">
        <f>[1]!Tabella1[[#This Row],[Booking Hours]]</f>
        <v>#REF!</v>
      </c>
      <c r="W318" s="63" t="s">
        <v>264</v>
      </c>
      <c r="X318" s="61"/>
    </row>
    <row r="319" spans="1:24" ht="15" x14ac:dyDescent="0.25">
      <c r="A319" s="147">
        <v>667100</v>
      </c>
      <c r="B319" s="62" t="s">
        <v>202</v>
      </c>
      <c r="C319" s="62" t="s">
        <v>216</v>
      </c>
      <c r="D319" s="67" t="s">
        <v>20</v>
      </c>
      <c r="E319" s="50" t="s">
        <v>442</v>
      </c>
      <c r="F319" s="62" t="s">
        <v>222</v>
      </c>
      <c r="G319" s="59" t="s">
        <v>225</v>
      </c>
      <c r="H319" s="98">
        <v>57.21</v>
      </c>
      <c r="I319" s="99">
        <v>61.93</v>
      </c>
      <c r="J319" s="99"/>
      <c r="K319" s="83">
        <f>I319</f>
        <v>61.93</v>
      </c>
      <c r="L319" s="136">
        <f>M319/12</f>
        <v>174.91666666666666</v>
      </c>
      <c r="M319" s="136">
        <v>2099</v>
      </c>
      <c r="N319" s="100" t="e">
        <f t="shared" si="41"/>
        <v>#VALUE!</v>
      </c>
      <c r="O319" s="100">
        <f t="shared" si="42"/>
        <v>0</v>
      </c>
      <c r="P319" s="71"/>
      <c r="Q319" s="64" t="s">
        <v>230</v>
      </c>
      <c r="R319" s="67" t="s">
        <v>318</v>
      </c>
      <c r="S319" s="127">
        <v>845</v>
      </c>
      <c r="T319" s="126">
        <f t="shared" si="38"/>
        <v>52330.85</v>
      </c>
      <c r="U319" s="63" t="s">
        <v>252</v>
      </c>
      <c r="V319" s="151" t="e">
        <f>[1]!Tabella1[[#This Row],[Booking Hours]]</f>
        <v>#REF!</v>
      </c>
      <c r="W319" s="60" t="e">
        <f>[1]!Tabella1[[#This Row],[Booking Period]]</f>
        <v>#REF!</v>
      </c>
      <c r="X319" s="79"/>
    </row>
    <row r="320" spans="1:24" ht="15" x14ac:dyDescent="0.25">
      <c r="A320" s="147">
        <v>667100</v>
      </c>
      <c r="B320" s="62" t="s">
        <v>202</v>
      </c>
      <c r="C320" s="62" t="s">
        <v>216</v>
      </c>
      <c r="D320" s="67" t="s">
        <v>20</v>
      </c>
      <c r="E320" s="50" t="s">
        <v>442</v>
      </c>
      <c r="F320" s="62" t="s">
        <v>222</v>
      </c>
      <c r="G320" s="59" t="s">
        <v>225</v>
      </c>
      <c r="H320" s="98">
        <v>57.21</v>
      </c>
      <c r="I320" s="99">
        <v>61.93</v>
      </c>
      <c r="J320" s="99"/>
      <c r="K320" s="83">
        <f>I320</f>
        <v>61.93</v>
      </c>
      <c r="L320" s="136">
        <f>M320/12</f>
        <v>174.91666666666666</v>
      </c>
      <c r="M320" s="136">
        <v>2099</v>
      </c>
      <c r="N320" s="100" t="e">
        <f t="shared" si="41"/>
        <v>#VALUE!</v>
      </c>
      <c r="O320" s="100">
        <f t="shared" si="42"/>
        <v>0</v>
      </c>
      <c r="P320" s="71"/>
      <c r="Q320" s="60" t="s">
        <v>243</v>
      </c>
      <c r="R320" s="67" t="s">
        <v>305</v>
      </c>
      <c r="S320" s="127">
        <f>((45*4)*12)/2</f>
        <v>1080</v>
      </c>
      <c r="T320" s="126">
        <f t="shared" si="38"/>
        <v>66884.399999999994</v>
      </c>
      <c r="U320" s="63" t="s">
        <v>252</v>
      </c>
      <c r="V320" s="151">
        <v>250</v>
      </c>
      <c r="W320" s="60" t="s">
        <v>292</v>
      </c>
      <c r="X320" s="79"/>
    </row>
    <row r="321" spans="1:24" ht="15" x14ac:dyDescent="0.25">
      <c r="A321" s="145" t="s">
        <v>152</v>
      </c>
      <c r="B321" s="63" t="s">
        <v>203</v>
      </c>
      <c r="C321" s="62" t="s">
        <v>215</v>
      </c>
      <c r="D321" s="60" t="s">
        <v>20</v>
      </c>
      <c r="E321" s="50" t="s">
        <v>442</v>
      </c>
      <c r="F321" s="62" t="s">
        <v>221</v>
      </c>
      <c r="G321" s="59" t="s">
        <v>224</v>
      </c>
      <c r="H321" s="98"/>
      <c r="I321" s="99"/>
      <c r="J321" s="99">
        <v>4.583333333333333</v>
      </c>
      <c r="K321" s="99">
        <f>J321</f>
        <v>4.583333333333333</v>
      </c>
      <c r="L321" s="136">
        <f>(60*4)</f>
        <v>240</v>
      </c>
      <c r="M321" s="136">
        <f>L321*12</f>
        <v>2880</v>
      </c>
      <c r="N321" s="100" t="e">
        <f t="shared" si="41"/>
        <v>#VALUE!</v>
      </c>
      <c r="O321" s="100">
        <f t="shared" si="42"/>
        <v>0</v>
      </c>
      <c r="P321" s="71"/>
      <c r="Q321" s="64" t="s">
        <v>230</v>
      </c>
      <c r="R321" s="67" t="s">
        <v>309</v>
      </c>
      <c r="S321" s="126">
        <f>((60*4)*12)</f>
        <v>2880</v>
      </c>
      <c r="T321" s="126">
        <f t="shared" si="38"/>
        <v>0</v>
      </c>
      <c r="U321" s="60" t="s">
        <v>252</v>
      </c>
      <c r="V321" s="151" t="e">
        <f>[1]!Tabella1[[#This Row],[Booking Hours]]</f>
        <v>#REF!</v>
      </c>
      <c r="W321" s="60" t="e">
        <f>[1]!Tabella1[[#This Row],[Booking Period]]</f>
        <v>#REF!</v>
      </c>
      <c r="X321" s="65"/>
    </row>
    <row r="322" spans="1:24" ht="15" x14ac:dyDescent="0.25">
      <c r="A322" s="147" t="s">
        <v>153</v>
      </c>
      <c r="B322" s="62" t="s">
        <v>44</v>
      </c>
      <c r="C322" s="59" t="s">
        <v>218</v>
      </c>
      <c r="D322" s="67" t="s">
        <v>220</v>
      </c>
      <c r="E322" s="49" t="s">
        <v>445</v>
      </c>
      <c r="F322" s="62" t="s">
        <v>222</v>
      </c>
      <c r="G322" s="59" t="s">
        <v>229</v>
      </c>
      <c r="H322" s="82">
        <v>33.549999999999997</v>
      </c>
      <c r="I322" s="83">
        <v>36.31</v>
      </c>
      <c r="J322" s="99"/>
      <c r="K322" s="83">
        <f>I322</f>
        <v>36.31</v>
      </c>
      <c r="L322" s="136">
        <f>M322/12</f>
        <v>202.58333333333334</v>
      </c>
      <c r="M322" s="136">
        <v>2431</v>
      </c>
      <c r="N322" s="100" t="e">
        <f t="shared" ref="N322:N385" si="45">U322/M322</f>
        <v>#VALUE!</v>
      </c>
      <c r="O322" s="100">
        <f t="shared" ref="O322:O385" si="46">X322/M322</f>
        <v>0</v>
      </c>
      <c r="P322" s="71"/>
      <c r="Q322" s="66" t="s">
        <v>238</v>
      </c>
      <c r="R322" s="67" t="s">
        <v>319</v>
      </c>
      <c r="S322" s="127">
        <f>((45*4)*12)/3</f>
        <v>720</v>
      </c>
      <c r="T322" s="126">
        <f t="shared" ref="T322:T385" si="47">S322*I322</f>
        <v>26143.200000000001</v>
      </c>
      <c r="U322" s="63" t="s">
        <v>252</v>
      </c>
      <c r="V322" s="151">
        <v>0</v>
      </c>
      <c r="W322" s="60" t="s">
        <v>264</v>
      </c>
      <c r="X322" s="79"/>
    </row>
    <row r="323" spans="1:24" ht="30" x14ac:dyDescent="0.25">
      <c r="A323" s="147" t="s">
        <v>153</v>
      </c>
      <c r="B323" s="62" t="s">
        <v>44</v>
      </c>
      <c r="C323" s="59" t="s">
        <v>218</v>
      </c>
      <c r="D323" s="67" t="s">
        <v>220</v>
      </c>
      <c r="E323" s="49" t="s">
        <v>445</v>
      </c>
      <c r="F323" s="62" t="s">
        <v>222</v>
      </c>
      <c r="G323" s="59" t="s">
        <v>229</v>
      </c>
      <c r="H323" s="82">
        <v>33.549999999999997</v>
      </c>
      <c r="I323" s="83">
        <v>36.31</v>
      </c>
      <c r="J323" s="99"/>
      <c r="K323" s="83">
        <f>I323</f>
        <v>36.31</v>
      </c>
      <c r="L323" s="136">
        <f>M323/12</f>
        <v>202.58333333333334</v>
      </c>
      <c r="M323" s="136">
        <v>2431</v>
      </c>
      <c r="N323" s="100" t="e">
        <f t="shared" si="45"/>
        <v>#VALUE!</v>
      </c>
      <c r="O323" s="100">
        <f t="shared" si="46"/>
        <v>0</v>
      </c>
      <c r="P323" s="71"/>
      <c r="Q323" s="64" t="s">
        <v>230</v>
      </c>
      <c r="R323" s="67" t="s">
        <v>320</v>
      </c>
      <c r="S323" s="127">
        <v>216</v>
      </c>
      <c r="T323" s="126">
        <f t="shared" si="47"/>
        <v>7842.9600000000009</v>
      </c>
      <c r="U323" s="63" t="s">
        <v>252</v>
      </c>
      <c r="V323" s="151" t="e">
        <f>[1]!Tabella1[[#This Row],[Booking Hours]]</f>
        <v>#REF!</v>
      </c>
      <c r="W323" s="63" t="e">
        <f>[1]!Tabella1[[#This Row],[Booking Period]]</f>
        <v>#REF!</v>
      </c>
      <c r="X323" s="79"/>
    </row>
    <row r="324" spans="1:24" ht="15" x14ac:dyDescent="0.25">
      <c r="A324" s="147" t="s">
        <v>153</v>
      </c>
      <c r="B324" s="62" t="s">
        <v>44</v>
      </c>
      <c r="C324" s="59" t="s">
        <v>218</v>
      </c>
      <c r="D324" s="67" t="s">
        <v>220</v>
      </c>
      <c r="E324" s="49" t="s">
        <v>445</v>
      </c>
      <c r="F324" s="62" t="s">
        <v>222</v>
      </c>
      <c r="G324" s="59" t="s">
        <v>229</v>
      </c>
      <c r="H324" s="82">
        <v>33.549999999999997</v>
      </c>
      <c r="I324" s="83">
        <v>36.31</v>
      </c>
      <c r="J324" s="99"/>
      <c r="K324" s="83">
        <f>I324</f>
        <v>36.31</v>
      </c>
      <c r="L324" s="136">
        <f>M324/12</f>
        <v>202.58333333333334</v>
      </c>
      <c r="M324" s="136">
        <v>2431</v>
      </c>
      <c r="N324" s="100" t="e">
        <f t="shared" si="45"/>
        <v>#VALUE!</v>
      </c>
      <c r="O324" s="100">
        <f t="shared" si="46"/>
        <v>0</v>
      </c>
      <c r="P324" s="71"/>
      <c r="Q324" s="64" t="s">
        <v>237</v>
      </c>
      <c r="R324" s="67" t="s">
        <v>321</v>
      </c>
      <c r="S324" s="127">
        <f>(18*8)</f>
        <v>144</v>
      </c>
      <c r="T324" s="126">
        <f t="shared" si="47"/>
        <v>5228.6400000000003</v>
      </c>
      <c r="U324" s="63" t="s">
        <v>307</v>
      </c>
      <c r="V324" s="151" t="e">
        <f>[1]!Tabella1[[#This Row],[Booking Hours]]</f>
        <v>#REF!</v>
      </c>
      <c r="W324" s="155" t="e">
        <f>[1]!Tabella1[[#This Row],[Booking Period]]</f>
        <v>#REF!</v>
      </c>
      <c r="X324" s="79"/>
    </row>
    <row r="325" spans="1:24" ht="15" x14ac:dyDescent="0.25">
      <c r="A325" s="147" t="s">
        <v>153</v>
      </c>
      <c r="B325" s="62" t="s">
        <v>44</v>
      </c>
      <c r="C325" s="59" t="s">
        <v>218</v>
      </c>
      <c r="D325" s="67" t="s">
        <v>220</v>
      </c>
      <c r="E325" s="49" t="s">
        <v>445</v>
      </c>
      <c r="F325" s="62" t="s">
        <v>222</v>
      </c>
      <c r="G325" s="59" t="s">
        <v>229</v>
      </c>
      <c r="H325" s="82">
        <v>33.549999999999997</v>
      </c>
      <c r="I325" s="83">
        <v>36.31</v>
      </c>
      <c r="J325" s="99"/>
      <c r="K325" s="83">
        <f>I325</f>
        <v>36.31</v>
      </c>
      <c r="L325" s="136">
        <f>M325/12</f>
        <v>202.58333333333334</v>
      </c>
      <c r="M325" s="136">
        <v>2431</v>
      </c>
      <c r="N325" s="100" t="e">
        <f t="shared" si="45"/>
        <v>#VALUE!</v>
      </c>
      <c r="O325" s="100">
        <f t="shared" si="46"/>
        <v>0</v>
      </c>
      <c r="P325" s="71"/>
      <c r="Q325" s="64" t="s">
        <v>233</v>
      </c>
      <c r="R325" s="67" t="s">
        <v>315</v>
      </c>
      <c r="S325" s="127">
        <v>450</v>
      </c>
      <c r="T325" s="126">
        <f t="shared" si="47"/>
        <v>16339.500000000002</v>
      </c>
      <c r="U325" s="63" t="s">
        <v>316</v>
      </c>
      <c r="V325" s="151" t="e">
        <f>[1]!Tabella1[[#This Row],[Booking Hours]]</f>
        <v>#REF!</v>
      </c>
      <c r="W325" s="155" t="e">
        <f>[1]!Tabella1[[#This Row],[Booking Period]]</f>
        <v>#REF!</v>
      </c>
      <c r="X325" s="79"/>
    </row>
    <row r="326" spans="1:24" ht="15" x14ac:dyDescent="0.25">
      <c r="A326" s="147" t="s">
        <v>153</v>
      </c>
      <c r="B326" s="62" t="s">
        <v>44</v>
      </c>
      <c r="C326" s="59" t="s">
        <v>218</v>
      </c>
      <c r="D326" s="67" t="s">
        <v>220</v>
      </c>
      <c r="E326" s="49" t="s">
        <v>445</v>
      </c>
      <c r="F326" s="62" t="s">
        <v>222</v>
      </c>
      <c r="G326" s="59" t="s">
        <v>229</v>
      </c>
      <c r="H326" s="82">
        <v>33.549999999999997</v>
      </c>
      <c r="I326" s="83">
        <v>36.31</v>
      </c>
      <c r="J326" s="99"/>
      <c r="K326" s="83">
        <f>I326</f>
        <v>36.31</v>
      </c>
      <c r="L326" s="136">
        <f>M326/12</f>
        <v>202.58333333333334</v>
      </c>
      <c r="M326" s="136">
        <v>2431</v>
      </c>
      <c r="N326" s="100" t="e">
        <f t="shared" si="45"/>
        <v>#VALUE!</v>
      </c>
      <c r="O326" s="100">
        <f t="shared" si="46"/>
        <v>0</v>
      </c>
      <c r="P326" s="71"/>
      <c r="Q326" s="64" t="s">
        <v>237</v>
      </c>
      <c r="R326" s="67" t="s">
        <v>322</v>
      </c>
      <c r="S326" s="127">
        <f>((45*4)*6)/2</f>
        <v>540</v>
      </c>
      <c r="T326" s="126">
        <f t="shared" si="47"/>
        <v>19607.400000000001</v>
      </c>
      <c r="U326" s="63" t="s">
        <v>284</v>
      </c>
      <c r="V326" s="151" t="e">
        <f>[1]!Tabella1[[#This Row],[Booking Hours]]</f>
        <v>#REF!</v>
      </c>
      <c r="W326" s="155" t="e">
        <f>[1]!Tabella1[[#This Row],[Booking Period]]</f>
        <v>#REF!</v>
      </c>
      <c r="X326" s="79"/>
    </row>
    <row r="327" spans="1:24" ht="15" x14ac:dyDescent="0.25">
      <c r="A327" s="145" t="s">
        <v>152</v>
      </c>
      <c r="B327" s="63" t="s">
        <v>204</v>
      </c>
      <c r="C327" s="62" t="s">
        <v>215</v>
      </c>
      <c r="D327" s="60" t="s">
        <v>20</v>
      </c>
      <c r="E327" s="50" t="s">
        <v>441</v>
      </c>
      <c r="F327" s="59" t="s">
        <v>221</v>
      </c>
      <c r="G327" s="59" t="s">
        <v>224</v>
      </c>
      <c r="H327" s="98"/>
      <c r="I327" s="99"/>
      <c r="J327" s="83">
        <v>6.25</v>
      </c>
      <c r="K327" s="99">
        <f>J327</f>
        <v>6.25</v>
      </c>
      <c r="L327" s="136">
        <f>(60*4)</f>
        <v>240</v>
      </c>
      <c r="M327" s="136">
        <f>L327*12</f>
        <v>2880</v>
      </c>
      <c r="N327" s="100">
        <f t="shared" si="45"/>
        <v>0</v>
      </c>
      <c r="O327" s="100">
        <f t="shared" si="46"/>
        <v>0</v>
      </c>
      <c r="P327" s="71"/>
      <c r="Q327" s="60"/>
      <c r="R327" s="60"/>
      <c r="S327" s="125"/>
      <c r="T327" s="126">
        <f t="shared" si="47"/>
        <v>0</v>
      </c>
      <c r="U327" s="60"/>
      <c r="V327" s="151"/>
      <c r="W327" s="60"/>
      <c r="X327" s="61"/>
    </row>
    <row r="328" spans="1:24" ht="15" x14ac:dyDescent="0.25">
      <c r="A328" s="145" t="s">
        <v>152</v>
      </c>
      <c r="B328" s="63" t="s">
        <v>205</v>
      </c>
      <c r="C328" s="62" t="s">
        <v>215</v>
      </c>
      <c r="D328" s="60" t="s">
        <v>20</v>
      </c>
      <c r="E328" s="50" t="s">
        <v>442</v>
      </c>
      <c r="F328" s="62" t="s">
        <v>221</v>
      </c>
      <c r="G328" s="59" t="s">
        <v>224</v>
      </c>
      <c r="H328" s="98"/>
      <c r="I328" s="99"/>
      <c r="J328" s="99">
        <v>5.416666666666667</v>
      </c>
      <c r="K328" s="99">
        <f>J328</f>
        <v>5.416666666666667</v>
      </c>
      <c r="L328" s="136">
        <f>(60*4)</f>
        <v>240</v>
      </c>
      <c r="M328" s="136">
        <f>L328*12</f>
        <v>2880</v>
      </c>
      <c r="N328" s="100" t="e">
        <f t="shared" si="45"/>
        <v>#VALUE!</v>
      </c>
      <c r="O328" s="100">
        <f t="shared" si="46"/>
        <v>0</v>
      </c>
      <c r="P328" s="71"/>
      <c r="Q328" s="64" t="s">
        <v>230</v>
      </c>
      <c r="R328" s="60" t="s">
        <v>251</v>
      </c>
      <c r="S328" s="126">
        <f>((60*4)*12)</f>
        <v>2880</v>
      </c>
      <c r="T328" s="126">
        <f t="shared" si="47"/>
        <v>0</v>
      </c>
      <c r="U328" s="60" t="s">
        <v>252</v>
      </c>
      <c r="V328" s="151" t="e">
        <f>[1]!Tabella1[[#This Row],[Booking Hours]]</f>
        <v>#REF!</v>
      </c>
      <c r="W328" s="60" t="e">
        <f>[1]!Tabella1[[#This Row],[Booking Period]]</f>
        <v>#REF!</v>
      </c>
      <c r="X328" s="65"/>
    </row>
    <row r="329" spans="1:24" ht="15" x14ac:dyDescent="0.25">
      <c r="A329" s="144" t="s">
        <v>153</v>
      </c>
      <c r="B329" s="72" t="s">
        <v>206</v>
      </c>
      <c r="C329" s="59" t="s">
        <v>216</v>
      </c>
      <c r="D329" s="67" t="s">
        <v>28</v>
      </c>
      <c r="E329" s="49" t="s">
        <v>28</v>
      </c>
      <c r="F329" s="59" t="s">
        <v>222</v>
      </c>
      <c r="G329" s="59" t="s">
        <v>225</v>
      </c>
      <c r="H329" s="98">
        <v>57.21</v>
      </c>
      <c r="I329" s="99">
        <v>61.93</v>
      </c>
      <c r="J329" s="83"/>
      <c r="K329" s="83">
        <f t="shared" ref="K329:K391" si="48">I329</f>
        <v>61.93</v>
      </c>
      <c r="L329" s="136">
        <f t="shared" ref="L329:L391" si="49">M329/12</f>
        <v>174.91666666666666</v>
      </c>
      <c r="M329" s="136">
        <v>2099</v>
      </c>
      <c r="N329" s="100" t="e">
        <f t="shared" si="45"/>
        <v>#VALUE!</v>
      </c>
      <c r="O329" s="100">
        <f t="shared" si="46"/>
        <v>0</v>
      </c>
      <c r="P329" s="71"/>
      <c r="Q329" s="64" t="s">
        <v>234</v>
      </c>
      <c r="R329" s="76" t="s">
        <v>272</v>
      </c>
      <c r="S329" s="126">
        <v>75</v>
      </c>
      <c r="T329" s="126">
        <f t="shared" si="47"/>
        <v>4644.75</v>
      </c>
      <c r="U329" s="63" t="s">
        <v>265</v>
      </c>
      <c r="V329" s="151"/>
      <c r="W329" s="71" t="s">
        <v>100</v>
      </c>
      <c r="X329" s="65"/>
    </row>
    <row r="330" spans="1:24" ht="15" x14ac:dyDescent="0.25">
      <c r="A330" s="144" t="s">
        <v>153</v>
      </c>
      <c r="B330" s="72" t="s">
        <v>206</v>
      </c>
      <c r="C330" s="59" t="s">
        <v>216</v>
      </c>
      <c r="D330" s="67" t="s">
        <v>28</v>
      </c>
      <c r="E330" s="49" t="s">
        <v>28</v>
      </c>
      <c r="F330" s="59" t="s">
        <v>222</v>
      </c>
      <c r="G330" s="59" t="s">
        <v>225</v>
      </c>
      <c r="H330" s="98">
        <v>57.21</v>
      </c>
      <c r="I330" s="99">
        <v>61.93</v>
      </c>
      <c r="J330" s="83"/>
      <c r="K330" s="83">
        <f t="shared" si="48"/>
        <v>61.93</v>
      </c>
      <c r="L330" s="136">
        <f t="shared" si="49"/>
        <v>174.91666666666666</v>
      </c>
      <c r="M330" s="136">
        <v>2099</v>
      </c>
      <c r="N330" s="100" t="e">
        <f t="shared" si="45"/>
        <v>#VALUE!</v>
      </c>
      <c r="O330" s="100">
        <f t="shared" si="46"/>
        <v>0</v>
      </c>
      <c r="P330" s="71"/>
      <c r="Q330" s="64" t="s">
        <v>235</v>
      </c>
      <c r="R330" s="76" t="s">
        <v>272</v>
      </c>
      <c r="S330" s="126">
        <v>30</v>
      </c>
      <c r="T330" s="126">
        <f t="shared" si="47"/>
        <v>1857.9</v>
      </c>
      <c r="U330" s="63" t="s">
        <v>266</v>
      </c>
      <c r="V330" s="151"/>
      <c r="W330" s="153" t="s">
        <v>260</v>
      </c>
      <c r="X330" s="65"/>
    </row>
    <row r="331" spans="1:24" ht="15" x14ac:dyDescent="0.25">
      <c r="A331" s="144" t="s">
        <v>153</v>
      </c>
      <c r="B331" s="72" t="s">
        <v>206</v>
      </c>
      <c r="C331" s="59" t="s">
        <v>216</v>
      </c>
      <c r="D331" s="67" t="s">
        <v>28</v>
      </c>
      <c r="E331" s="49" t="s">
        <v>28</v>
      </c>
      <c r="F331" s="59" t="s">
        <v>222</v>
      </c>
      <c r="G331" s="59" t="s">
        <v>225</v>
      </c>
      <c r="H331" s="98">
        <v>57.21</v>
      </c>
      <c r="I331" s="99">
        <v>61.93</v>
      </c>
      <c r="J331" s="83"/>
      <c r="K331" s="83">
        <f t="shared" si="48"/>
        <v>61.93</v>
      </c>
      <c r="L331" s="136">
        <f t="shared" si="49"/>
        <v>174.91666666666666</v>
      </c>
      <c r="M331" s="136">
        <v>2099</v>
      </c>
      <c r="N331" s="100" t="e">
        <f t="shared" si="45"/>
        <v>#VALUE!</v>
      </c>
      <c r="O331" s="100">
        <f t="shared" si="46"/>
        <v>0</v>
      </c>
      <c r="P331" s="71"/>
      <c r="Q331" s="64" t="s">
        <v>232</v>
      </c>
      <c r="R331" s="76" t="s">
        <v>272</v>
      </c>
      <c r="S331" s="126">
        <v>90</v>
      </c>
      <c r="T331" s="126">
        <f t="shared" si="47"/>
        <v>5573.7</v>
      </c>
      <c r="U331" s="63" t="s">
        <v>263</v>
      </c>
      <c r="V331" s="151">
        <v>0</v>
      </c>
      <c r="W331" s="63" t="s">
        <v>264</v>
      </c>
      <c r="X331" s="65"/>
    </row>
    <row r="332" spans="1:24" ht="15" x14ac:dyDescent="0.25">
      <c r="A332" s="144" t="s">
        <v>153</v>
      </c>
      <c r="B332" s="72" t="s">
        <v>206</v>
      </c>
      <c r="C332" s="59" t="s">
        <v>216</v>
      </c>
      <c r="D332" s="67" t="s">
        <v>28</v>
      </c>
      <c r="E332" s="49" t="s">
        <v>28</v>
      </c>
      <c r="F332" s="59" t="s">
        <v>222</v>
      </c>
      <c r="G332" s="59" t="s">
        <v>225</v>
      </c>
      <c r="H332" s="98">
        <v>57.21</v>
      </c>
      <c r="I332" s="99">
        <v>61.93</v>
      </c>
      <c r="J332" s="83"/>
      <c r="K332" s="83">
        <f t="shared" si="48"/>
        <v>61.93</v>
      </c>
      <c r="L332" s="136">
        <f t="shared" si="49"/>
        <v>174.91666666666666</v>
      </c>
      <c r="M332" s="136">
        <v>2099</v>
      </c>
      <c r="N332" s="100" t="e">
        <f t="shared" si="45"/>
        <v>#VALUE!</v>
      </c>
      <c r="O332" s="100">
        <f t="shared" si="46"/>
        <v>0</v>
      </c>
      <c r="P332" s="71"/>
      <c r="Q332" s="64" t="s">
        <v>233</v>
      </c>
      <c r="R332" s="76" t="s">
        <v>272</v>
      </c>
      <c r="S332" s="126">
        <v>90</v>
      </c>
      <c r="T332" s="126">
        <f t="shared" si="47"/>
        <v>5573.7</v>
      </c>
      <c r="U332" s="63" t="s">
        <v>263</v>
      </c>
      <c r="V332" s="151" t="e">
        <f>[1]!Tabella1[[#This Row],[Booking Hours]]</f>
        <v>#REF!</v>
      </c>
      <c r="W332" s="60" t="e">
        <f>[1]!Tabella1[[#This Row],[Booking Period]]</f>
        <v>#REF!</v>
      </c>
      <c r="X332" s="65"/>
    </row>
    <row r="333" spans="1:24" ht="15" x14ac:dyDescent="0.25">
      <c r="A333" s="144" t="s">
        <v>153</v>
      </c>
      <c r="B333" s="72" t="s">
        <v>206</v>
      </c>
      <c r="C333" s="59" t="s">
        <v>216</v>
      </c>
      <c r="D333" s="67" t="s">
        <v>28</v>
      </c>
      <c r="E333" s="49" t="s">
        <v>28</v>
      </c>
      <c r="F333" s="59" t="s">
        <v>222</v>
      </c>
      <c r="G333" s="59" t="s">
        <v>225</v>
      </c>
      <c r="H333" s="98">
        <v>57.21</v>
      </c>
      <c r="I333" s="99">
        <v>61.93</v>
      </c>
      <c r="J333" s="83"/>
      <c r="K333" s="83">
        <f t="shared" si="48"/>
        <v>61.93</v>
      </c>
      <c r="L333" s="136">
        <f t="shared" si="49"/>
        <v>174.91666666666666</v>
      </c>
      <c r="M333" s="136">
        <v>2099</v>
      </c>
      <c r="N333" s="100" t="e">
        <f t="shared" si="45"/>
        <v>#VALUE!</v>
      </c>
      <c r="O333" s="100">
        <f t="shared" si="46"/>
        <v>0</v>
      </c>
      <c r="P333" s="71"/>
      <c r="Q333" s="66" t="s">
        <v>238</v>
      </c>
      <c r="R333" s="76" t="s">
        <v>323</v>
      </c>
      <c r="S333" s="126">
        <v>60</v>
      </c>
      <c r="T333" s="126">
        <f t="shared" si="47"/>
        <v>3715.8</v>
      </c>
      <c r="U333" s="63" t="s">
        <v>269</v>
      </c>
      <c r="V333" s="151" t="e">
        <f>[1]!Tabella1[[#This Row],[Booking Hours]]</f>
        <v>#REF!</v>
      </c>
      <c r="W333" s="60" t="e">
        <f>[1]!Tabella1[[#This Row],[Booking Period]]</f>
        <v>#REF!</v>
      </c>
      <c r="X333" s="65"/>
    </row>
    <row r="334" spans="1:24" ht="15" x14ac:dyDescent="0.25">
      <c r="A334" s="144" t="s">
        <v>153</v>
      </c>
      <c r="B334" s="72" t="s">
        <v>206</v>
      </c>
      <c r="C334" s="59" t="s">
        <v>216</v>
      </c>
      <c r="D334" s="67" t="s">
        <v>28</v>
      </c>
      <c r="E334" s="49" t="s">
        <v>28</v>
      </c>
      <c r="F334" s="59" t="s">
        <v>222</v>
      </c>
      <c r="G334" s="59" t="s">
        <v>225</v>
      </c>
      <c r="H334" s="98">
        <v>57.21</v>
      </c>
      <c r="I334" s="99">
        <v>61.93</v>
      </c>
      <c r="J334" s="83"/>
      <c r="K334" s="83">
        <f t="shared" si="48"/>
        <v>61.93</v>
      </c>
      <c r="L334" s="136">
        <f t="shared" si="49"/>
        <v>174.91666666666666</v>
      </c>
      <c r="M334" s="136">
        <v>2099</v>
      </c>
      <c r="N334" s="100" t="e">
        <f t="shared" si="45"/>
        <v>#VALUE!</v>
      </c>
      <c r="O334" s="100">
        <f t="shared" si="46"/>
        <v>0</v>
      </c>
      <c r="P334" s="71"/>
      <c r="Q334" s="64" t="s">
        <v>230</v>
      </c>
      <c r="R334" s="76" t="s">
        <v>323</v>
      </c>
      <c r="S334" s="126">
        <v>60</v>
      </c>
      <c r="T334" s="126">
        <f t="shared" si="47"/>
        <v>3715.8</v>
      </c>
      <c r="U334" s="63" t="s">
        <v>269</v>
      </c>
      <c r="V334" s="151" t="e">
        <f>[1]!Tabella1[[#This Row],[Booking Hours]]</f>
        <v>#REF!</v>
      </c>
      <c r="W334" s="63" t="e">
        <f>[1]!Tabella1[[#This Row],[Booking Period]]</f>
        <v>#REF!</v>
      </c>
      <c r="X334" s="65"/>
    </row>
    <row r="335" spans="1:24" ht="15" x14ac:dyDescent="0.25">
      <c r="A335" s="144" t="s">
        <v>153</v>
      </c>
      <c r="B335" s="72" t="s">
        <v>206</v>
      </c>
      <c r="C335" s="59" t="s">
        <v>216</v>
      </c>
      <c r="D335" s="67" t="s">
        <v>28</v>
      </c>
      <c r="E335" s="49" t="s">
        <v>28</v>
      </c>
      <c r="F335" s="59" t="s">
        <v>222</v>
      </c>
      <c r="G335" s="59" t="s">
        <v>225</v>
      </c>
      <c r="H335" s="98">
        <v>57.21</v>
      </c>
      <c r="I335" s="99">
        <v>61.93</v>
      </c>
      <c r="J335" s="83"/>
      <c r="K335" s="83">
        <f t="shared" si="48"/>
        <v>61.93</v>
      </c>
      <c r="L335" s="136">
        <f t="shared" si="49"/>
        <v>174.91666666666666</v>
      </c>
      <c r="M335" s="136">
        <v>2099</v>
      </c>
      <c r="N335" s="100" t="e">
        <f t="shared" si="45"/>
        <v>#VALUE!</v>
      </c>
      <c r="O335" s="100">
        <f t="shared" si="46"/>
        <v>0</v>
      </c>
      <c r="P335" s="71"/>
      <c r="Q335" s="64" t="s">
        <v>234</v>
      </c>
      <c r="R335" s="76" t="s">
        <v>323</v>
      </c>
      <c r="S335" s="126">
        <v>60</v>
      </c>
      <c r="T335" s="126">
        <f t="shared" si="47"/>
        <v>3715.8</v>
      </c>
      <c r="U335" s="63" t="s">
        <v>270</v>
      </c>
      <c r="V335" s="151"/>
      <c r="W335" s="71" t="s">
        <v>100</v>
      </c>
      <c r="X335" s="65"/>
    </row>
    <row r="336" spans="1:24" ht="15" x14ac:dyDescent="0.25">
      <c r="A336" s="144" t="s">
        <v>153</v>
      </c>
      <c r="B336" s="72" t="s">
        <v>206</v>
      </c>
      <c r="C336" s="59" t="s">
        <v>216</v>
      </c>
      <c r="D336" s="67" t="s">
        <v>28</v>
      </c>
      <c r="E336" s="49" t="s">
        <v>28</v>
      </c>
      <c r="F336" s="59" t="s">
        <v>222</v>
      </c>
      <c r="G336" s="59" t="s">
        <v>225</v>
      </c>
      <c r="H336" s="98">
        <v>57.21</v>
      </c>
      <c r="I336" s="99">
        <v>61.93</v>
      </c>
      <c r="J336" s="83"/>
      <c r="K336" s="83">
        <f t="shared" si="48"/>
        <v>61.93</v>
      </c>
      <c r="L336" s="136">
        <f t="shared" si="49"/>
        <v>174.91666666666666</v>
      </c>
      <c r="M336" s="136">
        <v>2099</v>
      </c>
      <c r="N336" s="100" t="e">
        <f t="shared" si="45"/>
        <v>#VALUE!</v>
      </c>
      <c r="O336" s="100">
        <f t="shared" si="46"/>
        <v>0</v>
      </c>
      <c r="P336" s="71"/>
      <c r="Q336" s="64" t="s">
        <v>235</v>
      </c>
      <c r="R336" s="76" t="s">
        <v>323</v>
      </c>
      <c r="S336" s="126">
        <v>60</v>
      </c>
      <c r="T336" s="126">
        <f t="shared" si="47"/>
        <v>3715.8</v>
      </c>
      <c r="U336" s="63" t="s">
        <v>271</v>
      </c>
      <c r="V336" s="151"/>
      <c r="W336" s="153" t="s">
        <v>260</v>
      </c>
      <c r="X336" s="65"/>
    </row>
    <row r="337" spans="1:24" ht="15" x14ac:dyDescent="0.25">
      <c r="A337" s="144" t="s">
        <v>153</v>
      </c>
      <c r="B337" s="72" t="s">
        <v>206</v>
      </c>
      <c r="C337" s="59" t="s">
        <v>216</v>
      </c>
      <c r="D337" s="67" t="s">
        <v>28</v>
      </c>
      <c r="E337" s="49" t="s">
        <v>28</v>
      </c>
      <c r="F337" s="59" t="s">
        <v>222</v>
      </c>
      <c r="G337" s="59" t="s">
        <v>225</v>
      </c>
      <c r="H337" s="98">
        <v>57.21</v>
      </c>
      <c r="I337" s="99">
        <v>61.93</v>
      </c>
      <c r="J337" s="83"/>
      <c r="K337" s="83">
        <f t="shared" si="48"/>
        <v>61.93</v>
      </c>
      <c r="L337" s="136">
        <f t="shared" si="49"/>
        <v>174.91666666666666</v>
      </c>
      <c r="M337" s="136">
        <v>2099</v>
      </c>
      <c r="N337" s="100" t="e">
        <f t="shared" si="45"/>
        <v>#VALUE!</v>
      </c>
      <c r="O337" s="100">
        <f t="shared" si="46"/>
        <v>0</v>
      </c>
      <c r="P337" s="71"/>
      <c r="Q337" s="64" t="s">
        <v>232</v>
      </c>
      <c r="R337" s="76" t="s">
        <v>323</v>
      </c>
      <c r="S337" s="126">
        <v>60</v>
      </c>
      <c r="T337" s="126">
        <f t="shared" si="47"/>
        <v>3715.8</v>
      </c>
      <c r="U337" s="63" t="s">
        <v>269</v>
      </c>
      <c r="V337" s="151" t="e">
        <f>[1]!Tabella1[[#This Row],[Booking Hours]]</f>
        <v>#REF!</v>
      </c>
      <c r="W337" s="63" t="e">
        <f>[1]!Tabella1[[#This Row],[Booking Period]]</f>
        <v>#REF!</v>
      </c>
      <c r="X337" s="65"/>
    </row>
    <row r="338" spans="1:24" ht="15" x14ac:dyDescent="0.25">
      <c r="A338" s="144" t="s">
        <v>153</v>
      </c>
      <c r="B338" s="72" t="s">
        <v>206</v>
      </c>
      <c r="C338" s="59" t="s">
        <v>216</v>
      </c>
      <c r="D338" s="67" t="s">
        <v>28</v>
      </c>
      <c r="E338" s="49" t="s">
        <v>28</v>
      </c>
      <c r="F338" s="59" t="s">
        <v>222</v>
      </c>
      <c r="G338" s="59" t="s">
        <v>225</v>
      </c>
      <c r="H338" s="98">
        <v>57.21</v>
      </c>
      <c r="I338" s="99">
        <v>61.93</v>
      </c>
      <c r="J338" s="83"/>
      <c r="K338" s="83">
        <f t="shared" si="48"/>
        <v>61.93</v>
      </c>
      <c r="L338" s="136">
        <f t="shared" si="49"/>
        <v>174.91666666666666</v>
      </c>
      <c r="M338" s="136">
        <v>2099</v>
      </c>
      <c r="N338" s="100" t="e">
        <f t="shared" si="45"/>
        <v>#VALUE!</v>
      </c>
      <c r="O338" s="100">
        <f t="shared" si="46"/>
        <v>0</v>
      </c>
      <c r="P338" s="71"/>
      <c r="Q338" s="64" t="s">
        <v>233</v>
      </c>
      <c r="R338" s="76" t="s">
        <v>323</v>
      </c>
      <c r="S338" s="126">
        <v>60</v>
      </c>
      <c r="T338" s="126">
        <f t="shared" si="47"/>
        <v>3715.8</v>
      </c>
      <c r="U338" s="63" t="s">
        <v>269</v>
      </c>
      <c r="V338" s="151" t="e">
        <f>[1]!Tabella1[[#This Row],[Booking Hours]]</f>
        <v>#REF!</v>
      </c>
      <c r="W338" s="60" t="e">
        <f>[1]!Tabella1[[#This Row],[Booking Period]]</f>
        <v>#REF!</v>
      </c>
      <c r="X338" s="65"/>
    </row>
    <row r="339" spans="1:24" ht="15" x14ac:dyDescent="0.25">
      <c r="A339" s="144" t="s">
        <v>153</v>
      </c>
      <c r="B339" s="72" t="s">
        <v>206</v>
      </c>
      <c r="C339" s="59" t="s">
        <v>216</v>
      </c>
      <c r="D339" s="67" t="s">
        <v>28</v>
      </c>
      <c r="E339" s="49" t="s">
        <v>28</v>
      </c>
      <c r="F339" s="59" t="s">
        <v>222</v>
      </c>
      <c r="G339" s="59" t="s">
        <v>225</v>
      </c>
      <c r="H339" s="98">
        <v>57.21</v>
      </c>
      <c r="I339" s="99">
        <v>61.93</v>
      </c>
      <c r="J339" s="83"/>
      <c r="K339" s="83">
        <f t="shared" si="48"/>
        <v>61.93</v>
      </c>
      <c r="L339" s="136">
        <f t="shared" si="49"/>
        <v>174.91666666666666</v>
      </c>
      <c r="M339" s="136">
        <v>2099</v>
      </c>
      <c r="N339" s="100" t="e">
        <f t="shared" si="45"/>
        <v>#VALUE!</v>
      </c>
      <c r="O339" s="100">
        <f t="shared" si="46"/>
        <v>0</v>
      </c>
      <c r="P339" s="71"/>
      <c r="Q339" s="64" t="s">
        <v>230</v>
      </c>
      <c r="R339" s="76" t="s">
        <v>324</v>
      </c>
      <c r="S339" s="126">
        <v>70</v>
      </c>
      <c r="T339" s="126">
        <f t="shared" si="47"/>
        <v>4335.1000000000004</v>
      </c>
      <c r="U339" s="63" t="s">
        <v>269</v>
      </c>
      <c r="V339" s="151" t="e">
        <f>[1]!Tabella1[[#This Row],[Booking Hours]]</f>
        <v>#REF!</v>
      </c>
      <c r="W339" s="63" t="e">
        <f>[1]!Tabella1[[#This Row],[Booking Period]]</f>
        <v>#REF!</v>
      </c>
      <c r="X339" s="65"/>
    </row>
    <row r="340" spans="1:24" ht="15" x14ac:dyDescent="0.25">
      <c r="A340" s="144" t="s">
        <v>153</v>
      </c>
      <c r="B340" s="72" t="s">
        <v>206</v>
      </c>
      <c r="C340" s="59" t="s">
        <v>216</v>
      </c>
      <c r="D340" s="67" t="s">
        <v>28</v>
      </c>
      <c r="E340" s="49" t="s">
        <v>28</v>
      </c>
      <c r="F340" s="59" t="s">
        <v>222</v>
      </c>
      <c r="G340" s="59" t="s">
        <v>225</v>
      </c>
      <c r="H340" s="98">
        <v>57.21</v>
      </c>
      <c r="I340" s="99">
        <v>61.93</v>
      </c>
      <c r="J340" s="83"/>
      <c r="K340" s="83">
        <f t="shared" si="48"/>
        <v>61.93</v>
      </c>
      <c r="L340" s="136">
        <f t="shared" si="49"/>
        <v>174.91666666666666</v>
      </c>
      <c r="M340" s="136">
        <v>2099</v>
      </c>
      <c r="N340" s="100" t="e">
        <f t="shared" si="45"/>
        <v>#VALUE!</v>
      </c>
      <c r="O340" s="100">
        <f t="shared" si="46"/>
        <v>0</v>
      </c>
      <c r="P340" s="71"/>
      <c r="Q340" s="64" t="s">
        <v>234</v>
      </c>
      <c r="R340" s="76" t="s">
        <v>324</v>
      </c>
      <c r="S340" s="126">
        <v>70</v>
      </c>
      <c r="T340" s="126">
        <f t="shared" si="47"/>
        <v>4335.1000000000004</v>
      </c>
      <c r="U340" s="63" t="s">
        <v>270</v>
      </c>
      <c r="V340" s="151"/>
      <c r="W340" s="71" t="s">
        <v>100</v>
      </c>
      <c r="X340" s="65"/>
    </row>
    <row r="341" spans="1:24" ht="15" x14ac:dyDescent="0.25">
      <c r="A341" s="144" t="s">
        <v>153</v>
      </c>
      <c r="B341" s="72" t="s">
        <v>206</v>
      </c>
      <c r="C341" s="59" t="s">
        <v>216</v>
      </c>
      <c r="D341" s="67" t="s">
        <v>28</v>
      </c>
      <c r="E341" s="49" t="s">
        <v>28</v>
      </c>
      <c r="F341" s="59" t="s">
        <v>222</v>
      </c>
      <c r="G341" s="59" t="s">
        <v>225</v>
      </c>
      <c r="H341" s="98">
        <v>57.21</v>
      </c>
      <c r="I341" s="99">
        <v>61.93</v>
      </c>
      <c r="J341" s="83"/>
      <c r="K341" s="83">
        <f t="shared" si="48"/>
        <v>61.93</v>
      </c>
      <c r="L341" s="136">
        <f t="shared" si="49"/>
        <v>174.91666666666666</v>
      </c>
      <c r="M341" s="136">
        <v>2099</v>
      </c>
      <c r="N341" s="100" t="e">
        <f t="shared" si="45"/>
        <v>#VALUE!</v>
      </c>
      <c r="O341" s="100">
        <f t="shared" si="46"/>
        <v>0</v>
      </c>
      <c r="P341" s="71"/>
      <c r="Q341" s="64" t="s">
        <v>235</v>
      </c>
      <c r="R341" s="76" t="s">
        <v>324</v>
      </c>
      <c r="S341" s="126">
        <v>70</v>
      </c>
      <c r="T341" s="126">
        <f t="shared" si="47"/>
        <v>4335.1000000000004</v>
      </c>
      <c r="U341" s="63" t="s">
        <v>271</v>
      </c>
      <c r="V341" s="151"/>
      <c r="W341" s="153" t="s">
        <v>260</v>
      </c>
      <c r="X341" s="65"/>
    </row>
    <row r="342" spans="1:24" ht="15" x14ac:dyDescent="0.25">
      <c r="A342" s="144" t="s">
        <v>153</v>
      </c>
      <c r="B342" s="72" t="s">
        <v>206</v>
      </c>
      <c r="C342" s="59" t="s">
        <v>216</v>
      </c>
      <c r="D342" s="67" t="s">
        <v>28</v>
      </c>
      <c r="E342" s="49" t="s">
        <v>28</v>
      </c>
      <c r="F342" s="59" t="s">
        <v>222</v>
      </c>
      <c r="G342" s="59" t="s">
        <v>225</v>
      </c>
      <c r="H342" s="98">
        <v>57.21</v>
      </c>
      <c r="I342" s="99">
        <v>61.93</v>
      </c>
      <c r="J342" s="83"/>
      <c r="K342" s="83">
        <f t="shared" si="48"/>
        <v>61.93</v>
      </c>
      <c r="L342" s="136">
        <f t="shared" si="49"/>
        <v>174.91666666666666</v>
      </c>
      <c r="M342" s="136">
        <v>2099</v>
      </c>
      <c r="N342" s="100" t="e">
        <f t="shared" si="45"/>
        <v>#VALUE!</v>
      </c>
      <c r="O342" s="100">
        <f t="shared" si="46"/>
        <v>0</v>
      </c>
      <c r="P342" s="71"/>
      <c r="Q342" s="64" t="s">
        <v>232</v>
      </c>
      <c r="R342" s="76" t="s">
        <v>324</v>
      </c>
      <c r="S342" s="126">
        <v>70</v>
      </c>
      <c r="T342" s="126">
        <f t="shared" si="47"/>
        <v>4335.1000000000004</v>
      </c>
      <c r="U342" s="63" t="s">
        <v>269</v>
      </c>
      <c r="V342" s="151" t="e">
        <f>[1]!Tabella1[[#This Row],[Booking Hours]]</f>
        <v>#REF!</v>
      </c>
      <c r="W342" s="63" t="e">
        <f>[1]!Tabella1[[#This Row],[Booking Period]]</f>
        <v>#REF!</v>
      </c>
      <c r="X342" s="65"/>
    </row>
    <row r="343" spans="1:24" ht="15" x14ac:dyDescent="0.25">
      <c r="A343" s="144" t="s">
        <v>153</v>
      </c>
      <c r="B343" s="72" t="s">
        <v>206</v>
      </c>
      <c r="C343" s="59" t="s">
        <v>216</v>
      </c>
      <c r="D343" s="67" t="s">
        <v>28</v>
      </c>
      <c r="E343" s="49" t="s">
        <v>28</v>
      </c>
      <c r="F343" s="59" t="s">
        <v>222</v>
      </c>
      <c r="G343" s="59" t="s">
        <v>225</v>
      </c>
      <c r="H343" s="98">
        <v>57.21</v>
      </c>
      <c r="I343" s="99">
        <v>61.93</v>
      </c>
      <c r="J343" s="83"/>
      <c r="K343" s="83">
        <f t="shared" si="48"/>
        <v>61.93</v>
      </c>
      <c r="L343" s="136">
        <f t="shared" si="49"/>
        <v>174.91666666666666</v>
      </c>
      <c r="M343" s="136">
        <v>2099</v>
      </c>
      <c r="N343" s="100" t="e">
        <f t="shared" si="45"/>
        <v>#VALUE!</v>
      </c>
      <c r="O343" s="100">
        <f t="shared" si="46"/>
        <v>0</v>
      </c>
      <c r="P343" s="71"/>
      <c r="Q343" s="64" t="s">
        <v>233</v>
      </c>
      <c r="R343" s="76" t="s">
        <v>324</v>
      </c>
      <c r="S343" s="126">
        <v>70</v>
      </c>
      <c r="T343" s="126">
        <f t="shared" si="47"/>
        <v>4335.1000000000004</v>
      </c>
      <c r="U343" s="63" t="s">
        <v>269</v>
      </c>
      <c r="V343" s="151" t="e">
        <f>[1]!Tabella1[[#This Row],[Booking Hours]]</f>
        <v>#REF!</v>
      </c>
      <c r="W343" s="60" t="e">
        <f>[1]!Tabella1[[#This Row],[Booking Period]]</f>
        <v>#REF!</v>
      </c>
      <c r="X343" s="65"/>
    </row>
    <row r="344" spans="1:24" ht="15" x14ac:dyDescent="0.25">
      <c r="A344" s="144" t="s">
        <v>153</v>
      </c>
      <c r="B344" s="72" t="s">
        <v>206</v>
      </c>
      <c r="C344" s="59" t="s">
        <v>216</v>
      </c>
      <c r="D344" s="67" t="s">
        <v>28</v>
      </c>
      <c r="E344" s="49" t="s">
        <v>28</v>
      </c>
      <c r="F344" s="59" t="s">
        <v>222</v>
      </c>
      <c r="G344" s="59" t="s">
        <v>225</v>
      </c>
      <c r="H344" s="98">
        <v>57.21</v>
      </c>
      <c r="I344" s="99">
        <v>61.93</v>
      </c>
      <c r="J344" s="83"/>
      <c r="K344" s="83">
        <f t="shared" si="48"/>
        <v>61.93</v>
      </c>
      <c r="L344" s="136">
        <f t="shared" si="49"/>
        <v>174.91666666666666</v>
      </c>
      <c r="M344" s="136">
        <v>2099</v>
      </c>
      <c r="N344" s="100" t="e">
        <f t="shared" si="45"/>
        <v>#VALUE!</v>
      </c>
      <c r="O344" s="100">
        <f t="shared" si="46"/>
        <v>0</v>
      </c>
      <c r="P344" s="71"/>
      <c r="Q344" s="66" t="s">
        <v>238</v>
      </c>
      <c r="R344" s="76" t="s">
        <v>325</v>
      </c>
      <c r="S344" s="126">
        <v>70</v>
      </c>
      <c r="T344" s="126">
        <f t="shared" si="47"/>
        <v>4335.1000000000004</v>
      </c>
      <c r="U344" s="63" t="s">
        <v>269</v>
      </c>
      <c r="V344" s="151">
        <v>0</v>
      </c>
      <c r="W344" s="60" t="s">
        <v>264</v>
      </c>
      <c r="X344" s="65"/>
    </row>
    <row r="345" spans="1:24" ht="15" x14ac:dyDescent="0.25">
      <c r="A345" s="144" t="s">
        <v>153</v>
      </c>
      <c r="B345" s="72" t="s">
        <v>206</v>
      </c>
      <c r="C345" s="59" t="s">
        <v>216</v>
      </c>
      <c r="D345" s="67" t="s">
        <v>28</v>
      </c>
      <c r="E345" s="49" t="s">
        <v>28</v>
      </c>
      <c r="F345" s="59" t="s">
        <v>222</v>
      </c>
      <c r="G345" s="59" t="s">
        <v>225</v>
      </c>
      <c r="H345" s="98">
        <v>57.21</v>
      </c>
      <c r="I345" s="99">
        <v>61.93</v>
      </c>
      <c r="J345" s="83"/>
      <c r="K345" s="83">
        <f t="shared" si="48"/>
        <v>61.93</v>
      </c>
      <c r="L345" s="136">
        <f t="shared" si="49"/>
        <v>174.91666666666666</v>
      </c>
      <c r="M345" s="136">
        <v>2099</v>
      </c>
      <c r="N345" s="100" t="e">
        <f t="shared" si="45"/>
        <v>#VALUE!</v>
      </c>
      <c r="O345" s="100">
        <f t="shared" si="46"/>
        <v>0</v>
      </c>
      <c r="P345" s="71"/>
      <c r="Q345" s="64" t="s">
        <v>230</v>
      </c>
      <c r="R345" s="76" t="s">
        <v>325</v>
      </c>
      <c r="S345" s="126">
        <v>70</v>
      </c>
      <c r="T345" s="126">
        <f t="shared" si="47"/>
        <v>4335.1000000000004</v>
      </c>
      <c r="U345" s="63" t="s">
        <v>269</v>
      </c>
      <c r="V345" s="151" t="e">
        <f>[1]!Tabella1[[#This Row],[Booking Hours]]</f>
        <v>#REF!</v>
      </c>
      <c r="W345" s="63" t="e">
        <f>[1]!Tabella1[[#This Row],[Booking Period]]</f>
        <v>#REF!</v>
      </c>
      <c r="X345" s="65"/>
    </row>
    <row r="346" spans="1:24" ht="15" x14ac:dyDescent="0.25">
      <c r="A346" s="144" t="s">
        <v>153</v>
      </c>
      <c r="B346" s="72" t="s">
        <v>206</v>
      </c>
      <c r="C346" s="59" t="s">
        <v>216</v>
      </c>
      <c r="D346" s="67" t="s">
        <v>28</v>
      </c>
      <c r="E346" s="49" t="s">
        <v>28</v>
      </c>
      <c r="F346" s="59" t="s">
        <v>222</v>
      </c>
      <c r="G346" s="59" t="s">
        <v>225</v>
      </c>
      <c r="H346" s="98">
        <v>57.21</v>
      </c>
      <c r="I346" s="99">
        <v>61.93</v>
      </c>
      <c r="J346" s="83"/>
      <c r="K346" s="83">
        <f t="shared" si="48"/>
        <v>61.93</v>
      </c>
      <c r="L346" s="136">
        <f t="shared" si="49"/>
        <v>174.91666666666666</v>
      </c>
      <c r="M346" s="136">
        <v>2099</v>
      </c>
      <c r="N346" s="100" t="e">
        <f t="shared" si="45"/>
        <v>#VALUE!</v>
      </c>
      <c r="O346" s="100">
        <f t="shared" si="46"/>
        <v>0</v>
      </c>
      <c r="P346" s="71"/>
      <c r="Q346" s="64" t="s">
        <v>234</v>
      </c>
      <c r="R346" s="76" t="s">
        <v>325</v>
      </c>
      <c r="S346" s="126">
        <v>70</v>
      </c>
      <c r="T346" s="126">
        <f t="shared" si="47"/>
        <v>4335.1000000000004</v>
      </c>
      <c r="U346" s="63" t="s">
        <v>270</v>
      </c>
      <c r="V346" s="151" t="e">
        <f>[1]!Tabella1[[#This Row],[Booking Hours]]</f>
        <v>#REF!</v>
      </c>
      <c r="W346" s="60" t="e">
        <f>[1]!Tabella1[[#This Row],[Booking Period]]</f>
        <v>#REF!</v>
      </c>
      <c r="X346" s="65"/>
    </row>
    <row r="347" spans="1:24" ht="15" x14ac:dyDescent="0.25">
      <c r="A347" s="144" t="s">
        <v>153</v>
      </c>
      <c r="B347" s="72" t="s">
        <v>206</v>
      </c>
      <c r="C347" s="59" t="s">
        <v>216</v>
      </c>
      <c r="D347" s="67" t="s">
        <v>28</v>
      </c>
      <c r="E347" s="49" t="s">
        <v>28</v>
      </c>
      <c r="F347" s="59" t="s">
        <v>222</v>
      </c>
      <c r="G347" s="59" t="s">
        <v>225</v>
      </c>
      <c r="H347" s="98">
        <v>57.21</v>
      </c>
      <c r="I347" s="99">
        <v>61.93</v>
      </c>
      <c r="J347" s="83"/>
      <c r="K347" s="83">
        <f t="shared" si="48"/>
        <v>61.93</v>
      </c>
      <c r="L347" s="136">
        <f t="shared" si="49"/>
        <v>174.91666666666666</v>
      </c>
      <c r="M347" s="136">
        <v>2099</v>
      </c>
      <c r="N347" s="100" t="e">
        <f t="shared" si="45"/>
        <v>#VALUE!</v>
      </c>
      <c r="O347" s="100">
        <f t="shared" si="46"/>
        <v>0</v>
      </c>
      <c r="P347" s="71"/>
      <c r="Q347" s="64" t="s">
        <v>235</v>
      </c>
      <c r="R347" s="76" t="s">
        <v>325</v>
      </c>
      <c r="S347" s="126">
        <v>70</v>
      </c>
      <c r="T347" s="126">
        <f t="shared" si="47"/>
        <v>4335.1000000000004</v>
      </c>
      <c r="U347" s="63" t="s">
        <v>271</v>
      </c>
      <c r="V347" s="151"/>
      <c r="W347" s="153" t="s">
        <v>260</v>
      </c>
      <c r="X347" s="65"/>
    </row>
    <row r="348" spans="1:24" ht="15" x14ac:dyDescent="0.25">
      <c r="A348" s="144" t="s">
        <v>153</v>
      </c>
      <c r="B348" s="72" t="s">
        <v>206</v>
      </c>
      <c r="C348" s="59" t="s">
        <v>216</v>
      </c>
      <c r="D348" s="67" t="s">
        <v>28</v>
      </c>
      <c r="E348" s="49" t="s">
        <v>28</v>
      </c>
      <c r="F348" s="59" t="s">
        <v>222</v>
      </c>
      <c r="G348" s="59" t="s">
        <v>225</v>
      </c>
      <c r="H348" s="98">
        <v>57.21</v>
      </c>
      <c r="I348" s="99">
        <v>61.93</v>
      </c>
      <c r="J348" s="83"/>
      <c r="K348" s="83">
        <f t="shared" si="48"/>
        <v>61.93</v>
      </c>
      <c r="L348" s="136">
        <f t="shared" si="49"/>
        <v>174.91666666666666</v>
      </c>
      <c r="M348" s="136">
        <v>2099</v>
      </c>
      <c r="N348" s="100" t="e">
        <f t="shared" si="45"/>
        <v>#VALUE!</v>
      </c>
      <c r="O348" s="100">
        <f t="shared" si="46"/>
        <v>0</v>
      </c>
      <c r="P348" s="71"/>
      <c r="Q348" s="64" t="s">
        <v>232</v>
      </c>
      <c r="R348" s="76" t="s">
        <v>325</v>
      </c>
      <c r="S348" s="126">
        <v>70</v>
      </c>
      <c r="T348" s="126">
        <f t="shared" si="47"/>
        <v>4335.1000000000004</v>
      </c>
      <c r="U348" s="63" t="s">
        <v>269</v>
      </c>
      <c r="V348" s="151">
        <v>0</v>
      </c>
      <c r="W348" s="63" t="s">
        <v>264</v>
      </c>
      <c r="X348" s="65"/>
    </row>
    <row r="349" spans="1:24" ht="15" x14ac:dyDescent="0.25">
      <c r="A349" s="144" t="s">
        <v>153</v>
      </c>
      <c r="B349" s="72" t="s">
        <v>206</v>
      </c>
      <c r="C349" s="59" t="s">
        <v>216</v>
      </c>
      <c r="D349" s="67" t="s">
        <v>28</v>
      </c>
      <c r="E349" s="49" t="s">
        <v>28</v>
      </c>
      <c r="F349" s="59" t="s">
        <v>222</v>
      </c>
      <c r="G349" s="59" t="s">
        <v>225</v>
      </c>
      <c r="H349" s="98">
        <v>57.21</v>
      </c>
      <c r="I349" s="99">
        <v>61.93</v>
      </c>
      <c r="J349" s="83"/>
      <c r="K349" s="83">
        <f t="shared" si="48"/>
        <v>61.93</v>
      </c>
      <c r="L349" s="136">
        <f t="shared" si="49"/>
        <v>174.91666666666666</v>
      </c>
      <c r="M349" s="136">
        <v>2099</v>
      </c>
      <c r="N349" s="100" t="e">
        <f t="shared" si="45"/>
        <v>#VALUE!</v>
      </c>
      <c r="O349" s="100">
        <f t="shared" si="46"/>
        <v>0</v>
      </c>
      <c r="P349" s="71"/>
      <c r="Q349" s="64" t="s">
        <v>233</v>
      </c>
      <c r="R349" s="76" t="s">
        <v>325</v>
      </c>
      <c r="S349" s="126">
        <v>70</v>
      </c>
      <c r="T349" s="126">
        <f t="shared" si="47"/>
        <v>4335.1000000000004</v>
      </c>
      <c r="U349" s="63" t="s">
        <v>269</v>
      </c>
      <c r="V349" s="151" t="e">
        <f>[1]!Tabella1[[#This Row],[Booking Hours]]</f>
        <v>#REF!</v>
      </c>
      <c r="W349" s="60" t="e">
        <f>[1]!Tabella1[[#This Row],[Booking Period]]</f>
        <v>#REF!</v>
      </c>
      <c r="X349" s="65"/>
    </row>
    <row r="350" spans="1:24" ht="15" x14ac:dyDescent="0.25">
      <c r="A350" s="144" t="s">
        <v>153</v>
      </c>
      <c r="B350" s="72" t="s">
        <v>206</v>
      </c>
      <c r="C350" s="59" t="s">
        <v>216</v>
      </c>
      <c r="D350" s="67" t="s">
        <v>28</v>
      </c>
      <c r="E350" s="49" t="s">
        <v>28</v>
      </c>
      <c r="F350" s="59" t="s">
        <v>222</v>
      </c>
      <c r="G350" s="59" t="s">
        <v>225</v>
      </c>
      <c r="H350" s="98">
        <v>57.21</v>
      </c>
      <c r="I350" s="99">
        <v>61.93</v>
      </c>
      <c r="J350" s="83"/>
      <c r="K350" s="83">
        <f t="shared" si="48"/>
        <v>61.93</v>
      </c>
      <c r="L350" s="136">
        <f t="shared" si="49"/>
        <v>174.91666666666666</v>
      </c>
      <c r="M350" s="136">
        <v>2099</v>
      </c>
      <c r="N350" s="100" t="e">
        <f t="shared" si="45"/>
        <v>#VALUE!</v>
      </c>
      <c r="O350" s="100">
        <f t="shared" si="46"/>
        <v>0</v>
      </c>
      <c r="P350" s="71"/>
      <c r="Q350" s="64" t="s">
        <v>230</v>
      </c>
      <c r="R350" s="76" t="s">
        <v>326</v>
      </c>
      <c r="S350" s="126">
        <v>60</v>
      </c>
      <c r="T350" s="126">
        <f t="shared" si="47"/>
        <v>3715.8</v>
      </c>
      <c r="U350" s="63" t="s">
        <v>269</v>
      </c>
      <c r="V350" s="151" t="e">
        <f>[1]!Tabella1[[#This Row],[Booking Hours]]</f>
        <v>#REF!</v>
      </c>
      <c r="W350" s="63" t="e">
        <f>[1]!Tabella1[[#This Row],[Booking Period]]</f>
        <v>#REF!</v>
      </c>
      <c r="X350" s="65"/>
    </row>
    <row r="351" spans="1:24" ht="15" x14ac:dyDescent="0.25">
      <c r="A351" s="144" t="s">
        <v>153</v>
      </c>
      <c r="B351" s="72" t="s">
        <v>206</v>
      </c>
      <c r="C351" s="59" t="s">
        <v>216</v>
      </c>
      <c r="D351" s="67" t="s">
        <v>28</v>
      </c>
      <c r="E351" s="49" t="s">
        <v>28</v>
      </c>
      <c r="F351" s="59" t="s">
        <v>222</v>
      </c>
      <c r="G351" s="59" t="s">
        <v>225</v>
      </c>
      <c r="H351" s="98">
        <v>57.21</v>
      </c>
      <c r="I351" s="99">
        <v>61.93</v>
      </c>
      <c r="J351" s="83"/>
      <c r="K351" s="83">
        <f t="shared" si="48"/>
        <v>61.93</v>
      </c>
      <c r="L351" s="136">
        <f t="shared" si="49"/>
        <v>174.91666666666666</v>
      </c>
      <c r="M351" s="136">
        <v>2099</v>
      </c>
      <c r="N351" s="100" t="e">
        <f t="shared" si="45"/>
        <v>#VALUE!</v>
      </c>
      <c r="O351" s="100">
        <f t="shared" si="46"/>
        <v>0</v>
      </c>
      <c r="P351" s="71"/>
      <c r="Q351" s="64" t="s">
        <v>234</v>
      </c>
      <c r="R351" s="76" t="s">
        <v>326</v>
      </c>
      <c r="S351" s="126">
        <v>60</v>
      </c>
      <c r="T351" s="126">
        <f t="shared" si="47"/>
        <v>3715.8</v>
      </c>
      <c r="U351" s="63" t="s">
        <v>270</v>
      </c>
      <c r="V351" s="151" t="e">
        <f>[1]!Tabella1[[#This Row],[Booking Hours]]</f>
        <v>#REF!</v>
      </c>
      <c r="W351" s="60" t="e">
        <f>[1]!Tabella1[[#This Row],[Booking Period]]</f>
        <v>#REF!</v>
      </c>
      <c r="X351" s="65"/>
    </row>
    <row r="352" spans="1:24" ht="15" x14ac:dyDescent="0.25">
      <c r="A352" s="144" t="s">
        <v>153</v>
      </c>
      <c r="B352" s="72" t="s">
        <v>206</v>
      </c>
      <c r="C352" s="59" t="s">
        <v>216</v>
      </c>
      <c r="D352" s="67" t="s">
        <v>28</v>
      </c>
      <c r="E352" s="49" t="s">
        <v>28</v>
      </c>
      <c r="F352" s="59" t="s">
        <v>222</v>
      </c>
      <c r="G352" s="59" t="s">
        <v>225</v>
      </c>
      <c r="H352" s="98">
        <v>57.21</v>
      </c>
      <c r="I352" s="99">
        <v>61.93</v>
      </c>
      <c r="J352" s="83"/>
      <c r="K352" s="83">
        <f t="shared" si="48"/>
        <v>61.93</v>
      </c>
      <c r="L352" s="136">
        <f t="shared" si="49"/>
        <v>174.91666666666666</v>
      </c>
      <c r="M352" s="136">
        <v>2099</v>
      </c>
      <c r="N352" s="100" t="e">
        <f t="shared" si="45"/>
        <v>#VALUE!</v>
      </c>
      <c r="O352" s="100">
        <f t="shared" si="46"/>
        <v>0</v>
      </c>
      <c r="P352" s="71"/>
      <c r="Q352" s="64" t="s">
        <v>235</v>
      </c>
      <c r="R352" s="76" t="s">
        <v>326</v>
      </c>
      <c r="S352" s="126">
        <v>60</v>
      </c>
      <c r="T352" s="126">
        <f t="shared" si="47"/>
        <v>3715.8</v>
      </c>
      <c r="U352" s="63" t="s">
        <v>271</v>
      </c>
      <c r="V352" s="151"/>
      <c r="W352" s="153" t="s">
        <v>260</v>
      </c>
      <c r="X352" s="65"/>
    </row>
    <row r="353" spans="1:24" ht="15" x14ac:dyDescent="0.25">
      <c r="A353" s="144" t="s">
        <v>153</v>
      </c>
      <c r="B353" s="72" t="s">
        <v>206</v>
      </c>
      <c r="C353" s="59" t="s">
        <v>216</v>
      </c>
      <c r="D353" s="67" t="s">
        <v>28</v>
      </c>
      <c r="E353" s="49" t="s">
        <v>28</v>
      </c>
      <c r="F353" s="59" t="s">
        <v>222</v>
      </c>
      <c r="G353" s="59" t="s">
        <v>225</v>
      </c>
      <c r="H353" s="98">
        <v>57.21</v>
      </c>
      <c r="I353" s="99">
        <v>61.93</v>
      </c>
      <c r="J353" s="83"/>
      <c r="K353" s="83">
        <f t="shared" si="48"/>
        <v>61.93</v>
      </c>
      <c r="L353" s="136">
        <f t="shared" si="49"/>
        <v>174.91666666666666</v>
      </c>
      <c r="M353" s="136">
        <v>2099</v>
      </c>
      <c r="N353" s="100" t="e">
        <f t="shared" si="45"/>
        <v>#VALUE!</v>
      </c>
      <c r="O353" s="100">
        <f t="shared" si="46"/>
        <v>0</v>
      </c>
      <c r="P353" s="71"/>
      <c r="Q353" s="64" t="s">
        <v>232</v>
      </c>
      <c r="R353" s="76" t="s">
        <v>326</v>
      </c>
      <c r="S353" s="126">
        <v>60</v>
      </c>
      <c r="T353" s="126">
        <f t="shared" si="47"/>
        <v>3715.8</v>
      </c>
      <c r="U353" s="63" t="s">
        <v>269</v>
      </c>
      <c r="V353" s="151" t="e">
        <f>[1]!Tabella1[[#This Row],[Booking Hours]]</f>
        <v>#REF!</v>
      </c>
      <c r="W353" s="63" t="e">
        <f>[1]!Tabella1[[#This Row],[Booking Period]]</f>
        <v>#REF!</v>
      </c>
      <c r="X353" s="65"/>
    </row>
    <row r="354" spans="1:24" ht="15" x14ac:dyDescent="0.25">
      <c r="A354" s="144" t="s">
        <v>153</v>
      </c>
      <c r="B354" s="72" t="s">
        <v>206</v>
      </c>
      <c r="C354" s="59" t="s">
        <v>216</v>
      </c>
      <c r="D354" s="67" t="s">
        <v>28</v>
      </c>
      <c r="E354" s="49" t="s">
        <v>28</v>
      </c>
      <c r="F354" s="59" t="s">
        <v>222</v>
      </c>
      <c r="G354" s="59" t="s">
        <v>225</v>
      </c>
      <c r="H354" s="98">
        <v>57.21</v>
      </c>
      <c r="I354" s="99">
        <v>61.93</v>
      </c>
      <c r="J354" s="83"/>
      <c r="K354" s="83">
        <f t="shared" si="48"/>
        <v>61.93</v>
      </c>
      <c r="L354" s="136">
        <f t="shared" si="49"/>
        <v>174.91666666666666</v>
      </c>
      <c r="M354" s="136">
        <v>2099</v>
      </c>
      <c r="N354" s="100" t="e">
        <f t="shared" si="45"/>
        <v>#VALUE!</v>
      </c>
      <c r="O354" s="100">
        <f t="shared" si="46"/>
        <v>0</v>
      </c>
      <c r="P354" s="71"/>
      <c r="Q354" s="64" t="s">
        <v>233</v>
      </c>
      <c r="R354" s="76" t="s">
        <v>326</v>
      </c>
      <c r="S354" s="126">
        <v>60</v>
      </c>
      <c r="T354" s="126">
        <f t="shared" si="47"/>
        <v>3715.8</v>
      </c>
      <c r="U354" s="63" t="s">
        <v>269</v>
      </c>
      <c r="V354" s="151" t="e">
        <f>[1]!Tabella1[[#This Row],[Booking Hours]]</f>
        <v>#REF!</v>
      </c>
      <c r="W354" s="60" t="e">
        <f>[1]!Tabella1[[#This Row],[Booking Period]]</f>
        <v>#REF!</v>
      </c>
      <c r="X354" s="65"/>
    </row>
    <row r="355" spans="1:24" ht="15" x14ac:dyDescent="0.25">
      <c r="A355" s="144" t="s">
        <v>153</v>
      </c>
      <c r="B355" s="72" t="s">
        <v>206</v>
      </c>
      <c r="C355" s="59" t="s">
        <v>216</v>
      </c>
      <c r="D355" s="67" t="s">
        <v>28</v>
      </c>
      <c r="E355" s="49" t="s">
        <v>28</v>
      </c>
      <c r="F355" s="59" t="s">
        <v>222</v>
      </c>
      <c r="G355" s="59" t="s">
        <v>225</v>
      </c>
      <c r="H355" s="98">
        <v>57.21</v>
      </c>
      <c r="I355" s="99">
        <v>61.93</v>
      </c>
      <c r="J355" s="83"/>
      <c r="K355" s="83">
        <f t="shared" si="48"/>
        <v>61.93</v>
      </c>
      <c r="L355" s="136">
        <f t="shared" si="49"/>
        <v>174.91666666666666</v>
      </c>
      <c r="M355" s="136">
        <v>2099</v>
      </c>
      <c r="N355" s="100" t="e">
        <f t="shared" si="45"/>
        <v>#VALUE!</v>
      </c>
      <c r="O355" s="100">
        <f t="shared" si="46"/>
        <v>0</v>
      </c>
      <c r="P355" s="71"/>
      <c r="Q355" s="64" t="s">
        <v>230</v>
      </c>
      <c r="R355" s="76" t="s">
        <v>327</v>
      </c>
      <c r="S355" s="126">
        <v>70</v>
      </c>
      <c r="T355" s="126">
        <f t="shared" si="47"/>
        <v>4335.1000000000004</v>
      </c>
      <c r="U355" s="63" t="s">
        <v>269</v>
      </c>
      <c r="V355" s="151" t="e">
        <f>[1]!Tabella1[[#This Row],[Booking Hours]]</f>
        <v>#REF!</v>
      </c>
      <c r="W355" s="63" t="e">
        <f>[1]!Tabella1[[#This Row],[Booking Period]]</f>
        <v>#REF!</v>
      </c>
      <c r="X355" s="65"/>
    </row>
    <row r="356" spans="1:24" ht="15" x14ac:dyDescent="0.25">
      <c r="A356" s="144" t="s">
        <v>153</v>
      </c>
      <c r="B356" s="72" t="s">
        <v>206</v>
      </c>
      <c r="C356" s="59" t="s">
        <v>216</v>
      </c>
      <c r="D356" s="67" t="s">
        <v>28</v>
      </c>
      <c r="E356" s="49" t="s">
        <v>28</v>
      </c>
      <c r="F356" s="59" t="s">
        <v>222</v>
      </c>
      <c r="G356" s="59" t="s">
        <v>225</v>
      </c>
      <c r="H356" s="98">
        <v>57.21</v>
      </c>
      <c r="I356" s="99">
        <v>61.93</v>
      </c>
      <c r="J356" s="83"/>
      <c r="K356" s="83">
        <f t="shared" si="48"/>
        <v>61.93</v>
      </c>
      <c r="L356" s="136">
        <f t="shared" si="49"/>
        <v>174.91666666666666</v>
      </c>
      <c r="M356" s="136">
        <v>2099</v>
      </c>
      <c r="N356" s="100" t="e">
        <f t="shared" si="45"/>
        <v>#VALUE!</v>
      </c>
      <c r="O356" s="100">
        <f t="shared" si="46"/>
        <v>0</v>
      </c>
      <c r="P356" s="71"/>
      <c r="Q356" s="64" t="s">
        <v>234</v>
      </c>
      <c r="R356" s="76" t="s">
        <v>327</v>
      </c>
      <c r="S356" s="126">
        <v>70</v>
      </c>
      <c r="T356" s="126">
        <f t="shared" si="47"/>
        <v>4335.1000000000004</v>
      </c>
      <c r="U356" s="63" t="s">
        <v>270</v>
      </c>
      <c r="V356" s="151">
        <v>0</v>
      </c>
      <c r="W356" s="60" t="s">
        <v>264</v>
      </c>
      <c r="X356" s="65"/>
    </row>
    <row r="357" spans="1:24" ht="15" x14ac:dyDescent="0.25">
      <c r="A357" s="144" t="s">
        <v>153</v>
      </c>
      <c r="B357" s="72" t="s">
        <v>206</v>
      </c>
      <c r="C357" s="59" t="s">
        <v>216</v>
      </c>
      <c r="D357" s="67" t="s">
        <v>28</v>
      </c>
      <c r="E357" s="49" t="s">
        <v>28</v>
      </c>
      <c r="F357" s="59" t="s">
        <v>222</v>
      </c>
      <c r="G357" s="59" t="s">
        <v>225</v>
      </c>
      <c r="H357" s="98">
        <v>57.21</v>
      </c>
      <c r="I357" s="99">
        <v>61.93</v>
      </c>
      <c r="J357" s="83"/>
      <c r="K357" s="83">
        <f t="shared" si="48"/>
        <v>61.93</v>
      </c>
      <c r="L357" s="136">
        <f t="shared" si="49"/>
        <v>174.91666666666666</v>
      </c>
      <c r="M357" s="136">
        <v>2099</v>
      </c>
      <c r="N357" s="100" t="e">
        <f t="shared" si="45"/>
        <v>#VALUE!</v>
      </c>
      <c r="O357" s="100">
        <f t="shared" si="46"/>
        <v>0</v>
      </c>
      <c r="P357" s="71"/>
      <c r="Q357" s="64" t="s">
        <v>235</v>
      </c>
      <c r="R357" s="76" t="s">
        <v>327</v>
      </c>
      <c r="S357" s="126">
        <v>70</v>
      </c>
      <c r="T357" s="126">
        <f t="shared" si="47"/>
        <v>4335.1000000000004</v>
      </c>
      <c r="U357" s="63" t="s">
        <v>271</v>
      </c>
      <c r="V357" s="151"/>
      <c r="W357" s="153" t="s">
        <v>260</v>
      </c>
      <c r="X357" s="65"/>
    </row>
    <row r="358" spans="1:24" ht="15" x14ac:dyDescent="0.25">
      <c r="A358" s="144" t="s">
        <v>153</v>
      </c>
      <c r="B358" s="72" t="s">
        <v>206</v>
      </c>
      <c r="C358" s="59" t="s">
        <v>216</v>
      </c>
      <c r="D358" s="67" t="s">
        <v>28</v>
      </c>
      <c r="E358" s="49" t="s">
        <v>28</v>
      </c>
      <c r="F358" s="59" t="s">
        <v>222</v>
      </c>
      <c r="G358" s="59" t="s">
        <v>225</v>
      </c>
      <c r="H358" s="98">
        <v>57.21</v>
      </c>
      <c r="I358" s="99">
        <v>61.93</v>
      </c>
      <c r="J358" s="83"/>
      <c r="K358" s="83">
        <f t="shared" si="48"/>
        <v>61.93</v>
      </c>
      <c r="L358" s="136">
        <f t="shared" si="49"/>
        <v>174.91666666666666</v>
      </c>
      <c r="M358" s="136">
        <v>2099</v>
      </c>
      <c r="N358" s="100" t="e">
        <f t="shared" si="45"/>
        <v>#VALUE!</v>
      </c>
      <c r="O358" s="100">
        <f t="shared" si="46"/>
        <v>0</v>
      </c>
      <c r="P358" s="71"/>
      <c r="Q358" s="64" t="s">
        <v>232</v>
      </c>
      <c r="R358" s="76" t="s">
        <v>327</v>
      </c>
      <c r="S358" s="126">
        <v>70</v>
      </c>
      <c r="T358" s="126">
        <f t="shared" si="47"/>
        <v>4335.1000000000004</v>
      </c>
      <c r="U358" s="63" t="s">
        <v>269</v>
      </c>
      <c r="V358" s="151" t="e">
        <f>[1]!Tabella1[[#This Row],[Booking Hours]]</f>
        <v>#REF!</v>
      </c>
      <c r="W358" s="63" t="e">
        <f>[1]!Tabella1[[#This Row],[Booking Period]]</f>
        <v>#REF!</v>
      </c>
      <c r="X358" s="65"/>
    </row>
    <row r="359" spans="1:24" ht="15" x14ac:dyDescent="0.25">
      <c r="A359" s="144" t="s">
        <v>153</v>
      </c>
      <c r="B359" s="72" t="s">
        <v>206</v>
      </c>
      <c r="C359" s="59" t="s">
        <v>216</v>
      </c>
      <c r="D359" s="67" t="s">
        <v>28</v>
      </c>
      <c r="E359" s="49" t="s">
        <v>28</v>
      </c>
      <c r="F359" s="59" t="s">
        <v>222</v>
      </c>
      <c r="G359" s="59" t="s">
        <v>225</v>
      </c>
      <c r="H359" s="98">
        <v>57.21</v>
      </c>
      <c r="I359" s="99">
        <v>61.93</v>
      </c>
      <c r="J359" s="83"/>
      <c r="K359" s="83">
        <f t="shared" si="48"/>
        <v>61.93</v>
      </c>
      <c r="L359" s="136">
        <f t="shared" si="49"/>
        <v>174.91666666666666</v>
      </c>
      <c r="M359" s="136">
        <v>2099</v>
      </c>
      <c r="N359" s="100" t="e">
        <f t="shared" si="45"/>
        <v>#VALUE!</v>
      </c>
      <c r="O359" s="100">
        <f t="shared" si="46"/>
        <v>0</v>
      </c>
      <c r="P359" s="71"/>
      <c r="Q359" s="64" t="s">
        <v>233</v>
      </c>
      <c r="R359" s="76" t="s">
        <v>327</v>
      </c>
      <c r="S359" s="126">
        <v>70</v>
      </c>
      <c r="T359" s="126">
        <f t="shared" si="47"/>
        <v>4335.1000000000004</v>
      </c>
      <c r="U359" s="63" t="s">
        <v>269</v>
      </c>
      <c r="V359" s="151" t="e">
        <f>[1]!Tabella1[[#This Row],[Booking Hours]]</f>
        <v>#REF!</v>
      </c>
      <c r="W359" s="60" t="e">
        <f>[1]!Tabella1[[#This Row],[Booking Period]]</f>
        <v>#REF!</v>
      </c>
      <c r="X359" s="65"/>
    </row>
    <row r="360" spans="1:24" ht="15" x14ac:dyDescent="0.25">
      <c r="A360" s="144" t="s">
        <v>153</v>
      </c>
      <c r="B360" s="59" t="s">
        <v>207</v>
      </c>
      <c r="C360" s="59" t="s">
        <v>216</v>
      </c>
      <c r="D360" s="63" t="s">
        <v>220</v>
      </c>
      <c r="E360" s="49" t="s">
        <v>440</v>
      </c>
      <c r="F360" s="59" t="s">
        <v>222</v>
      </c>
      <c r="G360" s="59" t="s">
        <v>225</v>
      </c>
      <c r="H360" s="98">
        <v>57.21</v>
      </c>
      <c r="I360" s="99">
        <v>61.93</v>
      </c>
      <c r="J360" s="99"/>
      <c r="K360" s="83">
        <f t="shared" si="48"/>
        <v>61.93</v>
      </c>
      <c r="L360" s="136">
        <f t="shared" si="49"/>
        <v>131.1875</v>
      </c>
      <c r="M360" s="139">
        <v>1574.25</v>
      </c>
      <c r="N360" s="100" t="e">
        <f t="shared" si="45"/>
        <v>#VALUE!</v>
      </c>
      <c r="O360" s="100">
        <f t="shared" si="46"/>
        <v>0</v>
      </c>
      <c r="P360" s="71"/>
      <c r="Q360" s="64" t="s">
        <v>236</v>
      </c>
      <c r="R360" s="63" t="s">
        <v>314</v>
      </c>
      <c r="S360" s="126">
        <f>((45*4)*6)/2</f>
        <v>540</v>
      </c>
      <c r="T360" s="126">
        <f t="shared" si="47"/>
        <v>33442.199999999997</v>
      </c>
      <c r="U360" s="67" t="s">
        <v>328</v>
      </c>
      <c r="V360" s="151">
        <v>0</v>
      </c>
      <c r="W360" s="60" t="s">
        <v>264</v>
      </c>
      <c r="X360" s="65"/>
    </row>
    <row r="361" spans="1:24" ht="15" x14ac:dyDescent="0.25">
      <c r="A361" s="144" t="s">
        <v>153</v>
      </c>
      <c r="B361" s="59" t="s">
        <v>207</v>
      </c>
      <c r="C361" s="59" t="s">
        <v>216</v>
      </c>
      <c r="D361" s="63" t="s">
        <v>220</v>
      </c>
      <c r="E361" s="49" t="s">
        <v>440</v>
      </c>
      <c r="F361" s="59" t="s">
        <v>222</v>
      </c>
      <c r="G361" s="59" t="s">
        <v>225</v>
      </c>
      <c r="H361" s="98">
        <v>57.21</v>
      </c>
      <c r="I361" s="99">
        <v>61.93</v>
      </c>
      <c r="J361" s="99"/>
      <c r="K361" s="83">
        <f t="shared" si="48"/>
        <v>61.93</v>
      </c>
      <c r="L361" s="136">
        <f t="shared" si="49"/>
        <v>131.1875</v>
      </c>
      <c r="M361" s="139">
        <v>1574.25</v>
      </c>
      <c r="N361" s="100" t="e">
        <f t="shared" si="45"/>
        <v>#VALUE!</v>
      </c>
      <c r="O361" s="100">
        <f t="shared" si="46"/>
        <v>0</v>
      </c>
      <c r="P361" s="71"/>
      <c r="Q361" s="64" t="s">
        <v>232</v>
      </c>
      <c r="R361" s="63" t="s">
        <v>253</v>
      </c>
      <c r="S361" s="126">
        <f>((45*4)*12)/2</f>
        <v>1080</v>
      </c>
      <c r="T361" s="126">
        <f t="shared" si="47"/>
        <v>66884.399999999994</v>
      </c>
      <c r="U361" s="67" t="s">
        <v>252</v>
      </c>
      <c r="V361" s="151"/>
      <c r="W361" s="63" t="s">
        <v>257</v>
      </c>
      <c r="X361" s="65"/>
    </row>
    <row r="362" spans="1:24" ht="15" x14ac:dyDescent="0.25">
      <c r="A362" s="144" t="s">
        <v>153</v>
      </c>
      <c r="B362" s="59" t="s">
        <v>41</v>
      </c>
      <c r="C362" s="59" t="s">
        <v>217</v>
      </c>
      <c r="D362" s="63" t="s">
        <v>35</v>
      </c>
      <c r="E362" s="49" t="s">
        <v>35</v>
      </c>
      <c r="F362" s="59" t="s">
        <v>222</v>
      </c>
      <c r="G362" s="59" t="s">
        <v>226</v>
      </c>
      <c r="H362" s="82">
        <v>84.82</v>
      </c>
      <c r="I362" s="99">
        <v>91.81</v>
      </c>
      <c r="J362" s="83"/>
      <c r="K362" s="83">
        <f t="shared" si="48"/>
        <v>91.81</v>
      </c>
      <c r="L362" s="136">
        <f t="shared" si="49"/>
        <v>181.75</v>
      </c>
      <c r="M362" s="136">
        <v>2181</v>
      </c>
      <c r="N362" s="100" t="e">
        <f t="shared" si="45"/>
        <v>#VALUE!</v>
      </c>
      <c r="O362" s="100">
        <f t="shared" si="46"/>
        <v>0</v>
      </c>
      <c r="P362" s="71"/>
      <c r="Q362" s="64" t="s">
        <v>234</v>
      </c>
      <c r="R362" s="63" t="s">
        <v>79</v>
      </c>
      <c r="S362" s="126">
        <v>65</v>
      </c>
      <c r="T362" s="126">
        <f t="shared" si="47"/>
        <v>5967.6500000000005</v>
      </c>
      <c r="U362" s="67" t="s">
        <v>258</v>
      </c>
      <c r="V362" s="151">
        <v>0</v>
      </c>
      <c r="W362" s="60" t="s">
        <v>264</v>
      </c>
      <c r="X362" s="65"/>
    </row>
    <row r="363" spans="1:24" ht="15" x14ac:dyDescent="0.25">
      <c r="A363" s="144" t="s">
        <v>153</v>
      </c>
      <c r="B363" s="59" t="s">
        <v>41</v>
      </c>
      <c r="C363" s="59" t="s">
        <v>217</v>
      </c>
      <c r="D363" s="63" t="s">
        <v>35</v>
      </c>
      <c r="E363" s="49" t="s">
        <v>35</v>
      </c>
      <c r="F363" s="59" t="s">
        <v>222</v>
      </c>
      <c r="G363" s="59" t="s">
        <v>226</v>
      </c>
      <c r="H363" s="82">
        <v>84.82</v>
      </c>
      <c r="I363" s="99">
        <v>91.81</v>
      </c>
      <c r="J363" s="83"/>
      <c r="K363" s="83">
        <f t="shared" si="48"/>
        <v>91.81</v>
      </c>
      <c r="L363" s="136">
        <f t="shared" si="49"/>
        <v>181.75</v>
      </c>
      <c r="M363" s="136">
        <v>2181</v>
      </c>
      <c r="N363" s="100" t="e">
        <f t="shared" si="45"/>
        <v>#VALUE!</v>
      </c>
      <c r="O363" s="100">
        <f t="shared" si="46"/>
        <v>0</v>
      </c>
      <c r="P363" s="71"/>
      <c r="Q363" s="64" t="s">
        <v>232</v>
      </c>
      <c r="R363" s="63" t="s">
        <v>329</v>
      </c>
      <c r="S363" s="126">
        <v>70</v>
      </c>
      <c r="T363" s="126">
        <f t="shared" si="47"/>
        <v>6426.7</v>
      </c>
      <c r="U363" s="67" t="s">
        <v>256</v>
      </c>
      <c r="V363" s="151" t="e">
        <f>[1]!Tabella1[[#This Row],[Booking Hours]]</f>
        <v>#REF!</v>
      </c>
      <c r="W363" s="63" t="e">
        <f>[1]!Tabella1[[#This Row],[Booking Period]]</f>
        <v>#REF!</v>
      </c>
      <c r="X363" s="65"/>
    </row>
    <row r="364" spans="1:24" ht="15" x14ac:dyDescent="0.25">
      <c r="A364" s="144" t="s">
        <v>153</v>
      </c>
      <c r="B364" s="59" t="s">
        <v>41</v>
      </c>
      <c r="C364" s="59" t="s">
        <v>217</v>
      </c>
      <c r="D364" s="63" t="s">
        <v>35</v>
      </c>
      <c r="E364" s="49" t="s">
        <v>35</v>
      </c>
      <c r="F364" s="59" t="s">
        <v>222</v>
      </c>
      <c r="G364" s="59" t="s">
        <v>226</v>
      </c>
      <c r="H364" s="82">
        <v>84.82</v>
      </c>
      <c r="I364" s="99">
        <v>91.81</v>
      </c>
      <c r="J364" s="83"/>
      <c r="K364" s="83">
        <f t="shared" si="48"/>
        <v>91.81</v>
      </c>
      <c r="L364" s="136">
        <f t="shared" si="49"/>
        <v>181.75</v>
      </c>
      <c r="M364" s="136">
        <v>2181</v>
      </c>
      <c r="N364" s="100" t="e">
        <f t="shared" si="45"/>
        <v>#VALUE!</v>
      </c>
      <c r="O364" s="100">
        <f t="shared" si="46"/>
        <v>0</v>
      </c>
      <c r="P364" s="71"/>
      <c r="Q364" s="64" t="s">
        <v>233</v>
      </c>
      <c r="R364" s="63" t="s">
        <v>329</v>
      </c>
      <c r="S364" s="126">
        <v>70</v>
      </c>
      <c r="T364" s="126">
        <f t="shared" si="47"/>
        <v>6426.7</v>
      </c>
      <c r="U364" s="67" t="s">
        <v>256</v>
      </c>
      <c r="V364" s="151"/>
      <c r="W364" s="71" t="s">
        <v>100</v>
      </c>
      <c r="X364" s="65"/>
    </row>
    <row r="365" spans="1:24" ht="15" x14ac:dyDescent="0.25">
      <c r="A365" s="144" t="s">
        <v>153</v>
      </c>
      <c r="B365" s="59" t="s">
        <v>41</v>
      </c>
      <c r="C365" s="59" t="s">
        <v>217</v>
      </c>
      <c r="D365" s="63" t="s">
        <v>35</v>
      </c>
      <c r="E365" s="49" t="s">
        <v>35</v>
      </c>
      <c r="F365" s="59" t="s">
        <v>222</v>
      </c>
      <c r="G365" s="59" t="s">
        <v>226</v>
      </c>
      <c r="H365" s="82">
        <v>84.82</v>
      </c>
      <c r="I365" s="99">
        <v>91.81</v>
      </c>
      <c r="J365" s="83"/>
      <c r="K365" s="83">
        <f t="shared" si="48"/>
        <v>91.81</v>
      </c>
      <c r="L365" s="136">
        <f t="shared" si="49"/>
        <v>181.75</v>
      </c>
      <c r="M365" s="136">
        <v>2181</v>
      </c>
      <c r="N365" s="100" t="e">
        <f t="shared" si="45"/>
        <v>#VALUE!</v>
      </c>
      <c r="O365" s="100">
        <f t="shared" si="46"/>
        <v>0</v>
      </c>
      <c r="P365" s="71"/>
      <c r="Q365" s="64" t="s">
        <v>232</v>
      </c>
      <c r="R365" s="63" t="s">
        <v>76</v>
      </c>
      <c r="S365" s="126">
        <v>40</v>
      </c>
      <c r="T365" s="126">
        <f t="shared" si="47"/>
        <v>3672.4</v>
      </c>
      <c r="U365" s="67" t="s">
        <v>256</v>
      </c>
      <c r="V365" s="151"/>
      <c r="W365" s="63" t="s">
        <v>257</v>
      </c>
      <c r="X365" s="65"/>
    </row>
    <row r="366" spans="1:24" ht="15" x14ac:dyDescent="0.25">
      <c r="A366" s="144" t="s">
        <v>153</v>
      </c>
      <c r="B366" s="59" t="s">
        <v>41</v>
      </c>
      <c r="C366" s="59" t="s">
        <v>217</v>
      </c>
      <c r="D366" s="63" t="s">
        <v>35</v>
      </c>
      <c r="E366" s="49" t="s">
        <v>35</v>
      </c>
      <c r="F366" s="59" t="s">
        <v>222</v>
      </c>
      <c r="G366" s="59" t="s">
        <v>226</v>
      </c>
      <c r="H366" s="82">
        <v>84.82</v>
      </c>
      <c r="I366" s="99">
        <v>91.81</v>
      </c>
      <c r="J366" s="83"/>
      <c r="K366" s="83">
        <f t="shared" si="48"/>
        <v>91.81</v>
      </c>
      <c r="L366" s="136">
        <f t="shared" si="49"/>
        <v>181.75</v>
      </c>
      <c r="M366" s="136">
        <v>2181</v>
      </c>
      <c r="N366" s="100" t="e">
        <f t="shared" si="45"/>
        <v>#VALUE!</v>
      </c>
      <c r="O366" s="100">
        <f t="shared" si="46"/>
        <v>0</v>
      </c>
      <c r="P366" s="71"/>
      <c r="Q366" s="64" t="s">
        <v>233</v>
      </c>
      <c r="R366" s="63" t="s">
        <v>76</v>
      </c>
      <c r="S366" s="126">
        <v>40</v>
      </c>
      <c r="T366" s="126">
        <f t="shared" si="47"/>
        <v>3672.4</v>
      </c>
      <c r="U366" s="67" t="s">
        <v>256</v>
      </c>
      <c r="V366" s="151"/>
      <c r="W366" s="71" t="s">
        <v>100</v>
      </c>
      <c r="X366" s="65"/>
    </row>
    <row r="367" spans="1:24" ht="15" x14ac:dyDescent="0.25">
      <c r="A367" s="144" t="s">
        <v>153</v>
      </c>
      <c r="B367" s="59" t="s">
        <v>41</v>
      </c>
      <c r="C367" s="59" t="s">
        <v>217</v>
      </c>
      <c r="D367" s="63" t="s">
        <v>35</v>
      </c>
      <c r="E367" s="49" t="s">
        <v>35</v>
      </c>
      <c r="F367" s="59" t="s">
        <v>222</v>
      </c>
      <c r="G367" s="59" t="s">
        <v>226</v>
      </c>
      <c r="H367" s="82">
        <v>84.82</v>
      </c>
      <c r="I367" s="99">
        <v>91.81</v>
      </c>
      <c r="J367" s="83"/>
      <c r="K367" s="83">
        <f t="shared" si="48"/>
        <v>91.81</v>
      </c>
      <c r="L367" s="136">
        <f t="shared" si="49"/>
        <v>181.75</v>
      </c>
      <c r="M367" s="136">
        <v>2181</v>
      </c>
      <c r="N367" s="100" t="e">
        <f t="shared" si="45"/>
        <v>#VALUE!</v>
      </c>
      <c r="O367" s="100">
        <f t="shared" si="46"/>
        <v>0</v>
      </c>
      <c r="P367" s="71"/>
      <c r="Q367" s="64" t="s">
        <v>234</v>
      </c>
      <c r="R367" s="63" t="s">
        <v>76</v>
      </c>
      <c r="S367" s="126">
        <v>40</v>
      </c>
      <c r="T367" s="126">
        <f t="shared" si="47"/>
        <v>3672.4</v>
      </c>
      <c r="U367" s="67" t="s">
        <v>308</v>
      </c>
      <c r="V367" s="151" t="e">
        <f>[1]!Tabella1[[#This Row],[Booking Hours]]</f>
        <v>#REF!</v>
      </c>
      <c r="W367" s="60" t="e">
        <f>[1]!Tabella1[[#This Row],[Booking Period]]</f>
        <v>#REF!</v>
      </c>
      <c r="X367" s="65"/>
    </row>
    <row r="368" spans="1:24" ht="15" x14ac:dyDescent="0.25">
      <c r="A368" s="144" t="s">
        <v>153</v>
      </c>
      <c r="B368" s="59" t="s">
        <v>41</v>
      </c>
      <c r="C368" s="59" t="s">
        <v>217</v>
      </c>
      <c r="D368" s="63" t="s">
        <v>35</v>
      </c>
      <c r="E368" s="49" t="s">
        <v>35</v>
      </c>
      <c r="F368" s="59" t="s">
        <v>222</v>
      </c>
      <c r="G368" s="59" t="s">
        <v>226</v>
      </c>
      <c r="H368" s="82">
        <v>84.82</v>
      </c>
      <c r="I368" s="99">
        <v>91.81</v>
      </c>
      <c r="J368" s="83"/>
      <c r="K368" s="83">
        <f t="shared" si="48"/>
        <v>91.81</v>
      </c>
      <c r="L368" s="136">
        <f t="shared" si="49"/>
        <v>181.75</v>
      </c>
      <c r="M368" s="136">
        <v>2181</v>
      </c>
      <c r="N368" s="100" t="e">
        <f t="shared" si="45"/>
        <v>#VALUE!</v>
      </c>
      <c r="O368" s="100">
        <f t="shared" si="46"/>
        <v>0</v>
      </c>
      <c r="P368" s="71"/>
      <c r="Q368" s="64" t="s">
        <v>235</v>
      </c>
      <c r="R368" s="63" t="s">
        <v>76</v>
      </c>
      <c r="S368" s="126">
        <v>40</v>
      </c>
      <c r="T368" s="126">
        <f t="shared" si="47"/>
        <v>3672.4</v>
      </c>
      <c r="U368" s="67" t="s">
        <v>276</v>
      </c>
      <c r="V368" s="151"/>
      <c r="W368" s="153" t="s">
        <v>260</v>
      </c>
      <c r="X368" s="65"/>
    </row>
    <row r="369" spans="1:24" ht="15" x14ac:dyDescent="0.25">
      <c r="A369" s="144" t="s">
        <v>153</v>
      </c>
      <c r="B369" s="59" t="s">
        <v>41</v>
      </c>
      <c r="C369" s="59" t="s">
        <v>217</v>
      </c>
      <c r="D369" s="63" t="s">
        <v>35</v>
      </c>
      <c r="E369" s="49" t="s">
        <v>35</v>
      </c>
      <c r="F369" s="59" t="s">
        <v>222</v>
      </c>
      <c r="G369" s="59" t="s">
        <v>226</v>
      </c>
      <c r="H369" s="82">
        <v>84.82</v>
      </c>
      <c r="I369" s="99">
        <v>91.81</v>
      </c>
      <c r="J369" s="83"/>
      <c r="K369" s="83">
        <f t="shared" si="48"/>
        <v>91.81</v>
      </c>
      <c r="L369" s="136">
        <f t="shared" si="49"/>
        <v>181.75</v>
      </c>
      <c r="M369" s="136">
        <v>2181</v>
      </c>
      <c r="N369" s="100" t="e">
        <f t="shared" si="45"/>
        <v>#VALUE!</v>
      </c>
      <c r="O369" s="100">
        <f t="shared" si="46"/>
        <v>0</v>
      </c>
      <c r="P369" s="71"/>
      <c r="Q369" s="64" t="s">
        <v>232</v>
      </c>
      <c r="R369" s="63" t="s">
        <v>74</v>
      </c>
      <c r="S369" s="126">
        <v>40</v>
      </c>
      <c r="T369" s="126">
        <f t="shared" si="47"/>
        <v>3672.4</v>
      </c>
      <c r="U369" s="67" t="s">
        <v>256</v>
      </c>
      <c r="V369" s="151"/>
      <c r="W369" s="63" t="s">
        <v>257</v>
      </c>
      <c r="X369" s="65"/>
    </row>
    <row r="370" spans="1:24" ht="15" x14ac:dyDescent="0.25">
      <c r="A370" s="144" t="s">
        <v>153</v>
      </c>
      <c r="B370" s="59" t="s">
        <v>41</v>
      </c>
      <c r="C370" s="59" t="s">
        <v>217</v>
      </c>
      <c r="D370" s="63" t="s">
        <v>35</v>
      </c>
      <c r="E370" s="49" t="s">
        <v>35</v>
      </c>
      <c r="F370" s="59" t="s">
        <v>222</v>
      </c>
      <c r="G370" s="59" t="s">
        <v>226</v>
      </c>
      <c r="H370" s="82">
        <v>84.82</v>
      </c>
      <c r="I370" s="99">
        <v>91.81</v>
      </c>
      <c r="J370" s="83"/>
      <c r="K370" s="83">
        <f t="shared" si="48"/>
        <v>91.81</v>
      </c>
      <c r="L370" s="136">
        <f t="shared" si="49"/>
        <v>181.75</v>
      </c>
      <c r="M370" s="136">
        <v>2181</v>
      </c>
      <c r="N370" s="100" t="e">
        <f t="shared" si="45"/>
        <v>#VALUE!</v>
      </c>
      <c r="O370" s="100">
        <f t="shared" si="46"/>
        <v>0</v>
      </c>
      <c r="P370" s="71"/>
      <c r="Q370" s="64" t="s">
        <v>233</v>
      </c>
      <c r="R370" s="63" t="s">
        <v>74</v>
      </c>
      <c r="S370" s="126">
        <v>40</v>
      </c>
      <c r="T370" s="126">
        <f t="shared" si="47"/>
        <v>3672.4</v>
      </c>
      <c r="U370" s="67" t="s">
        <v>308</v>
      </c>
      <c r="V370" s="151" t="e">
        <f>[1]!Tabella1[[#This Row],[Booking Hours]]</f>
        <v>#REF!</v>
      </c>
      <c r="W370" s="60" t="e">
        <f>[1]!Tabella1[[#This Row],[Booking Period]]</f>
        <v>#REF!</v>
      </c>
      <c r="X370" s="65"/>
    </row>
    <row r="371" spans="1:24" ht="15" x14ac:dyDescent="0.25">
      <c r="A371" s="144" t="s">
        <v>153</v>
      </c>
      <c r="B371" s="59" t="s">
        <v>41</v>
      </c>
      <c r="C371" s="59" t="s">
        <v>217</v>
      </c>
      <c r="D371" s="63" t="s">
        <v>35</v>
      </c>
      <c r="E371" s="49" t="s">
        <v>35</v>
      </c>
      <c r="F371" s="59" t="s">
        <v>222</v>
      </c>
      <c r="G371" s="59" t="s">
        <v>226</v>
      </c>
      <c r="H371" s="82">
        <v>84.82</v>
      </c>
      <c r="I371" s="99">
        <v>91.81</v>
      </c>
      <c r="J371" s="83"/>
      <c r="K371" s="83">
        <f t="shared" si="48"/>
        <v>91.81</v>
      </c>
      <c r="L371" s="136">
        <f t="shared" si="49"/>
        <v>181.75</v>
      </c>
      <c r="M371" s="136">
        <v>2181</v>
      </c>
      <c r="N371" s="100" t="e">
        <f t="shared" si="45"/>
        <v>#VALUE!</v>
      </c>
      <c r="O371" s="100">
        <f t="shared" si="46"/>
        <v>0</v>
      </c>
      <c r="P371" s="71"/>
      <c r="Q371" s="64" t="s">
        <v>234</v>
      </c>
      <c r="R371" s="63" t="s">
        <v>74</v>
      </c>
      <c r="S371" s="126">
        <v>40</v>
      </c>
      <c r="T371" s="126">
        <f t="shared" si="47"/>
        <v>3672.4</v>
      </c>
      <c r="U371" s="67" t="s">
        <v>308</v>
      </c>
      <c r="V371" s="151" t="e">
        <f>[1]!Tabella1[[#This Row],[Booking Hours]]</f>
        <v>#REF!</v>
      </c>
      <c r="W371" s="60" t="e">
        <f>[1]!Tabella1[[#This Row],[Booking Period]]</f>
        <v>#REF!</v>
      </c>
      <c r="X371" s="65"/>
    </row>
    <row r="372" spans="1:24" ht="15" x14ac:dyDescent="0.25">
      <c r="A372" s="144" t="s">
        <v>153</v>
      </c>
      <c r="B372" s="59" t="s">
        <v>41</v>
      </c>
      <c r="C372" s="59" t="s">
        <v>217</v>
      </c>
      <c r="D372" s="63" t="s">
        <v>35</v>
      </c>
      <c r="E372" s="49" t="s">
        <v>35</v>
      </c>
      <c r="F372" s="59" t="s">
        <v>222</v>
      </c>
      <c r="G372" s="59" t="s">
        <v>226</v>
      </c>
      <c r="H372" s="82">
        <v>84.82</v>
      </c>
      <c r="I372" s="99">
        <v>91.81</v>
      </c>
      <c r="J372" s="83"/>
      <c r="K372" s="83">
        <f t="shared" si="48"/>
        <v>91.81</v>
      </c>
      <c r="L372" s="136">
        <f t="shared" si="49"/>
        <v>181.75</v>
      </c>
      <c r="M372" s="136">
        <v>2181</v>
      </c>
      <c r="N372" s="100" t="e">
        <f t="shared" si="45"/>
        <v>#VALUE!</v>
      </c>
      <c r="O372" s="100">
        <f t="shared" si="46"/>
        <v>0</v>
      </c>
      <c r="P372" s="71"/>
      <c r="Q372" s="64" t="s">
        <v>235</v>
      </c>
      <c r="R372" s="63" t="s">
        <v>74</v>
      </c>
      <c r="S372" s="126">
        <v>40</v>
      </c>
      <c r="T372" s="126">
        <f t="shared" si="47"/>
        <v>3672.4</v>
      </c>
      <c r="U372" s="67" t="s">
        <v>276</v>
      </c>
      <c r="V372" s="151"/>
      <c r="W372" s="153" t="s">
        <v>260</v>
      </c>
      <c r="X372" s="65"/>
    </row>
    <row r="373" spans="1:24" ht="15" x14ac:dyDescent="0.25">
      <c r="A373" s="144" t="s">
        <v>153</v>
      </c>
      <c r="B373" s="59" t="s">
        <v>41</v>
      </c>
      <c r="C373" s="59" t="s">
        <v>217</v>
      </c>
      <c r="D373" s="63" t="s">
        <v>35</v>
      </c>
      <c r="E373" s="49" t="s">
        <v>35</v>
      </c>
      <c r="F373" s="59" t="s">
        <v>222</v>
      </c>
      <c r="G373" s="59" t="s">
        <v>226</v>
      </c>
      <c r="H373" s="82">
        <v>84.82</v>
      </c>
      <c r="I373" s="99">
        <v>91.81</v>
      </c>
      <c r="J373" s="83"/>
      <c r="K373" s="83">
        <f t="shared" si="48"/>
        <v>91.81</v>
      </c>
      <c r="L373" s="136">
        <f t="shared" si="49"/>
        <v>181.75</v>
      </c>
      <c r="M373" s="136">
        <v>2181</v>
      </c>
      <c r="N373" s="100" t="e">
        <f t="shared" si="45"/>
        <v>#VALUE!</v>
      </c>
      <c r="O373" s="100">
        <f t="shared" si="46"/>
        <v>0</v>
      </c>
      <c r="P373" s="71"/>
      <c r="Q373" s="64" t="s">
        <v>232</v>
      </c>
      <c r="R373" s="63" t="s">
        <v>77</v>
      </c>
      <c r="S373" s="126">
        <v>40</v>
      </c>
      <c r="T373" s="126">
        <f t="shared" si="47"/>
        <v>3672.4</v>
      </c>
      <c r="U373" s="67" t="s">
        <v>256</v>
      </c>
      <c r="V373" s="151"/>
      <c r="W373" s="63" t="s">
        <v>257</v>
      </c>
      <c r="X373" s="65"/>
    </row>
    <row r="374" spans="1:24" ht="15" x14ac:dyDescent="0.25">
      <c r="A374" s="144" t="s">
        <v>153</v>
      </c>
      <c r="B374" s="59" t="s">
        <v>41</v>
      </c>
      <c r="C374" s="59" t="s">
        <v>217</v>
      </c>
      <c r="D374" s="63" t="s">
        <v>35</v>
      </c>
      <c r="E374" s="49" t="s">
        <v>35</v>
      </c>
      <c r="F374" s="59" t="s">
        <v>222</v>
      </c>
      <c r="G374" s="59" t="s">
        <v>226</v>
      </c>
      <c r="H374" s="82">
        <v>84.82</v>
      </c>
      <c r="I374" s="99">
        <v>91.81</v>
      </c>
      <c r="J374" s="83"/>
      <c r="K374" s="83">
        <f t="shared" si="48"/>
        <v>91.81</v>
      </c>
      <c r="L374" s="136">
        <f t="shared" si="49"/>
        <v>181.75</v>
      </c>
      <c r="M374" s="136">
        <v>2181</v>
      </c>
      <c r="N374" s="100" t="e">
        <f t="shared" si="45"/>
        <v>#VALUE!</v>
      </c>
      <c r="O374" s="100">
        <f t="shared" si="46"/>
        <v>0</v>
      </c>
      <c r="P374" s="71"/>
      <c r="Q374" s="64" t="s">
        <v>233</v>
      </c>
      <c r="R374" s="63" t="s">
        <v>77</v>
      </c>
      <c r="S374" s="126">
        <v>40</v>
      </c>
      <c r="T374" s="126">
        <f t="shared" si="47"/>
        <v>3672.4</v>
      </c>
      <c r="U374" s="67" t="s">
        <v>308</v>
      </c>
      <c r="V374" s="151" t="e">
        <f>[1]!Tabella1[[#This Row],[Booking Hours]]</f>
        <v>#REF!</v>
      </c>
      <c r="W374" s="60" t="e">
        <f>[1]!Tabella1[[#This Row],[Booking Period]]</f>
        <v>#REF!</v>
      </c>
      <c r="X374" s="65"/>
    </row>
    <row r="375" spans="1:24" ht="15" x14ac:dyDescent="0.25">
      <c r="A375" s="144" t="s">
        <v>153</v>
      </c>
      <c r="B375" s="59" t="s">
        <v>41</v>
      </c>
      <c r="C375" s="59" t="s">
        <v>217</v>
      </c>
      <c r="D375" s="63" t="s">
        <v>35</v>
      </c>
      <c r="E375" s="49" t="s">
        <v>35</v>
      </c>
      <c r="F375" s="59" t="s">
        <v>222</v>
      </c>
      <c r="G375" s="59" t="s">
        <v>226</v>
      </c>
      <c r="H375" s="82">
        <v>84.82</v>
      </c>
      <c r="I375" s="99">
        <v>91.81</v>
      </c>
      <c r="J375" s="83"/>
      <c r="K375" s="83">
        <f t="shared" si="48"/>
        <v>91.81</v>
      </c>
      <c r="L375" s="136">
        <f t="shared" si="49"/>
        <v>181.75</v>
      </c>
      <c r="M375" s="136">
        <v>2181</v>
      </c>
      <c r="N375" s="100" t="e">
        <f t="shared" si="45"/>
        <v>#VALUE!</v>
      </c>
      <c r="O375" s="100">
        <f t="shared" si="46"/>
        <v>0</v>
      </c>
      <c r="P375" s="71"/>
      <c r="Q375" s="64" t="s">
        <v>234</v>
      </c>
      <c r="R375" s="63" t="s">
        <v>77</v>
      </c>
      <c r="S375" s="126">
        <v>40</v>
      </c>
      <c r="T375" s="126">
        <f t="shared" si="47"/>
        <v>3672.4</v>
      </c>
      <c r="U375" s="67" t="s">
        <v>308</v>
      </c>
      <c r="V375" s="151" t="e">
        <f>[1]!Tabella1[[#This Row],[Booking Hours]]</f>
        <v>#REF!</v>
      </c>
      <c r="W375" s="60" t="e">
        <f>[1]!Tabella1[[#This Row],[Booking Period]]</f>
        <v>#REF!</v>
      </c>
      <c r="X375" s="65"/>
    </row>
    <row r="376" spans="1:24" ht="15" x14ac:dyDescent="0.25">
      <c r="A376" s="144" t="s">
        <v>153</v>
      </c>
      <c r="B376" s="59" t="s">
        <v>41</v>
      </c>
      <c r="C376" s="59" t="s">
        <v>217</v>
      </c>
      <c r="D376" s="63" t="s">
        <v>35</v>
      </c>
      <c r="E376" s="49" t="s">
        <v>35</v>
      </c>
      <c r="F376" s="59" t="s">
        <v>222</v>
      </c>
      <c r="G376" s="59" t="s">
        <v>226</v>
      </c>
      <c r="H376" s="82">
        <v>84.82</v>
      </c>
      <c r="I376" s="99">
        <v>91.81</v>
      </c>
      <c r="J376" s="83"/>
      <c r="K376" s="83">
        <f t="shared" si="48"/>
        <v>91.81</v>
      </c>
      <c r="L376" s="136">
        <f t="shared" si="49"/>
        <v>181.75</v>
      </c>
      <c r="M376" s="136">
        <v>2181</v>
      </c>
      <c r="N376" s="100" t="e">
        <f t="shared" si="45"/>
        <v>#VALUE!</v>
      </c>
      <c r="O376" s="100">
        <f t="shared" si="46"/>
        <v>0</v>
      </c>
      <c r="P376" s="71"/>
      <c r="Q376" s="64" t="s">
        <v>235</v>
      </c>
      <c r="R376" s="63" t="s">
        <v>77</v>
      </c>
      <c r="S376" s="126">
        <v>40</v>
      </c>
      <c r="T376" s="126">
        <f t="shared" si="47"/>
        <v>3672.4</v>
      </c>
      <c r="U376" s="67" t="s">
        <v>276</v>
      </c>
      <c r="V376" s="151"/>
      <c r="W376" s="153" t="s">
        <v>260</v>
      </c>
      <c r="X376" s="65"/>
    </row>
    <row r="377" spans="1:24" ht="15" x14ac:dyDescent="0.25">
      <c r="A377" s="144" t="s">
        <v>153</v>
      </c>
      <c r="B377" s="59" t="s">
        <v>41</v>
      </c>
      <c r="C377" s="59" t="s">
        <v>217</v>
      </c>
      <c r="D377" s="63" t="s">
        <v>35</v>
      </c>
      <c r="E377" s="49" t="s">
        <v>35</v>
      </c>
      <c r="F377" s="59" t="s">
        <v>222</v>
      </c>
      <c r="G377" s="59" t="s">
        <v>226</v>
      </c>
      <c r="H377" s="82">
        <v>84.82</v>
      </c>
      <c r="I377" s="99">
        <v>91.81</v>
      </c>
      <c r="J377" s="83"/>
      <c r="K377" s="83">
        <f t="shared" si="48"/>
        <v>91.81</v>
      </c>
      <c r="L377" s="136">
        <f t="shared" si="49"/>
        <v>181.75</v>
      </c>
      <c r="M377" s="136">
        <v>2181</v>
      </c>
      <c r="N377" s="100" t="e">
        <f t="shared" si="45"/>
        <v>#VALUE!</v>
      </c>
      <c r="O377" s="100">
        <f t="shared" si="46"/>
        <v>0</v>
      </c>
      <c r="P377" s="71"/>
      <c r="Q377" s="64" t="s">
        <v>232</v>
      </c>
      <c r="R377" s="63" t="s">
        <v>75</v>
      </c>
      <c r="S377" s="126">
        <v>40</v>
      </c>
      <c r="T377" s="126">
        <f t="shared" si="47"/>
        <v>3672.4</v>
      </c>
      <c r="U377" s="67" t="s">
        <v>256</v>
      </c>
      <c r="V377" s="151"/>
      <c r="W377" s="63" t="s">
        <v>257</v>
      </c>
      <c r="X377" s="65"/>
    </row>
    <row r="378" spans="1:24" ht="15" x14ac:dyDescent="0.25">
      <c r="A378" s="144" t="s">
        <v>153</v>
      </c>
      <c r="B378" s="59" t="s">
        <v>41</v>
      </c>
      <c r="C378" s="59" t="s">
        <v>217</v>
      </c>
      <c r="D378" s="63" t="s">
        <v>35</v>
      </c>
      <c r="E378" s="49" t="s">
        <v>35</v>
      </c>
      <c r="F378" s="59" t="s">
        <v>222</v>
      </c>
      <c r="G378" s="59" t="s">
        <v>226</v>
      </c>
      <c r="H378" s="82">
        <v>84.82</v>
      </c>
      <c r="I378" s="99">
        <v>91.81</v>
      </c>
      <c r="J378" s="83"/>
      <c r="K378" s="83">
        <f t="shared" si="48"/>
        <v>91.81</v>
      </c>
      <c r="L378" s="136">
        <f t="shared" si="49"/>
        <v>181.75</v>
      </c>
      <c r="M378" s="136">
        <v>2181</v>
      </c>
      <c r="N378" s="100" t="e">
        <f t="shared" si="45"/>
        <v>#VALUE!</v>
      </c>
      <c r="O378" s="100">
        <f t="shared" si="46"/>
        <v>0</v>
      </c>
      <c r="P378" s="71"/>
      <c r="Q378" s="64" t="s">
        <v>233</v>
      </c>
      <c r="R378" s="63" t="s">
        <v>75</v>
      </c>
      <c r="S378" s="126">
        <v>40</v>
      </c>
      <c r="T378" s="126">
        <f t="shared" si="47"/>
        <v>3672.4</v>
      </c>
      <c r="U378" s="67" t="s">
        <v>308</v>
      </c>
      <c r="V378" s="151" t="e">
        <f>[1]!Tabella1[[#This Row],[Booking Hours]]</f>
        <v>#REF!</v>
      </c>
      <c r="W378" s="60" t="e">
        <f>[1]!Tabella1[[#This Row],[Booking Period]]</f>
        <v>#REF!</v>
      </c>
      <c r="X378" s="65"/>
    </row>
    <row r="379" spans="1:24" ht="15" x14ac:dyDescent="0.25">
      <c r="A379" s="144" t="s">
        <v>153</v>
      </c>
      <c r="B379" s="59" t="s">
        <v>41</v>
      </c>
      <c r="C379" s="59" t="s">
        <v>217</v>
      </c>
      <c r="D379" s="63" t="s">
        <v>35</v>
      </c>
      <c r="E379" s="49" t="s">
        <v>35</v>
      </c>
      <c r="F379" s="59" t="s">
        <v>222</v>
      </c>
      <c r="G379" s="59" t="s">
        <v>226</v>
      </c>
      <c r="H379" s="82">
        <v>84.82</v>
      </c>
      <c r="I379" s="99">
        <v>91.81</v>
      </c>
      <c r="J379" s="83"/>
      <c r="K379" s="83">
        <f t="shared" si="48"/>
        <v>91.81</v>
      </c>
      <c r="L379" s="136">
        <f t="shared" si="49"/>
        <v>181.75</v>
      </c>
      <c r="M379" s="136">
        <v>2181</v>
      </c>
      <c r="N379" s="100" t="e">
        <f t="shared" si="45"/>
        <v>#VALUE!</v>
      </c>
      <c r="O379" s="100">
        <f t="shared" si="46"/>
        <v>0</v>
      </c>
      <c r="P379" s="71"/>
      <c r="Q379" s="64" t="s">
        <v>234</v>
      </c>
      <c r="R379" s="63" t="s">
        <v>75</v>
      </c>
      <c r="S379" s="126">
        <v>40</v>
      </c>
      <c r="T379" s="126">
        <f t="shared" si="47"/>
        <v>3672.4</v>
      </c>
      <c r="U379" s="67" t="s">
        <v>308</v>
      </c>
      <c r="V379" s="151" t="e">
        <f>[1]!Tabella1[[#This Row],[Booking Hours]]</f>
        <v>#REF!</v>
      </c>
      <c r="W379" s="60" t="e">
        <f>[1]!Tabella1[[#This Row],[Booking Period]]</f>
        <v>#REF!</v>
      </c>
      <c r="X379" s="65"/>
    </row>
    <row r="380" spans="1:24" ht="15" x14ac:dyDescent="0.25">
      <c r="A380" s="144" t="s">
        <v>153</v>
      </c>
      <c r="B380" s="59" t="s">
        <v>41</v>
      </c>
      <c r="C380" s="59" t="s">
        <v>217</v>
      </c>
      <c r="D380" s="63" t="s">
        <v>35</v>
      </c>
      <c r="E380" s="49" t="s">
        <v>35</v>
      </c>
      <c r="F380" s="59" t="s">
        <v>222</v>
      </c>
      <c r="G380" s="59" t="s">
        <v>226</v>
      </c>
      <c r="H380" s="82">
        <v>84.82</v>
      </c>
      <c r="I380" s="99">
        <v>91.81</v>
      </c>
      <c r="J380" s="83"/>
      <c r="K380" s="83">
        <f t="shared" si="48"/>
        <v>91.81</v>
      </c>
      <c r="L380" s="136">
        <f t="shared" si="49"/>
        <v>181.75</v>
      </c>
      <c r="M380" s="136">
        <v>2181</v>
      </c>
      <c r="N380" s="100" t="e">
        <f t="shared" si="45"/>
        <v>#VALUE!</v>
      </c>
      <c r="O380" s="100">
        <f t="shared" si="46"/>
        <v>0</v>
      </c>
      <c r="P380" s="71"/>
      <c r="Q380" s="64" t="s">
        <v>235</v>
      </c>
      <c r="R380" s="63" t="s">
        <v>75</v>
      </c>
      <c r="S380" s="126">
        <v>40</v>
      </c>
      <c r="T380" s="126">
        <f t="shared" si="47"/>
        <v>3672.4</v>
      </c>
      <c r="U380" s="67" t="s">
        <v>276</v>
      </c>
      <c r="V380" s="151"/>
      <c r="W380" s="153" t="s">
        <v>260</v>
      </c>
      <c r="X380" s="65"/>
    </row>
    <row r="381" spans="1:24" ht="15" x14ac:dyDescent="0.25">
      <c r="A381" s="144" t="s">
        <v>153</v>
      </c>
      <c r="B381" s="59" t="s">
        <v>41</v>
      </c>
      <c r="C381" s="59" t="s">
        <v>217</v>
      </c>
      <c r="D381" s="63" t="s">
        <v>35</v>
      </c>
      <c r="E381" s="49" t="s">
        <v>35</v>
      </c>
      <c r="F381" s="59" t="s">
        <v>222</v>
      </c>
      <c r="G381" s="59" t="s">
        <v>226</v>
      </c>
      <c r="H381" s="82">
        <v>84.82</v>
      </c>
      <c r="I381" s="99">
        <v>91.81</v>
      </c>
      <c r="J381" s="83"/>
      <c r="K381" s="83">
        <f t="shared" si="48"/>
        <v>91.81</v>
      </c>
      <c r="L381" s="136">
        <f t="shared" si="49"/>
        <v>181.75</v>
      </c>
      <c r="M381" s="136">
        <v>2181</v>
      </c>
      <c r="N381" s="100" t="e">
        <f t="shared" si="45"/>
        <v>#VALUE!</v>
      </c>
      <c r="O381" s="100">
        <f t="shared" si="46"/>
        <v>0</v>
      </c>
      <c r="P381" s="71"/>
      <c r="Q381" s="64" t="s">
        <v>232</v>
      </c>
      <c r="R381" s="63" t="s">
        <v>78</v>
      </c>
      <c r="S381" s="126">
        <v>40</v>
      </c>
      <c r="T381" s="126">
        <f t="shared" si="47"/>
        <v>3672.4</v>
      </c>
      <c r="U381" s="67" t="s">
        <v>256</v>
      </c>
      <c r="V381" s="151"/>
      <c r="W381" s="63" t="s">
        <v>257</v>
      </c>
      <c r="X381" s="65"/>
    </row>
    <row r="382" spans="1:24" ht="15" x14ac:dyDescent="0.25">
      <c r="A382" s="144" t="s">
        <v>153</v>
      </c>
      <c r="B382" s="59" t="s">
        <v>41</v>
      </c>
      <c r="C382" s="59" t="s">
        <v>217</v>
      </c>
      <c r="D382" s="63" t="s">
        <v>35</v>
      </c>
      <c r="E382" s="49" t="s">
        <v>35</v>
      </c>
      <c r="F382" s="59" t="s">
        <v>222</v>
      </c>
      <c r="G382" s="59" t="s">
        <v>226</v>
      </c>
      <c r="H382" s="82">
        <v>84.82</v>
      </c>
      <c r="I382" s="99">
        <v>91.81</v>
      </c>
      <c r="J382" s="83"/>
      <c r="K382" s="83">
        <f t="shared" si="48"/>
        <v>91.81</v>
      </c>
      <c r="L382" s="136">
        <f t="shared" si="49"/>
        <v>181.75</v>
      </c>
      <c r="M382" s="136">
        <v>2181</v>
      </c>
      <c r="N382" s="100" t="e">
        <f t="shared" si="45"/>
        <v>#VALUE!</v>
      </c>
      <c r="O382" s="100">
        <f t="shared" si="46"/>
        <v>0</v>
      </c>
      <c r="P382" s="71"/>
      <c r="Q382" s="64" t="s">
        <v>233</v>
      </c>
      <c r="R382" s="63" t="s">
        <v>78</v>
      </c>
      <c r="S382" s="126">
        <v>40</v>
      </c>
      <c r="T382" s="126">
        <f t="shared" si="47"/>
        <v>3672.4</v>
      </c>
      <c r="U382" s="67" t="s">
        <v>308</v>
      </c>
      <c r="V382" s="151" t="e">
        <f>[1]!Tabella1[[#This Row],[Booking Hours]]</f>
        <v>#REF!</v>
      </c>
      <c r="W382" s="60" t="e">
        <f>[1]!Tabella1[[#This Row],[Booking Period]]</f>
        <v>#REF!</v>
      </c>
      <c r="X382" s="65"/>
    </row>
    <row r="383" spans="1:24" ht="15" x14ac:dyDescent="0.25">
      <c r="A383" s="144" t="s">
        <v>153</v>
      </c>
      <c r="B383" s="59" t="s">
        <v>41</v>
      </c>
      <c r="C383" s="59" t="s">
        <v>217</v>
      </c>
      <c r="D383" s="63" t="s">
        <v>35</v>
      </c>
      <c r="E383" s="49" t="s">
        <v>35</v>
      </c>
      <c r="F383" s="59" t="s">
        <v>222</v>
      </c>
      <c r="G383" s="59" t="s">
        <v>226</v>
      </c>
      <c r="H383" s="82">
        <v>84.82</v>
      </c>
      <c r="I383" s="99">
        <v>91.81</v>
      </c>
      <c r="J383" s="83"/>
      <c r="K383" s="83">
        <f t="shared" si="48"/>
        <v>91.81</v>
      </c>
      <c r="L383" s="136">
        <f t="shared" si="49"/>
        <v>181.75</v>
      </c>
      <c r="M383" s="136">
        <v>2181</v>
      </c>
      <c r="N383" s="100" t="e">
        <f t="shared" si="45"/>
        <v>#VALUE!</v>
      </c>
      <c r="O383" s="100">
        <f t="shared" si="46"/>
        <v>0</v>
      </c>
      <c r="P383" s="71"/>
      <c r="Q383" s="64" t="s">
        <v>234</v>
      </c>
      <c r="R383" s="63" t="s">
        <v>78</v>
      </c>
      <c r="S383" s="126">
        <v>40</v>
      </c>
      <c r="T383" s="126">
        <f t="shared" si="47"/>
        <v>3672.4</v>
      </c>
      <c r="U383" s="67" t="s">
        <v>308</v>
      </c>
      <c r="V383" s="151" t="e">
        <f>[1]!Tabella1[[#This Row],[Booking Hours]]</f>
        <v>#REF!</v>
      </c>
      <c r="W383" s="60" t="e">
        <f>[1]!Tabella1[[#This Row],[Booking Period]]</f>
        <v>#REF!</v>
      </c>
      <c r="X383" s="65"/>
    </row>
    <row r="384" spans="1:24" ht="15" x14ac:dyDescent="0.25">
      <c r="A384" s="144" t="s">
        <v>153</v>
      </c>
      <c r="B384" s="59" t="s">
        <v>41</v>
      </c>
      <c r="C384" s="59" t="s">
        <v>217</v>
      </c>
      <c r="D384" s="63" t="s">
        <v>35</v>
      </c>
      <c r="E384" s="49" t="s">
        <v>35</v>
      </c>
      <c r="F384" s="59" t="s">
        <v>222</v>
      </c>
      <c r="G384" s="59" t="s">
        <v>226</v>
      </c>
      <c r="H384" s="82">
        <v>84.82</v>
      </c>
      <c r="I384" s="99">
        <v>91.81</v>
      </c>
      <c r="J384" s="83"/>
      <c r="K384" s="83">
        <f t="shared" si="48"/>
        <v>91.81</v>
      </c>
      <c r="L384" s="136">
        <f t="shared" si="49"/>
        <v>181.75</v>
      </c>
      <c r="M384" s="136">
        <v>2181</v>
      </c>
      <c r="N384" s="100" t="e">
        <f t="shared" si="45"/>
        <v>#VALUE!</v>
      </c>
      <c r="O384" s="100">
        <f t="shared" si="46"/>
        <v>0</v>
      </c>
      <c r="P384" s="71"/>
      <c r="Q384" s="64" t="s">
        <v>235</v>
      </c>
      <c r="R384" s="63" t="s">
        <v>78</v>
      </c>
      <c r="S384" s="126">
        <v>40</v>
      </c>
      <c r="T384" s="126">
        <f t="shared" si="47"/>
        <v>3672.4</v>
      </c>
      <c r="U384" s="67" t="s">
        <v>259</v>
      </c>
      <c r="V384" s="151"/>
      <c r="W384" s="153" t="s">
        <v>260</v>
      </c>
      <c r="X384" s="65"/>
    </row>
    <row r="385" spans="1:24" ht="15" x14ac:dyDescent="0.25">
      <c r="A385" s="144" t="s">
        <v>153</v>
      </c>
      <c r="B385" s="59" t="s">
        <v>41</v>
      </c>
      <c r="C385" s="59" t="s">
        <v>217</v>
      </c>
      <c r="D385" s="63" t="s">
        <v>35</v>
      </c>
      <c r="E385" s="49" t="s">
        <v>35</v>
      </c>
      <c r="F385" s="59" t="s">
        <v>222</v>
      </c>
      <c r="G385" s="59" t="s">
        <v>226</v>
      </c>
      <c r="H385" s="82">
        <v>84.82</v>
      </c>
      <c r="I385" s="99">
        <v>91.81</v>
      </c>
      <c r="J385" s="83"/>
      <c r="K385" s="83">
        <f t="shared" si="48"/>
        <v>91.81</v>
      </c>
      <c r="L385" s="136">
        <f t="shared" si="49"/>
        <v>181.75</v>
      </c>
      <c r="M385" s="136">
        <v>2181</v>
      </c>
      <c r="N385" s="100" t="e">
        <f t="shared" si="45"/>
        <v>#VALUE!</v>
      </c>
      <c r="O385" s="100">
        <f t="shared" si="46"/>
        <v>0</v>
      </c>
      <c r="P385" s="71"/>
      <c r="Q385" s="64" t="s">
        <v>232</v>
      </c>
      <c r="R385" s="63" t="s">
        <v>330</v>
      </c>
      <c r="S385" s="126">
        <v>70</v>
      </c>
      <c r="T385" s="126">
        <f t="shared" si="47"/>
        <v>6426.7</v>
      </c>
      <c r="U385" s="67" t="s">
        <v>256</v>
      </c>
      <c r="V385" s="151">
        <v>0</v>
      </c>
      <c r="W385" s="63" t="s">
        <v>264</v>
      </c>
      <c r="X385" s="65"/>
    </row>
    <row r="386" spans="1:24" ht="15" x14ac:dyDescent="0.25">
      <c r="A386" s="144" t="s">
        <v>153</v>
      </c>
      <c r="B386" s="59" t="s">
        <v>41</v>
      </c>
      <c r="C386" s="59" t="s">
        <v>217</v>
      </c>
      <c r="D386" s="63" t="s">
        <v>35</v>
      </c>
      <c r="E386" s="49" t="s">
        <v>35</v>
      </c>
      <c r="F386" s="59" t="s">
        <v>222</v>
      </c>
      <c r="G386" s="59" t="s">
        <v>226</v>
      </c>
      <c r="H386" s="82">
        <v>84.82</v>
      </c>
      <c r="I386" s="99">
        <v>91.81</v>
      </c>
      <c r="J386" s="83"/>
      <c r="K386" s="83">
        <f t="shared" si="48"/>
        <v>91.81</v>
      </c>
      <c r="L386" s="136">
        <f t="shared" si="49"/>
        <v>181.75</v>
      </c>
      <c r="M386" s="136">
        <v>2181</v>
      </c>
      <c r="N386" s="100" t="e">
        <f t="shared" ref="N386:N436" si="50">U386/M386</f>
        <v>#VALUE!</v>
      </c>
      <c r="O386" s="100">
        <f t="shared" ref="O386:O436" si="51">X386/M386</f>
        <v>0</v>
      </c>
      <c r="P386" s="71"/>
      <c r="Q386" s="64" t="s">
        <v>233</v>
      </c>
      <c r="R386" s="63" t="s">
        <v>330</v>
      </c>
      <c r="S386" s="126">
        <v>70</v>
      </c>
      <c r="T386" s="126">
        <f t="shared" ref="T386:T433" si="52">S386*I386</f>
        <v>6426.7</v>
      </c>
      <c r="U386" s="67" t="s">
        <v>308</v>
      </c>
      <c r="V386" s="151" t="e">
        <f>[1]!Tabella1[[#This Row],[Booking Hours]]</f>
        <v>#REF!</v>
      </c>
      <c r="W386" s="60" t="e">
        <f>[1]!Tabella1[[#This Row],[Booking Period]]</f>
        <v>#REF!</v>
      </c>
      <c r="X386" s="65"/>
    </row>
    <row r="387" spans="1:24" ht="15" x14ac:dyDescent="0.25">
      <c r="A387" s="144" t="s">
        <v>153</v>
      </c>
      <c r="B387" s="59" t="s">
        <v>41</v>
      </c>
      <c r="C387" s="59" t="s">
        <v>217</v>
      </c>
      <c r="D387" s="63" t="s">
        <v>35</v>
      </c>
      <c r="E387" s="49" t="s">
        <v>35</v>
      </c>
      <c r="F387" s="59" t="s">
        <v>222</v>
      </c>
      <c r="G387" s="59" t="s">
        <v>226</v>
      </c>
      <c r="H387" s="82">
        <v>84.82</v>
      </c>
      <c r="I387" s="99">
        <v>91.81</v>
      </c>
      <c r="J387" s="83"/>
      <c r="K387" s="83">
        <f t="shared" si="48"/>
        <v>91.81</v>
      </c>
      <c r="L387" s="136">
        <f t="shared" si="49"/>
        <v>181.75</v>
      </c>
      <c r="M387" s="136">
        <v>2181</v>
      </c>
      <c r="N387" s="100" t="e">
        <f t="shared" si="50"/>
        <v>#VALUE!</v>
      </c>
      <c r="O387" s="100">
        <f t="shared" si="51"/>
        <v>0</v>
      </c>
      <c r="P387" s="71"/>
      <c r="Q387" s="64" t="s">
        <v>234</v>
      </c>
      <c r="R387" s="63" t="s">
        <v>330</v>
      </c>
      <c r="S387" s="126">
        <v>70</v>
      </c>
      <c r="T387" s="126">
        <f t="shared" si="52"/>
        <v>6426.7</v>
      </c>
      <c r="U387" s="67" t="s">
        <v>308</v>
      </c>
      <c r="V387" s="151">
        <v>0</v>
      </c>
      <c r="W387" s="60" t="s">
        <v>264</v>
      </c>
      <c r="X387" s="65"/>
    </row>
    <row r="388" spans="1:24" ht="15" x14ac:dyDescent="0.25">
      <c r="A388" s="144" t="s">
        <v>153</v>
      </c>
      <c r="B388" s="59" t="s">
        <v>41</v>
      </c>
      <c r="C388" s="59" t="s">
        <v>217</v>
      </c>
      <c r="D388" s="63" t="s">
        <v>35</v>
      </c>
      <c r="E388" s="49" t="s">
        <v>35</v>
      </c>
      <c r="F388" s="59" t="s">
        <v>222</v>
      </c>
      <c r="G388" s="59" t="s">
        <v>226</v>
      </c>
      <c r="H388" s="82">
        <v>84.82</v>
      </c>
      <c r="I388" s="99">
        <v>91.81</v>
      </c>
      <c r="J388" s="83"/>
      <c r="K388" s="83">
        <f t="shared" si="48"/>
        <v>91.81</v>
      </c>
      <c r="L388" s="136">
        <f t="shared" si="49"/>
        <v>181.75</v>
      </c>
      <c r="M388" s="136">
        <v>2181</v>
      </c>
      <c r="N388" s="100" t="e">
        <f t="shared" si="50"/>
        <v>#VALUE!</v>
      </c>
      <c r="O388" s="100">
        <f t="shared" si="51"/>
        <v>0</v>
      </c>
      <c r="P388" s="71"/>
      <c r="Q388" s="64" t="s">
        <v>235</v>
      </c>
      <c r="R388" s="63" t="s">
        <v>330</v>
      </c>
      <c r="S388" s="126">
        <v>70</v>
      </c>
      <c r="T388" s="126">
        <f t="shared" si="52"/>
        <v>6426.7</v>
      </c>
      <c r="U388" s="67" t="s">
        <v>276</v>
      </c>
      <c r="V388" s="151"/>
      <c r="W388" s="153" t="s">
        <v>260</v>
      </c>
      <c r="X388" s="65"/>
    </row>
    <row r="389" spans="1:24" ht="30" x14ac:dyDescent="0.25">
      <c r="A389" s="144" t="s">
        <v>153</v>
      </c>
      <c r="B389" s="59" t="s">
        <v>41</v>
      </c>
      <c r="C389" s="59" t="s">
        <v>217</v>
      </c>
      <c r="D389" s="63" t="s">
        <v>35</v>
      </c>
      <c r="E389" s="49" t="s">
        <v>35</v>
      </c>
      <c r="F389" s="59" t="s">
        <v>222</v>
      </c>
      <c r="G389" s="59" t="s">
        <v>226</v>
      </c>
      <c r="H389" s="82">
        <v>84.82</v>
      </c>
      <c r="I389" s="99">
        <v>91.81</v>
      </c>
      <c r="J389" s="83"/>
      <c r="K389" s="83">
        <f t="shared" si="48"/>
        <v>91.81</v>
      </c>
      <c r="L389" s="136">
        <f t="shared" si="49"/>
        <v>181.75</v>
      </c>
      <c r="M389" s="136">
        <v>2181</v>
      </c>
      <c r="N389" s="100" t="e">
        <f t="shared" si="50"/>
        <v>#VALUE!</v>
      </c>
      <c r="O389" s="100">
        <f t="shared" si="51"/>
        <v>0</v>
      </c>
      <c r="P389" s="71"/>
      <c r="Q389" s="64" t="s">
        <v>230</v>
      </c>
      <c r="R389" s="63" t="s">
        <v>331</v>
      </c>
      <c r="S389" s="126">
        <v>216</v>
      </c>
      <c r="T389" s="126">
        <f t="shared" si="52"/>
        <v>19830.96</v>
      </c>
      <c r="U389" s="67" t="s">
        <v>252</v>
      </c>
      <c r="V389" s="151" t="e">
        <f>[1]!Tabella1[[#This Row],[Booking Hours]]</f>
        <v>#REF!</v>
      </c>
      <c r="W389" s="63" t="e">
        <f>[1]!Tabella1[[#This Row],[Booking Period]]</f>
        <v>#REF!</v>
      </c>
      <c r="X389" s="65"/>
    </row>
    <row r="390" spans="1:24" ht="30" x14ac:dyDescent="0.25">
      <c r="A390" s="144" t="s">
        <v>153</v>
      </c>
      <c r="B390" s="59" t="s">
        <v>41</v>
      </c>
      <c r="C390" s="59" t="s">
        <v>217</v>
      </c>
      <c r="D390" s="63" t="s">
        <v>35</v>
      </c>
      <c r="E390" s="49" t="s">
        <v>35</v>
      </c>
      <c r="F390" s="59" t="s">
        <v>222</v>
      </c>
      <c r="G390" s="59" t="s">
        <v>226</v>
      </c>
      <c r="H390" s="82">
        <v>84.82</v>
      </c>
      <c r="I390" s="99">
        <v>91.81</v>
      </c>
      <c r="J390" s="83"/>
      <c r="K390" s="83">
        <f t="shared" si="48"/>
        <v>91.81</v>
      </c>
      <c r="L390" s="136">
        <f t="shared" si="49"/>
        <v>181.75</v>
      </c>
      <c r="M390" s="136">
        <v>2181</v>
      </c>
      <c r="N390" s="100" t="e">
        <f t="shared" si="50"/>
        <v>#VALUE!</v>
      </c>
      <c r="O390" s="100">
        <f t="shared" si="51"/>
        <v>0</v>
      </c>
      <c r="P390" s="71"/>
      <c r="Q390" s="66" t="s">
        <v>241</v>
      </c>
      <c r="R390" s="63" t="s">
        <v>331</v>
      </c>
      <c r="S390" s="127">
        <f>((45*4)*6)/2</f>
        <v>540</v>
      </c>
      <c r="T390" s="126">
        <f t="shared" si="52"/>
        <v>49577.4</v>
      </c>
      <c r="U390" s="67" t="s">
        <v>284</v>
      </c>
      <c r="V390" s="151">
        <v>900</v>
      </c>
      <c r="W390" s="63" t="s">
        <v>332</v>
      </c>
      <c r="X390" s="79"/>
    </row>
    <row r="391" spans="1:24" ht="30" x14ac:dyDescent="0.25">
      <c r="A391" s="144" t="s">
        <v>153</v>
      </c>
      <c r="B391" s="59" t="s">
        <v>41</v>
      </c>
      <c r="C391" s="59" t="s">
        <v>217</v>
      </c>
      <c r="D391" s="63" t="s">
        <v>35</v>
      </c>
      <c r="E391" s="49" t="s">
        <v>35</v>
      </c>
      <c r="F391" s="59" t="s">
        <v>222</v>
      </c>
      <c r="G391" s="59" t="s">
        <v>226</v>
      </c>
      <c r="H391" s="82">
        <v>84.82</v>
      </c>
      <c r="I391" s="99">
        <v>91.81</v>
      </c>
      <c r="J391" s="83"/>
      <c r="K391" s="83">
        <f t="shared" si="48"/>
        <v>91.81</v>
      </c>
      <c r="L391" s="136">
        <f t="shared" si="49"/>
        <v>181.75</v>
      </c>
      <c r="M391" s="136">
        <v>2181</v>
      </c>
      <c r="N391" s="100" t="e">
        <f t="shared" si="50"/>
        <v>#VALUE!</v>
      </c>
      <c r="O391" s="100">
        <f t="shared" si="51"/>
        <v>0</v>
      </c>
      <c r="P391" s="71"/>
      <c r="Q391" s="66" t="s">
        <v>242</v>
      </c>
      <c r="R391" s="63" t="s">
        <v>331</v>
      </c>
      <c r="S391" s="127">
        <v>250</v>
      </c>
      <c r="T391" s="126">
        <f t="shared" si="52"/>
        <v>22952.5</v>
      </c>
      <c r="U391" s="67" t="s">
        <v>276</v>
      </c>
      <c r="V391" s="151"/>
      <c r="W391" s="63" t="s">
        <v>25</v>
      </c>
      <c r="X391" s="79"/>
    </row>
    <row r="392" spans="1:24" ht="30" x14ac:dyDescent="0.25">
      <c r="A392" s="145" t="s">
        <v>152</v>
      </c>
      <c r="B392" s="66" t="s">
        <v>208</v>
      </c>
      <c r="C392" s="62" t="s">
        <v>215</v>
      </c>
      <c r="D392" s="67" t="s">
        <v>20</v>
      </c>
      <c r="E392" s="50" t="s">
        <v>442</v>
      </c>
      <c r="F392" s="63" t="s">
        <v>221</v>
      </c>
      <c r="G392" s="59" t="s">
        <v>224</v>
      </c>
      <c r="H392" s="82"/>
      <c r="I392" s="83"/>
      <c r="J392" s="83"/>
      <c r="K392" s="83">
        <v>5.416666666666667</v>
      </c>
      <c r="L392" s="136"/>
      <c r="M392" s="136"/>
      <c r="N392" s="100"/>
      <c r="O392" s="100"/>
      <c r="P392" s="71"/>
      <c r="Q392" s="60" t="s">
        <v>243</v>
      </c>
      <c r="R392" s="67" t="s">
        <v>369</v>
      </c>
      <c r="S392" s="127">
        <f>((60*4)*12)</f>
        <v>2880</v>
      </c>
      <c r="T392" s="126">
        <f t="shared" si="52"/>
        <v>0</v>
      </c>
      <c r="U392" s="63" t="s">
        <v>370</v>
      </c>
      <c r="V392" s="151">
        <v>1000</v>
      </c>
      <c r="W392" s="60" t="s">
        <v>333</v>
      </c>
      <c r="X392" s="79"/>
    </row>
    <row r="393" spans="1:24" ht="30" x14ac:dyDescent="0.25">
      <c r="A393" s="145" t="s">
        <v>152</v>
      </c>
      <c r="B393" s="66" t="s">
        <v>208</v>
      </c>
      <c r="C393" s="62" t="s">
        <v>215</v>
      </c>
      <c r="D393" s="67" t="s">
        <v>20</v>
      </c>
      <c r="E393" s="50" t="s">
        <v>442</v>
      </c>
      <c r="F393" s="63" t="s">
        <v>221</v>
      </c>
      <c r="G393" s="59" t="s">
        <v>224</v>
      </c>
      <c r="H393" s="82"/>
      <c r="I393" s="83"/>
      <c r="J393" s="83"/>
      <c r="K393" s="83">
        <v>5.416666666666667</v>
      </c>
      <c r="L393" s="136"/>
      <c r="M393" s="136"/>
      <c r="N393" s="100"/>
      <c r="O393" s="100"/>
      <c r="P393" s="71"/>
      <c r="Q393" s="66" t="s">
        <v>245</v>
      </c>
      <c r="R393" s="67" t="s">
        <v>369</v>
      </c>
      <c r="S393" s="127">
        <f>((60*4)*12)/2</f>
        <v>1440</v>
      </c>
      <c r="T393" s="126">
        <f t="shared" si="52"/>
        <v>0</v>
      </c>
      <c r="U393" s="63" t="s">
        <v>370</v>
      </c>
      <c r="V393" s="151" t="e">
        <f>[1]!Tabella1[[#This Row],[Booking Hours]]</f>
        <v>#REF!</v>
      </c>
      <c r="W393" s="63" t="e">
        <f>[1]!Tabella1[[#This Row],[Booking Period]]</f>
        <v>#REF!</v>
      </c>
      <c r="X393" s="79"/>
    </row>
    <row r="394" spans="1:24" ht="30" x14ac:dyDescent="0.25">
      <c r="A394" s="145" t="s">
        <v>152</v>
      </c>
      <c r="B394" s="66" t="s">
        <v>208</v>
      </c>
      <c r="C394" s="62" t="s">
        <v>215</v>
      </c>
      <c r="D394" s="67" t="s">
        <v>20</v>
      </c>
      <c r="E394" s="50" t="s">
        <v>442</v>
      </c>
      <c r="F394" s="63" t="s">
        <v>221</v>
      </c>
      <c r="G394" s="59" t="s">
        <v>224</v>
      </c>
      <c r="H394" s="82"/>
      <c r="I394" s="83"/>
      <c r="J394" s="83"/>
      <c r="K394" s="83">
        <v>5.416666666666667</v>
      </c>
      <c r="L394" s="136"/>
      <c r="M394" s="136"/>
      <c r="N394" s="100"/>
      <c r="O394" s="100"/>
      <c r="P394" s="71"/>
      <c r="Q394" s="66" t="s">
        <v>231</v>
      </c>
      <c r="R394" s="67" t="s">
        <v>371</v>
      </c>
      <c r="S394" s="127">
        <f>((60*4)*12)/2</f>
        <v>1440</v>
      </c>
      <c r="T394" s="126">
        <f t="shared" si="52"/>
        <v>0</v>
      </c>
      <c r="U394" s="63" t="s">
        <v>370</v>
      </c>
      <c r="V394" s="151">
        <v>850</v>
      </c>
      <c r="W394" s="60" t="s">
        <v>254</v>
      </c>
      <c r="X394" s="79"/>
    </row>
    <row r="395" spans="1:24" ht="30" x14ac:dyDescent="0.25">
      <c r="A395" s="145" t="s">
        <v>152</v>
      </c>
      <c r="B395" s="66" t="s">
        <v>208</v>
      </c>
      <c r="C395" s="62" t="s">
        <v>215</v>
      </c>
      <c r="D395" s="67" t="s">
        <v>20</v>
      </c>
      <c r="E395" s="50" t="s">
        <v>442</v>
      </c>
      <c r="F395" s="63" t="s">
        <v>221</v>
      </c>
      <c r="G395" s="59" t="s">
        <v>224</v>
      </c>
      <c r="H395" s="82"/>
      <c r="I395" s="83"/>
      <c r="J395" s="83"/>
      <c r="K395" s="83">
        <v>5.416666666666667</v>
      </c>
      <c r="L395" s="136"/>
      <c r="M395" s="136"/>
      <c r="N395" s="100"/>
      <c r="O395" s="100"/>
      <c r="P395" s="71"/>
      <c r="Q395" s="64" t="s">
        <v>235</v>
      </c>
      <c r="R395" s="67" t="s">
        <v>371</v>
      </c>
      <c r="S395" s="127">
        <v>682</v>
      </c>
      <c r="T395" s="126">
        <f t="shared" si="52"/>
        <v>0</v>
      </c>
      <c r="U395" s="63" t="s">
        <v>372</v>
      </c>
      <c r="V395" s="151"/>
      <c r="W395" s="153" t="s">
        <v>260</v>
      </c>
      <c r="X395" s="68"/>
    </row>
    <row r="396" spans="1:24" ht="15" x14ac:dyDescent="0.25">
      <c r="A396" s="145" t="s">
        <v>152</v>
      </c>
      <c r="B396" s="66" t="s">
        <v>208</v>
      </c>
      <c r="C396" s="62" t="s">
        <v>215</v>
      </c>
      <c r="D396" s="67" t="s">
        <v>20</v>
      </c>
      <c r="E396" s="50" t="s">
        <v>442</v>
      </c>
      <c r="F396" s="63" t="s">
        <v>221</v>
      </c>
      <c r="G396" s="59" t="s">
        <v>224</v>
      </c>
      <c r="H396" s="82"/>
      <c r="I396" s="83"/>
      <c r="J396" s="83"/>
      <c r="K396" s="83">
        <v>5.416666666666667</v>
      </c>
      <c r="L396" s="136"/>
      <c r="M396" s="136"/>
      <c r="N396" s="100"/>
      <c r="O396" s="100"/>
      <c r="P396" s="71"/>
      <c r="Q396" s="64" t="s">
        <v>232</v>
      </c>
      <c r="R396" s="67" t="s">
        <v>334</v>
      </c>
      <c r="S396" s="127">
        <v>5000</v>
      </c>
      <c r="T396" s="126">
        <f t="shared" si="52"/>
        <v>0</v>
      </c>
      <c r="U396" s="63" t="s">
        <v>252</v>
      </c>
      <c r="V396" s="151"/>
      <c r="W396" s="63" t="s">
        <v>257</v>
      </c>
      <c r="X396" s="79"/>
    </row>
    <row r="397" spans="1:24" ht="30" x14ac:dyDescent="0.25">
      <c r="A397" s="145" t="s">
        <v>152</v>
      </c>
      <c r="B397" s="66" t="s">
        <v>208</v>
      </c>
      <c r="C397" s="62" t="s">
        <v>215</v>
      </c>
      <c r="D397" s="67" t="s">
        <v>20</v>
      </c>
      <c r="E397" s="50" t="s">
        <v>442</v>
      </c>
      <c r="F397" s="63" t="s">
        <v>221</v>
      </c>
      <c r="G397" s="59" t="s">
        <v>224</v>
      </c>
      <c r="H397" s="82"/>
      <c r="I397" s="83"/>
      <c r="J397" s="83"/>
      <c r="K397" s="83">
        <v>5.416666666666667</v>
      </c>
      <c r="L397" s="136"/>
      <c r="M397" s="136"/>
      <c r="N397" s="100"/>
      <c r="O397" s="100"/>
      <c r="P397" s="71"/>
      <c r="Q397" s="66" t="s">
        <v>238</v>
      </c>
      <c r="R397" s="67" t="s">
        <v>335</v>
      </c>
      <c r="S397" s="127">
        <f>((60*4)*6)</f>
        <v>1440</v>
      </c>
      <c r="T397" s="126">
        <f t="shared" si="52"/>
        <v>0</v>
      </c>
      <c r="U397" s="67" t="s">
        <v>284</v>
      </c>
      <c r="V397" s="151">
        <v>0</v>
      </c>
      <c r="W397" s="63" t="s">
        <v>264</v>
      </c>
      <c r="X397" s="79"/>
    </row>
    <row r="398" spans="1:24" ht="30" x14ac:dyDescent="0.25">
      <c r="A398" s="145" t="s">
        <v>152</v>
      </c>
      <c r="B398" s="66" t="s">
        <v>208</v>
      </c>
      <c r="C398" s="62" t="s">
        <v>215</v>
      </c>
      <c r="D398" s="67" t="s">
        <v>20</v>
      </c>
      <c r="E398" s="50" t="s">
        <v>442</v>
      </c>
      <c r="F398" s="63" t="s">
        <v>221</v>
      </c>
      <c r="G398" s="59" t="s">
        <v>224</v>
      </c>
      <c r="H398" s="82"/>
      <c r="I398" s="83"/>
      <c r="J398" s="83"/>
      <c r="K398" s="83">
        <v>5.416666666666667</v>
      </c>
      <c r="L398" s="136"/>
      <c r="M398" s="136"/>
      <c r="N398" s="100"/>
      <c r="O398" s="100"/>
      <c r="P398" s="71"/>
      <c r="Q398" s="66" t="s">
        <v>238</v>
      </c>
      <c r="R398" s="67" t="s">
        <v>373</v>
      </c>
      <c r="S398" s="127">
        <v>1600</v>
      </c>
      <c r="T398" s="126">
        <f t="shared" si="52"/>
        <v>0</v>
      </c>
      <c r="U398" s="63" t="s">
        <v>370</v>
      </c>
      <c r="V398" s="151" t="e">
        <f>[1]!Tabella1[[#This Row],[Booking Hours]]</f>
        <v>#REF!</v>
      </c>
      <c r="W398" s="60" t="e">
        <f>[1]!Tabella1[[#This Row],[Booking Period]]</f>
        <v>#REF!</v>
      </c>
      <c r="X398" s="79"/>
    </row>
    <row r="399" spans="1:24" ht="30" x14ac:dyDescent="0.25">
      <c r="A399" s="145" t="s">
        <v>152</v>
      </c>
      <c r="B399" s="66" t="s">
        <v>208</v>
      </c>
      <c r="C399" s="62" t="s">
        <v>215</v>
      </c>
      <c r="D399" s="67" t="s">
        <v>20</v>
      </c>
      <c r="E399" s="50" t="s">
        <v>442</v>
      </c>
      <c r="F399" s="63" t="s">
        <v>221</v>
      </c>
      <c r="G399" s="59" t="s">
        <v>224</v>
      </c>
      <c r="H399" s="82"/>
      <c r="I399" s="83"/>
      <c r="J399" s="83"/>
      <c r="K399" s="83">
        <v>5.416666666666667</v>
      </c>
      <c r="L399" s="136"/>
      <c r="M399" s="136"/>
      <c r="N399" s="100"/>
      <c r="O399" s="100"/>
      <c r="P399" s="71"/>
      <c r="Q399" s="64" t="s">
        <v>233</v>
      </c>
      <c r="R399" s="67" t="s">
        <v>373</v>
      </c>
      <c r="S399" s="127">
        <v>5833</v>
      </c>
      <c r="T399" s="126">
        <f t="shared" si="52"/>
        <v>0</v>
      </c>
      <c r="U399" s="63" t="s">
        <v>370</v>
      </c>
      <c r="V399" s="151">
        <v>0</v>
      </c>
      <c r="W399" s="156" t="s">
        <v>264</v>
      </c>
      <c r="X399" s="79"/>
    </row>
    <row r="400" spans="1:24" ht="30" x14ac:dyDescent="0.25">
      <c r="A400" s="145" t="s">
        <v>152</v>
      </c>
      <c r="B400" s="66" t="s">
        <v>209</v>
      </c>
      <c r="C400" s="62" t="s">
        <v>215</v>
      </c>
      <c r="D400" s="67" t="s">
        <v>20</v>
      </c>
      <c r="E400" s="50" t="s">
        <v>441</v>
      </c>
      <c r="F400" s="63" t="s">
        <v>221</v>
      </c>
      <c r="G400" s="59" t="s">
        <v>224</v>
      </c>
      <c r="H400" s="82"/>
      <c r="I400" s="83"/>
      <c r="J400" s="83"/>
      <c r="K400" s="83">
        <v>6.25</v>
      </c>
      <c r="L400" s="136"/>
      <c r="M400" s="136"/>
      <c r="N400" s="100"/>
      <c r="O400" s="100"/>
      <c r="P400" s="71"/>
      <c r="Q400" s="66" t="s">
        <v>238</v>
      </c>
      <c r="R400" s="67" t="s">
        <v>283</v>
      </c>
      <c r="S400" s="127">
        <f>((60*4)*6)</f>
        <v>1440</v>
      </c>
      <c r="T400" s="126">
        <f t="shared" si="52"/>
        <v>0</v>
      </c>
      <c r="U400" s="63" t="s">
        <v>284</v>
      </c>
      <c r="V400" s="151">
        <v>0</v>
      </c>
      <c r="W400" s="63" t="s">
        <v>264</v>
      </c>
      <c r="X400" s="68"/>
    </row>
    <row r="401" spans="1:24" ht="30" x14ac:dyDescent="0.25">
      <c r="A401" s="145" t="s">
        <v>152</v>
      </c>
      <c r="B401" s="66" t="s">
        <v>209</v>
      </c>
      <c r="C401" s="62" t="s">
        <v>215</v>
      </c>
      <c r="D401" s="67" t="s">
        <v>20</v>
      </c>
      <c r="E401" s="50" t="s">
        <v>441</v>
      </c>
      <c r="F401" s="63" t="s">
        <v>221</v>
      </c>
      <c r="G401" s="59" t="s">
        <v>224</v>
      </c>
      <c r="H401" s="82"/>
      <c r="I401" s="83"/>
      <c r="J401" s="83"/>
      <c r="K401" s="83">
        <v>6.25</v>
      </c>
      <c r="L401" s="136"/>
      <c r="M401" s="136"/>
      <c r="N401" s="100"/>
      <c r="O401" s="100"/>
      <c r="P401" s="71"/>
      <c r="Q401" s="66" t="s">
        <v>238</v>
      </c>
      <c r="R401" s="67" t="s">
        <v>283</v>
      </c>
      <c r="S401" s="127">
        <f>((60*4)*6)</f>
        <v>1440</v>
      </c>
      <c r="T401" s="126">
        <f t="shared" si="52"/>
        <v>0</v>
      </c>
      <c r="U401" s="63" t="s">
        <v>284</v>
      </c>
      <c r="V401" s="151">
        <v>0</v>
      </c>
      <c r="W401" s="63" t="s">
        <v>264</v>
      </c>
      <c r="X401" s="68"/>
    </row>
    <row r="402" spans="1:24" ht="30" x14ac:dyDescent="0.25">
      <c r="A402" s="145" t="s">
        <v>152</v>
      </c>
      <c r="B402" s="84" t="s">
        <v>209</v>
      </c>
      <c r="C402" s="62" t="s">
        <v>215</v>
      </c>
      <c r="D402" s="67" t="s">
        <v>20</v>
      </c>
      <c r="E402" s="50" t="s">
        <v>441</v>
      </c>
      <c r="F402" s="63" t="s">
        <v>221</v>
      </c>
      <c r="G402" s="59" t="s">
        <v>224</v>
      </c>
      <c r="H402" s="82"/>
      <c r="I402" s="83"/>
      <c r="J402" s="83"/>
      <c r="K402" s="83">
        <v>6.25</v>
      </c>
      <c r="L402" s="136"/>
      <c r="M402" s="136"/>
      <c r="N402" s="100"/>
      <c r="O402" s="100"/>
      <c r="P402" s="71"/>
      <c r="Q402" s="64" t="s">
        <v>230</v>
      </c>
      <c r="R402" s="67" t="s">
        <v>285</v>
      </c>
      <c r="S402" s="127">
        <f>((60*4)*6)</f>
        <v>1440</v>
      </c>
      <c r="T402" s="126">
        <f t="shared" si="52"/>
        <v>0</v>
      </c>
      <c r="U402" s="63" t="s">
        <v>284</v>
      </c>
      <c r="V402" s="151" t="e">
        <f>[1]!Tabella1[[#This Row],[Booking Hours]]</f>
        <v>#REF!</v>
      </c>
      <c r="W402" s="63" t="e">
        <f>[1]!Tabella1[[#This Row],[Booking Period]]</f>
        <v>#REF!</v>
      </c>
      <c r="X402" s="68"/>
    </row>
    <row r="403" spans="1:24" ht="30" x14ac:dyDescent="0.25">
      <c r="A403" s="145" t="s">
        <v>152</v>
      </c>
      <c r="B403" s="84" t="s">
        <v>209</v>
      </c>
      <c r="C403" s="62" t="s">
        <v>215</v>
      </c>
      <c r="D403" s="67" t="s">
        <v>20</v>
      </c>
      <c r="E403" s="50" t="s">
        <v>441</v>
      </c>
      <c r="F403" s="63" t="s">
        <v>221</v>
      </c>
      <c r="G403" s="59" t="s">
        <v>224</v>
      </c>
      <c r="H403" s="82"/>
      <c r="I403" s="83"/>
      <c r="J403" s="83"/>
      <c r="K403" s="83">
        <v>6.25</v>
      </c>
      <c r="L403" s="136"/>
      <c r="M403" s="136"/>
      <c r="N403" s="100"/>
      <c r="O403" s="100"/>
      <c r="P403" s="71"/>
      <c r="Q403" s="64" t="s">
        <v>230</v>
      </c>
      <c r="R403" s="67" t="s">
        <v>285</v>
      </c>
      <c r="S403" s="127">
        <f>((60*4)*6)</f>
        <v>1440</v>
      </c>
      <c r="T403" s="126">
        <f t="shared" si="52"/>
        <v>0</v>
      </c>
      <c r="U403" s="63" t="s">
        <v>284</v>
      </c>
      <c r="V403" s="151" t="e">
        <f>[1]!Tabella1[[#This Row],[Booking Hours]]</f>
        <v>#REF!</v>
      </c>
      <c r="W403" s="63" t="e">
        <f>[1]!Tabella1[[#This Row],[Booking Period]]</f>
        <v>#REF!</v>
      </c>
      <c r="X403" s="68"/>
    </row>
    <row r="404" spans="1:24" ht="15" x14ac:dyDescent="0.25">
      <c r="A404" s="145" t="s">
        <v>152</v>
      </c>
      <c r="B404" s="63" t="s">
        <v>210</v>
      </c>
      <c r="C404" s="62" t="s">
        <v>215</v>
      </c>
      <c r="D404" s="60" t="s">
        <v>20</v>
      </c>
      <c r="E404" s="50" t="s">
        <v>442</v>
      </c>
      <c r="F404" s="62" t="s">
        <v>221</v>
      </c>
      <c r="G404" s="59" t="s">
        <v>224</v>
      </c>
      <c r="H404" s="98"/>
      <c r="I404" s="99"/>
      <c r="J404" s="99">
        <v>4.583333333333333</v>
      </c>
      <c r="K404" s="99">
        <f>J404</f>
        <v>4.583333333333333</v>
      </c>
      <c r="L404" s="136"/>
      <c r="M404" s="136"/>
      <c r="N404" s="100"/>
      <c r="O404" s="100"/>
      <c r="P404" s="71" t="s">
        <v>246</v>
      </c>
      <c r="Q404" s="60"/>
      <c r="R404" s="60"/>
      <c r="S404" s="125"/>
      <c r="T404" s="126">
        <f t="shared" si="52"/>
        <v>0</v>
      </c>
      <c r="U404" s="60"/>
      <c r="V404" s="151"/>
      <c r="W404" s="60"/>
      <c r="X404" s="61"/>
    </row>
    <row r="405" spans="1:24" ht="15" x14ac:dyDescent="0.25">
      <c r="A405" s="145" t="s">
        <v>152</v>
      </c>
      <c r="B405" s="59" t="s">
        <v>211</v>
      </c>
      <c r="C405" s="62" t="s">
        <v>215</v>
      </c>
      <c r="D405" s="63" t="s">
        <v>220</v>
      </c>
      <c r="E405" s="49" t="s">
        <v>440</v>
      </c>
      <c r="F405" s="59" t="s">
        <v>221</v>
      </c>
      <c r="G405" s="59" t="s">
        <v>224</v>
      </c>
      <c r="H405" s="98"/>
      <c r="I405" s="99"/>
      <c r="J405" s="99">
        <v>7.5</v>
      </c>
      <c r="K405" s="99">
        <f>J405</f>
        <v>7.5</v>
      </c>
      <c r="L405" s="136">
        <f>(60*4)</f>
        <v>240</v>
      </c>
      <c r="M405" s="136">
        <f>L405*12</f>
        <v>2880</v>
      </c>
      <c r="N405" s="100" t="e">
        <f t="shared" si="50"/>
        <v>#VALUE!</v>
      </c>
      <c r="O405" s="100">
        <f t="shared" si="51"/>
        <v>0</v>
      </c>
      <c r="P405" s="71"/>
      <c r="Q405" s="64" t="s">
        <v>237</v>
      </c>
      <c r="R405" s="63" t="s">
        <v>336</v>
      </c>
      <c r="S405" s="127">
        <f>((60*4)*3)/2</f>
        <v>360</v>
      </c>
      <c r="T405" s="126">
        <f t="shared" si="52"/>
        <v>0</v>
      </c>
      <c r="U405" s="67" t="s">
        <v>292</v>
      </c>
      <c r="V405" s="151">
        <v>0</v>
      </c>
      <c r="W405" s="63" t="s">
        <v>264</v>
      </c>
      <c r="X405" s="68"/>
    </row>
    <row r="406" spans="1:24" ht="15" x14ac:dyDescent="0.25">
      <c r="A406" s="145" t="s">
        <v>152</v>
      </c>
      <c r="B406" s="59" t="s">
        <v>211</v>
      </c>
      <c r="C406" s="62" t="s">
        <v>215</v>
      </c>
      <c r="D406" s="63" t="s">
        <v>220</v>
      </c>
      <c r="E406" s="49" t="s">
        <v>440</v>
      </c>
      <c r="F406" s="59" t="s">
        <v>221</v>
      </c>
      <c r="G406" s="59" t="s">
        <v>224</v>
      </c>
      <c r="H406" s="98"/>
      <c r="I406" s="99"/>
      <c r="J406" s="99">
        <v>7.5</v>
      </c>
      <c r="K406" s="99">
        <f>J406</f>
        <v>7.5</v>
      </c>
      <c r="L406" s="136">
        <f>(60*4)</f>
        <v>240</v>
      </c>
      <c r="M406" s="136">
        <f>L406*12</f>
        <v>2880</v>
      </c>
      <c r="N406" s="100" t="e">
        <f t="shared" si="50"/>
        <v>#VALUE!</v>
      </c>
      <c r="O406" s="100">
        <f t="shared" si="51"/>
        <v>0</v>
      </c>
      <c r="P406" s="71"/>
      <c r="Q406" s="66" t="s">
        <v>238</v>
      </c>
      <c r="R406" s="63" t="s">
        <v>253</v>
      </c>
      <c r="S406" s="127">
        <f>((60*4)*12)/2</f>
        <v>1440</v>
      </c>
      <c r="T406" s="126">
        <f t="shared" si="52"/>
        <v>0</v>
      </c>
      <c r="U406" s="67" t="s">
        <v>252</v>
      </c>
      <c r="V406" s="151" t="e">
        <f>[1]!Tabella1[[#This Row],[Booking Hours]]</f>
        <v>#REF!</v>
      </c>
      <c r="W406" s="60" t="e">
        <f>[1]!Tabella1[[#This Row],[Booking Period]]</f>
        <v>#REF!</v>
      </c>
      <c r="X406" s="68"/>
    </row>
    <row r="407" spans="1:24" ht="15" x14ac:dyDescent="0.25">
      <c r="A407" s="145" t="s">
        <v>152</v>
      </c>
      <c r="B407" s="59" t="s">
        <v>211</v>
      </c>
      <c r="C407" s="62" t="s">
        <v>215</v>
      </c>
      <c r="D407" s="63" t="s">
        <v>220</v>
      </c>
      <c r="E407" s="49" t="s">
        <v>440</v>
      </c>
      <c r="F407" s="59" t="s">
        <v>221</v>
      </c>
      <c r="G407" s="59" t="s">
        <v>224</v>
      </c>
      <c r="H407" s="98"/>
      <c r="I407" s="99"/>
      <c r="J407" s="99">
        <v>7.5</v>
      </c>
      <c r="K407" s="99">
        <f>J407</f>
        <v>7.5</v>
      </c>
      <c r="L407" s="136">
        <f>(60*4)</f>
        <v>240</v>
      </c>
      <c r="M407" s="136">
        <f>L407*12</f>
        <v>2880</v>
      </c>
      <c r="N407" s="100" t="e">
        <f t="shared" si="50"/>
        <v>#VALUE!</v>
      </c>
      <c r="O407" s="100">
        <f t="shared" si="51"/>
        <v>0</v>
      </c>
      <c r="P407" s="71"/>
      <c r="Q407" s="64" t="s">
        <v>230</v>
      </c>
      <c r="R407" s="63" t="s">
        <v>337</v>
      </c>
      <c r="S407" s="127">
        <f>((60*4)*12)/1.35</f>
        <v>2133.333333333333</v>
      </c>
      <c r="T407" s="126">
        <f t="shared" si="52"/>
        <v>0</v>
      </c>
      <c r="U407" s="67" t="s">
        <v>252</v>
      </c>
      <c r="V407" s="154">
        <v>1856</v>
      </c>
      <c r="W407" s="63" t="e">
        <f>[1]!Tabella1[[#This Row],[Booking Period]]</f>
        <v>#REF!</v>
      </c>
      <c r="X407" s="68"/>
    </row>
    <row r="408" spans="1:24" ht="15" x14ac:dyDescent="0.25">
      <c r="A408" s="145" t="s">
        <v>152</v>
      </c>
      <c r="B408" s="63" t="s">
        <v>212</v>
      </c>
      <c r="C408" s="62" t="s">
        <v>215</v>
      </c>
      <c r="D408" s="67" t="s">
        <v>20</v>
      </c>
      <c r="E408" s="50" t="s">
        <v>442</v>
      </c>
      <c r="F408" s="62" t="s">
        <v>221</v>
      </c>
      <c r="G408" s="59" t="s">
        <v>224</v>
      </c>
      <c r="H408" s="98"/>
      <c r="I408" s="99"/>
      <c r="J408" s="83">
        <v>5.416666666666667</v>
      </c>
      <c r="K408" s="99">
        <f>J408</f>
        <v>5.416666666666667</v>
      </c>
      <c r="L408" s="136">
        <f>(60*4)</f>
        <v>240</v>
      </c>
      <c r="M408" s="136">
        <f>L408*12</f>
        <v>2880</v>
      </c>
      <c r="N408" s="100" t="e">
        <f t="shared" si="50"/>
        <v>#VALUE!</v>
      </c>
      <c r="O408" s="100">
        <f t="shared" si="51"/>
        <v>0</v>
      </c>
      <c r="P408" s="71"/>
      <c r="Q408" s="66" t="s">
        <v>238</v>
      </c>
      <c r="R408" s="63" t="s">
        <v>305</v>
      </c>
      <c r="S408" s="126">
        <f>((60*4)*12)</f>
        <v>2880</v>
      </c>
      <c r="T408" s="126">
        <f t="shared" si="52"/>
        <v>0</v>
      </c>
      <c r="U408" s="63" t="s">
        <v>252</v>
      </c>
      <c r="V408" s="151" t="e">
        <f>[1]!Tabella1[[#This Row],[Booking Hours]]</f>
        <v>#REF!</v>
      </c>
      <c r="W408" s="63" t="e">
        <f>[1]!Tabella1[[#This Row],[Booking Period]]</f>
        <v>#REF!</v>
      </c>
      <c r="X408" s="65"/>
    </row>
    <row r="409" spans="1:24" ht="15" x14ac:dyDescent="0.25">
      <c r="A409" s="146" t="s">
        <v>152</v>
      </c>
      <c r="B409" s="80" t="s">
        <v>213</v>
      </c>
      <c r="C409" s="78" t="s">
        <v>215</v>
      </c>
      <c r="D409" s="60" t="s">
        <v>28</v>
      </c>
      <c r="E409" s="51" t="s">
        <v>28</v>
      </c>
      <c r="F409" s="77" t="s">
        <v>221</v>
      </c>
      <c r="G409" s="77" t="s">
        <v>224</v>
      </c>
      <c r="H409" s="104"/>
      <c r="I409" s="105"/>
      <c r="J409" s="105"/>
      <c r="K409" s="105"/>
      <c r="L409" s="136"/>
      <c r="M409" s="136"/>
      <c r="N409" s="100"/>
      <c r="O409" s="100"/>
      <c r="P409" s="71"/>
      <c r="Q409" s="64" t="s">
        <v>236</v>
      </c>
      <c r="R409" s="60" t="s">
        <v>267</v>
      </c>
      <c r="S409" s="128">
        <v>48</v>
      </c>
      <c r="T409" s="126">
        <f t="shared" si="52"/>
        <v>0</v>
      </c>
      <c r="U409" s="60" t="s">
        <v>263</v>
      </c>
      <c r="V409" s="151">
        <v>0</v>
      </c>
      <c r="W409" s="60" t="s">
        <v>264</v>
      </c>
      <c r="X409" s="70"/>
    </row>
    <row r="410" spans="1:24" ht="15" x14ac:dyDescent="0.25">
      <c r="A410" s="146" t="s">
        <v>152</v>
      </c>
      <c r="B410" s="80" t="s">
        <v>213</v>
      </c>
      <c r="C410" s="78" t="s">
        <v>215</v>
      </c>
      <c r="D410" s="60" t="s">
        <v>28</v>
      </c>
      <c r="E410" s="51" t="s">
        <v>28</v>
      </c>
      <c r="F410" s="77" t="s">
        <v>221</v>
      </c>
      <c r="G410" s="77" t="s">
        <v>224</v>
      </c>
      <c r="H410" s="104"/>
      <c r="I410" s="105"/>
      <c r="J410" s="105"/>
      <c r="K410" s="105"/>
      <c r="L410" s="136"/>
      <c r="M410" s="136"/>
      <c r="N410" s="100"/>
      <c r="O410" s="100"/>
      <c r="P410" s="71"/>
      <c r="Q410" s="64" t="s">
        <v>237</v>
      </c>
      <c r="R410" s="60" t="s">
        <v>267</v>
      </c>
      <c r="S410" s="128">
        <v>48</v>
      </c>
      <c r="T410" s="126">
        <f t="shared" si="52"/>
        <v>0</v>
      </c>
      <c r="U410" s="60" t="s">
        <v>263</v>
      </c>
      <c r="V410" s="151" t="e">
        <f>[1]!Tabella1[[#This Row],[Booking Hours]]</f>
        <v>#REF!</v>
      </c>
      <c r="W410" s="60" t="e">
        <f>[1]!Tabella1[[#This Row],[Booking Period]]</f>
        <v>#REF!</v>
      </c>
      <c r="X410" s="70"/>
    </row>
    <row r="411" spans="1:24" ht="15" x14ac:dyDescent="0.25">
      <c r="A411" s="146" t="s">
        <v>152</v>
      </c>
      <c r="B411" s="80" t="s">
        <v>213</v>
      </c>
      <c r="C411" s="78" t="s">
        <v>215</v>
      </c>
      <c r="D411" s="60" t="s">
        <v>28</v>
      </c>
      <c r="E411" s="51" t="s">
        <v>28</v>
      </c>
      <c r="F411" s="77" t="s">
        <v>221</v>
      </c>
      <c r="G411" s="77" t="s">
        <v>224</v>
      </c>
      <c r="H411" s="104"/>
      <c r="I411" s="105"/>
      <c r="J411" s="105"/>
      <c r="K411" s="105"/>
      <c r="L411" s="136"/>
      <c r="M411" s="136"/>
      <c r="N411" s="100"/>
      <c r="O411" s="100"/>
      <c r="P411" s="71"/>
      <c r="Q411" s="66" t="s">
        <v>238</v>
      </c>
      <c r="R411" s="60" t="s">
        <v>267</v>
      </c>
      <c r="S411" s="128">
        <v>144</v>
      </c>
      <c r="T411" s="126">
        <f t="shared" si="52"/>
        <v>0</v>
      </c>
      <c r="U411" s="60" t="s">
        <v>263</v>
      </c>
      <c r="V411" s="151" t="e">
        <f>[1]!Tabella1[[#This Row],[Booking Hours]]</f>
        <v>#REF!</v>
      </c>
      <c r="W411" s="60" t="e">
        <f>[1]!Tabella1[[#This Row],[Booking Period]]</f>
        <v>#REF!</v>
      </c>
      <c r="X411" s="70"/>
    </row>
    <row r="412" spans="1:24" ht="15" x14ac:dyDescent="0.25">
      <c r="A412" s="146" t="s">
        <v>152</v>
      </c>
      <c r="B412" s="80" t="s">
        <v>213</v>
      </c>
      <c r="C412" s="78" t="s">
        <v>215</v>
      </c>
      <c r="D412" s="60" t="s">
        <v>28</v>
      </c>
      <c r="E412" s="51" t="s">
        <v>28</v>
      </c>
      <c r="F412" s="77" t="s">
        <v>221</v>
      </c>
      <c r="G412" s="77" t="s">
        <v>224</v>
      </c>
      <c r="H412" s="104"/>
      <c r="I412" s="105"/>
      <c r="J412" s="105"/>
      <c r="K412" s="105"/>
      <c r="L412" s="136"/>
      <c r="M412" s="136"/>
      <c r="N412" s="100"/>
      <c r="O412" s="100"/>
      <c r="P412" s="71"/>
      <c r="Q412" s="64" t="s">
        <v>230</v>
      </c>
      <c r="R412" s="60" t="s">
        <v>267</v>
      </c>
      <c r="S412" s="128">
        <v>144</v>
      </c>
      <c r="T412" s="126">
        <f t="shared" si="52"/>
        <v>0</v>
      </c>
      <c r="U412" s="60" t="s">
        <v>263</v>
      </c>
      <c r="V412" s="151" t="e">
        <f>[1]!Tabella1[[#This Row],[Booking Hours]]</f>
        <v>#REF!</v>
      </c>
      <c r="W412" s="63" t="e">
        <f>[1]!Tabella1[[#This Row],[Booking Period]]</f>
        <v>#REF!</v>
      </c>
      <c r="X412" s="70"/>
    </row>
    <row r="413" spans="1:24" ht="15" x14ac:dyDescent="0.25">
      <c r="A413" s="146" t="s">
        <v>152</v>
      </c>
      <c r="B413" s="80" t="s">
        <v>213</v>
      </c>
      <c r="C413" s="78" t="s">
        <v>215</v>
      </c>
      <c r="D413" s="60" t="s">
        <v>28</v>
      </c>
      <c r="E413" s="51" t="s">
        <v>28</v>
      </c>
      <c r="F413" s="77" t="s">
        <v>221</v>
      </c>
      <c r="G413" s="77" t="s">
        <v>224</v>
      </c>
      <c r="H413" s="104"/>
      <c r="I413" s="105"/>
      <c r="J413" s="105"/>
      <c r="K413" s="105"/>
      <c r="L413" s="136"/>
      <c r="M413" s="136"/>
      <c r="N413" s="100"/>
      <c r="O413" s="100"/>
      <c r="P413" s="71"/>
      <c r="Q413" s="64" t="s">
        <v>234</v>
      </c>
      <c r="R413" s="60" t="s">
        <v>267</v>
      </c>
      <c r="S413" s="128">
        <v>144</v>
      </c>
      <c r="T413" s="126">
        <f t="shared" si="52"/>
        <v>0</v>
      </c>
      <c r="U413" s="60" t="s">
        <v>265</v>
      </c>
      <c r="V413" s="151" t="e">
        <f>[1]!Tabella1[[#This Row],[Booking Hours]]</f>
        <v>#REF!</v>
      </c>
      <c r="W413" s="60" t="e">
        <f>[1]!Tabella1[[#This Row],[Booking Period]]</f>
        <v>#REF!</v>
      </c>
      <c r="X413" s="70"/>
    </row>
    <row r="414" spans="1:24" ht="15" x14ac:dyDescent="0.25">
      <c r="A414" s="146" t="s">
        <v>152</v>
      </c>
      <c r="B414" s="80" t="s">
        <v>213</v>
      </c>
      <c r="C414" s="78" t="s">
        <v>215</v>
      </c>
      <c r="D414" s="60" t="s">
        <v>28</v>
      </c>
      <c r="E414" s="51" t="s">
        <v>28</v>
      </c>
      <c r="F414" s="77" t="s">
        <v>221</v>
      </c>
      <c r="G414" s="77" t="s">
        <v>224</v>
      </c>
      <c r="H414" s="104"/>
      <c r="I414" s="105"/>
      <c r="J414" s="105"/>
      <c r="K414" s="105"/>
      <c r="L414" s="136"/>
      <c r="M414" s="136"/>
      <c r="N414" s="100"/>
      <c r="O414" s="100"/>
      <c r="P414" s="71"/>
      <c r="Q414" s="64" t="s">
        <v>235</v>
      </c>
      <c r="R414" s="60" t="s">
        <v>267</v>
      </c>
      <c r="S414" s="128">
        <v>36</v>
      </c>
      <c r="T414" s="126">
        <f t="shared" si="52"/>
        <v>0</v>
      </c>
      <c r="U414" s="60" t="s">
        <v>266</v>
      </c>
      <c r="V414" s="151"/>
      <c r="W414" s="153" t="s">
        <v>260</v>
      </c>
      <c r="X414" s="70"/>
    </row>
    <row r="415" spans="1:24" ht="15" x14ac:dyDescent="0.25">
      <c r="A415" s="146" t="s">
        <v>152</v>
      </c>
      <c r="B415" s="80" t="s">
        <v>213</v>
      </c>
      <c r="C415" s="78" t="s">
        <v>215</v>
      </c>
      <c r="D415" s="60" t="s">
        <v>28</v>
      </c>
      <c r="E415" s="51" t="s">
        <v>28</v>
      </c>
      <c r="F415" s="77" t="s">
        <v>221</v>
      </c>
      <c r="G415" s="77" t="s">
        <v>224</v>
      </c>
      <c r="H415" s="104"/>
      <c r="I415" s="105"/>
      <c r="J415" s="105"/>
      <c r="K415" s="105"/>
      <c r="L415" s="136"/>
      <c r="M415" s="136"/>
      <c r="N415" s="100"/>
      <c r="O415" s="100"/>
      <c r="P415" s="71"/>
      <c r="Q415" s="64" t="s">
        <v>232</v>
      </c>
      <c r="R415" s="60" t="s">
        <v>267</v>
      </c>
      <c r="S415" s="128">
        <v>144</v>
      </c>
      <c r="T415" s="126">
        <f t="shared" si="52"/>
        <v>0</v>
      </c>
      <c r="U415" s="60" t="s">
        <v>263</v>
      </c>
      <c r="V415" s="151">
        <v>0</v>
      </c>
      <c r="W415" s="63" t="s">
        <v>264</v>
      </c>
      <c r="X415" s="70"/>
    </row>
    <row r="416" spans="1:24" ht="15" x14ac:dyDescent="0.25">
      <c r="A416" s="146" t="s">
        <v>152</v>
      </c>
      <c r="B416" s="80" t="s">
        <v>213</v>
      </c>
      <c r="C416" s="78" t="s">
        <v>215</v>
      </c>
      <c r="D416" s="60" t="s">
        <v>28</v>
      </c>
      <c r="E416" s="51" t="s">
        <v>28</v>
      </c>
      <c r="F416" s="77" t="s">
        <v>221</v>
      </c>
      <c r="G416" s="77" t="s">
        <v>224</v>
      </c>
      <c r="H416" s="104"/>
      <c r="I416" s="105"/>
      <c r="J416" s="105"/>
      <c r="K416" s="105"/>
      <c r="L416" s="136"/>
      <c r="M416" s="136"/>
      <c r="N416" s="100"/>
      <c r="O416" s="100"/>
      <c r="P416" s="71"/>
      <c r="Q416" s="64" t="s">
        <v>233</v>
      </c>
      <c r="R416" s="60" t="s">
        <v>267</v>
      </c>
      <c r="S416" s="128">
        <v>144</v>
      </c>
      <c r="T416" s="126">
        <f t="shared" si="52"/>
        <v>0</v>
      </c>
      <c r="U416" s="60" t="s">
        <v>263</v>
      </c>
      <c r="V416" s="151"/>
      <c r="W416" s="71" t="s">
        <v>100</v>
      </c>
      <c r="X416" s="70"/>
    </row>
    <row r="417" spans="1:24" ht="15" x14ac:dyDescent="0.25">
      <c r="A417" s="146" t="s">
        <v>152</v>
      </c>
      <c r="B417" s="80" t="s">
        <v>213</v>
      </c>
      <c r="C417" s="78" t="s">
        <v>215</v>
      </c>
      <c r="D417" s="60" t="s">
        <v>28</v>
      </c>
      <c r="E417" s="51" t="s">
        <v>28</v>
      </c>
      <c r="F417" s="77" t="s">
        <v>221</v>
      </c>
      <c r="G417" s="77" t="s">
        <v>224</v>
      </c>
      <c r="H417" s="104"/>
      <c r="I417" s="105"/>
      <c r="J417" s="105"/>
      <c r="K417" s="105"/>
      <c r="L417" s="136"/>
      <c r="M417" s="136"/>
      <c r="N417" s="100"/>
      <c r="O417" s="100"/>
      <c r="P417" s="71"/>
      <c r="Q417" s="64" t="s">
        <v>239</v>
      </c>
      <c r="R417" s="60" t="s">
        <v>267</v>
      </c>
      <c r="S417" s="128">
        <v>48</v>
      </c>
      <c r="T417" s="126">
        <f t="shared" si="52"/>
        <v>0</v>
      </c>
      <c r="U417" s="60" t="s">
        <v>263</v>
      </c>
      <c r="V417" s="151" t="e">
        <f>[1]!Tabella1[[#This Row],[Booking Hours]]</f>
        <v>#REF!</v>
      </c>
      <c r="W417" s="60" t="e">
        <f>[1]!Tabella1[[#This Row],[Booking Period]]</f>
        <v>#REF!</v>
      </c>
      <c r="X417" s="70"/>
    </row>
    <row r="418" spans="1:24" ht="15" x14ac:dyDescent="0.25">
      <c r="A418" s="146" t="s">
        <v>152</v>
      </c>
      <c r="B418" s="80" t="s">
        <v>213</v>
      </c>
      <c r="C418" s="78" t="s">
        <v>215</v>
      </c>
      <c r="D418" s="60" t="s">
        <v>28</v>
      </c>
      <c r="E418" s="51" t="s">
        <v>28</v>
      </c>
      <c r="F418" s="77" t="s">
        <v>221</v>
      </c>
      <c r="G418" s="77" t="s">
        <v>224</v>
      </c>
      <c r="H418" s="104"/>
      <c r="I418" s="105"/>
      <c r="J418" s="105"/>
      <c r="K418" s="105"/>
      <c r="L418" s="136"/>
      <c r="M418" s="136"/>
      <c r="N418" s="100"/>
      <c r="O418" s="100"/>
      <c r="P418" s="71"/>
      <c r="Q418" s="64" t="s">
        <v>237</v>
      </c>
      <c r="R418" s="60" t="s">
        <v>282</v>
      </c>
      <c r="S418" s="128">
        <v>180</v>
      </c>
      <c r="T418" s="126">
        <f t="shared" si="52"/>
        <v>0</v>
      </c>
      <c r="U418" s="60" t="s">
        <v>263</v>
      </c>
      <c r="V418" s="151">
        <v>0</v>
      </c>
      <c r="W418" s="60" t="s">
        <v>264</v>
      </c>
      <c r="X418" s="70"/>
    </row>
    <row r="419" spans="1:24" ht="15" x14ac:dyDescent="0.25">
      <c r="A419" s="146" t="s">
        <v>152</v>
      </c>
      <c r="B419" s="80" t="s">
        <v>213</v>
      </c>
      <c r="C419" s="78" t="s">
        <v>215</v>
      </c>
      <c r="D419" s="60" t="s">
        <v>28</v>
      </c>
      <c r="E419" s="51" t="s">
        <v>28</v>
      </c>
      <c r="F419" s="77" t="s">
        <v>221</v>
      </c>
      <c r="G419" s="77" t="s">
        <v>224</v>
      </c>
      <c r="H419" s="104"/>
      <c r="I419" s="105"/>
      <c r="J419" s="105"/>
      <c r="K419" s="105"/>
      <c r="L419" s="136"/>
      <c r="M419" s="136"/>
      <c r="N419" s="100"/>
      <c r="O419" s="100"/>
      <c r="P419" s="71"/>
      <c r="Q419" s="66" t="s">
        <v>238</v>
      </c>
      <c r="R419" s="60" t="s">
        <v>282</v>
      </c>
      <c r="S419" s="128">
        <v>180</v>
      </c>
      <c r="T419" s="126">
        <f t="shared" si="52"/>
        <v>0</v>
      </c>
      <c r="U419" s="60" t="s">
        <v>263</v>
      </c>
      <c r="V419" s="151">
        <v>0</v>
      </c>
      <c r="W419" s="60" t="s">
        <v>264</v>
      </c>
      <c r="X419" s="70"/>
    </row>
    <row r="420" spans="1:24" ht="15" x14ac:dyDescent="0.25">
      <c r="A420" s="146" t="s">
        <v>152</v>
      </c>
      <c r="B420" s="80" t="s">
        <v>213</v>
      </c>
      <c r="C420" s="78" t="s">
        <v>215</v>
      </c>
      <c r="D420" s="60" t="s">
        <v>28</v>
      </c>
      <c r="E420" s="51" t="s">
        <v>28</v>
      </c>
      <c r="F420" s="77" t="s">
        <v>221</v>
      </c>
      <c r="G420" s="77" t="s">
        <v>224</v>
      </c>
      <c r="H420" s="104"/>
      <c r="I420" s="105"/>
      <c r="J420" s="105"/>
      <c r="K420" s="105"/>
      <c r="L420" s="136"/>
      <c r="M420" s="136"/>
      <c r="N420" s="100"/>
      <c r="O420" s="100"/>
      <c r="P420" s="71"/>
      <c r="Q420" s="64" t="s">
        <v>230</v>
      </c>
      <c r="R420" s="60" t="s">
        <v>282</v>
      </c>
      <c r="S420" s="128">
        <v>360</v>
      </c>
      <c r="T420" s="126">
        <f t="shared" si="52"/>
        <v>0</v>
      </c>
      <c r="U420" s="60" t="s">
        <v>263</v>
      </c>
      <c r="V420" s="151" t="e">
        <f>[1]!Tabella1[[#This Row],[Booking Hours]]</f>
        <v>#REF!</v>
      </c>
      <c r="W420" s="63" t="e">
        <f>[1]!Tabella1[[#This Row],[Booking Period]]</f>
        <v>#REF!</v>
      </c>
      <c r="X420" s="70"/>
    </row>
    <row r="421" spans="1:24" ht="15" x14ac:dyDescent="0.25">
      <c r="A421" s="146" t="s">
        <v>152</v>
      </c>
      <c r="B421" s="80" t="s">
        <v>213</v>
      </c>
      <c r="C421" s="78" t="s">
        <v>215</v>
      </c>
      <c r="D421" s="60" t="s">
        <v>28</v>
      </c>
      <c r="E421" s="51" t="s">
        <v>28</v>
      </c>
      <c r="F421" s="77" t="s">
        <v>221</v>
      </c>
      <c r="G421" s="77" t="s">
        <v>224</v>
      </c>
      <c r="H421" s="104"/>
      <c r="I421" s="105"/>
      <c r="J421" s="105"/>
      <c r="K421" s="105"/>
      <c r="L421" s="136"/>
      <c r="M421" s="136"/>
      <c r="N421" s="100"/>
      <c r="O421" s="100"/>
      <c r="P421" s="71"/>
      <c r="Q421" s="66" t="s">
        <v>231</v>
      </c>
      <c r="R421" s="60" t="s">
        <v>282</v>
      </c>
      <c r="S421" s="128">
        <v>180</v>
      </c>
      <c r="T421" s="126">
        <f t="shared" si="52"/>
        <v>0</v>
      </c>
      <c r="U421" s="60" t="s">
        <v>263</v>
      </c>
      <c r="V421" s="151">
        <v>100</v>
      </c>
      <c r="W421" s="60" t="s">
        <v>254</v>
      </c>
      <c r="X421" s="70"/>
    </row>
    <row r="422" spans="1:24" ht="15" x14ac:dyDescent="0.25">
      <c r="A422" s="146" t="s">
        <v>152</v>
      </c>
      <c r="B422" s="80" t="s">
        <v>213</v>
      </c>
      <c r="C422" s="78" t="s">
        <v>215</v>
      </c>
      <c r="D422" s="60" t="s">
        <v>28</v>
      </c>
      <c r="E422" s="51" t="s">
        <v>28</v>
      </c>
      <c r="F422" s="77" t="s">
        <v>221</v>
      </c>
      <c r="G422" s="77" t="s">
        <v>224</v>
      </c>
      <c r="H422" s="104"/>
      <c r="I422" s="105"/>
      <c r="J422" s="105"/>
      <c r="K422" s="105"/>
      <c r="L422" s="136"/>
      <c r="M422" s="136"/>
      <c r="N422" s="100"/>
      <c r="O422" s="100"/>
      <c r="P422" s="71"/>
      <c r="Q422" s="64" t="s">
        <v>234</v>
      </c>
      <c r="R422" s="60" t="s">
        <v>282</v>
      </c>
      <c r="S422" s="128">
        <v>240</v>
      </c>
      <c r="T422" s="126">
        <f t="shared" si="52"/>
        <v>0</v>
      </c>
      <c r="U422" s="60" t="s">
        <v>265</v>
      </c>
      <c r="V422" s="151" t="e">
        <f>[1]!Tabella1[[#This Row],[Booking Hours]]</f>
        <v>#REF!</v>
      </c>
      <c r="W422" s="60" t="e">
        <f>[1]!Tabella1[[#This Row],[Booking Period]]</f>
        <v>#REF!</v>
      </c>
      <c r="X422" s="70"/>
    </row>
    <row r="423" spans="1:24" ht="15" x14ac:dyDescent="0.25">
      <c r="A423" s="146" t="s">
        <v>152</v>
      </c>
      <c r="B423" s="80" t="s">
        <v>213</v>
      </c>
      <c r="C423" s="78" t="s">
        <v>215</v>
      </c>
      <c r="D423" s="60" t="s">
        <v>28</v>
      </c>
      <c r="E423" s="51" t="s">
        <v>28</v>
      </c>
      <c r="F423" s="77" t="s">
        <v>221</v>
      </c>
      <c r="G423" s="77" t="s">
        <v>224</v>
      </c>
      <c r="H423" s="104"/>
      <c r="I423" s="105"/>
      <c r="J423" s="105"/>
      <c r="K423" s="105"/>
      <c r="L423" s="136"/>
      <c r="M423" s="136"/>
      <c r="N423" s="100"/>
      <c r="O423" s="100"/>
      <c r="P423" s="71"/>
      <c r="Q423" s="64" t="s">
        <v>235</v>
      </c>
      <c r="R423" s="60" t="s">
        <v>282</v>
      </c>
      <c r="S423" s="128">
        <v>90</v>
      </c>
      <c r="T423" s="126">
        <f t="shared" si="52"/>
        <v>0</v>
      </c>
      <c r="U423" s="60" t="s">
        <v>266</v>
      </c>
      <c r="V423" s="151"/>
      <c r="W423" s="153" t="s">
        <v>260</v>
      </c>
      <c r="X423" s="70"/>
    </row>
    <row r="424" spans="1:24" ht="15" x14ac:dyDescent="0.25">
      <c r="A424" s="146" t="s">
        <v>152</v>
      </c>
      <c r="B424" s="80" t="s">
        <v>213</v>
      </c>
      <c r="C424" s="78" t="s">
        <v>215</v>
      </c>
      <c r="D424" s="60" t="s">
        <v>28</v>
      </c>
      <c r="E424" s="51" t="s">
        <v>28</v>
      </c>
      <c r="F424" s="77" t="s">
        <v>221</v>
      </c>
      <c r="G424" s="77" t="s">
        <v>224</v>
      </c>
      <c r="H424" s="104"/>
      <c r="I424" s="105"/>
      <c r="J424" s="105"/>
      <c r="K424" s="105"/>
      <c r="L424" s="136"/>
      <c r="M424" s="136"/>
      <c r="N424" s="100"/>
      <c r="O424" s="100"/>
      <c r="P424" s="71"/>
      <c r="Q424" s="64" t="s">
        <v>232</v>
      </c>
      <c r="R424" s="60" t="s">
        <v>282</v>
      </c>
      <c r="S424" s="128">
        <v>260</v>
      </c>
      <c r="T424" s="126">
        <f t="shared" si="52"/>
        <v>0</v>
      </c>
      <c r="U424" s="60" t="s">
        <v>263</v>
      </c>
      <c r="V424" s="151">
        <v>0</v>
      </c>
      <c r="W424" s="63" t="s">
        <v>264</v>
      </c>
      <c r="X424" s="70"/>
    </row>
    <row r="425" spans="1:24" ht="15" x14ac:dyDescent="0.25">
      <c r="A425" s="146" t="s">
        <v>152</v>
      </c>
      <c r="B425" s="80" t="s">
        <v>213</v>
      </c>
      <c r="C425" s="78" t="s">
        <v>215</v>
      </c>
      <c r="D425" s="60" t="s">
        <v>28</v>
      </c>
      <c r="E425" s="51" t="s">
        <v>28</v>
      </c>
      <c r="F425" s="77" t="s">
        <v>221</v>
      </c>
      <c r="G425" s="77" t="s">
        <v>224</v>
      </c>
      <c r="H425" s="104"/>
      <c r="I425" s="105"/>
      <c r="J425" s="105"/>
      <c r="K425" s="105"/>
      <c r="L425" s="136"/>
      <c r="M425" s="136"/>
      <c r="N425" s="100"/>
      <c r="O425" s="100"/>
      <c r="P425" s="71"/>
      <c r="Q425" s="64" t="s">
        <v>233</v>
      </c>
      <c r="R425" s="60" t="s">
        <v>282</v>
      </c>
      <c r="S425" s="128">
        <v>260</v>
      </c>
      <c r="T425" s="126">
        <f t="shared" si="52"/>
        <v>0</v>
      </c>
      <c r="U425" s="60" t="s">
        <v>263</v>
      </c>
      <c r="V425" s="151" t="e">
        <f>[1]!Tabella1[[#This Row],[Booking Hours]]</f>
        <v>#REF!</v>
      </c>
      <c r="W425" s="60" t="e">
        <f>[1]!Tabella1[[#This Row],[Booking Period]]</f>
        <v>#REF!</v>
      </c>
      <c r="X425" s="70"/>
    </row>
    <row r="426" spans="1:24" ht="15" x14ac:dyDescent="0.25">
      <c r="A426" s="146" t="s">
        <v>152</v>
      </c>
      <c r="B426" s="80" t="s">
        <v>213</v>
      </c>
      <c r="C426" s="78" t="s">
        <v>215</v>
      </c>
      <c r="D426" s="60" t="s">
        <v>28</v>
      </c>
      <c r="E426" s="51" t="s">
        <v>28</v>
      </c>
      <c r="F426" s="77" t="s">
        <v>221</v>
      </c>
      <c r="G426" s="77" t="s">
        <v>224</v>
      </c>
      <c r="H426" s="104"/>
      <c r="I426" s="105"/>
      <c r="J426" s="105"/>
      <c r="K426" s="105"/>
      <c r="L426" s="136"/>
      <c r="M426" s="136"/>
      <c r="N426" s="100"/>
      <c r="O426" s="100"/>
      <c r="P426" s="71"/>
      <c r="Q426" s="60" t="s">
        <v>243</v>
      </c>
      <c r="R426" s="60" t="s">
        <v>282</v>
      </c>
      <c r="S426" s="128">
        <v>100</v>
      </c>
      <c r="T426" s="126">
        <f t="shared" si="52"/>
        <v>0</v>
      </c>
      <c r="U426" s="60" t="s">
        <v>263</v>
      </c>
      <c r="V426" s="151">
        <v>0</v>
      </c>
      <c r="W426" s="60" t="s">
        <v>264</v>
      </c>
      <c r="X426" s="70"/>
    </row>
    <row r="427" spans="1:24" ht="15" x14ac:dyDescent="0.25">
      <c r="A427" s="146" t="s">
        <v>152</v>
      </c>
      <c r="B427" s="80" t="s">
        <v>213</v>
      </c>
      <c r="C427" s="78" t="s">
        <v>215</v>
      </c>
      <c r="D427" s="60" t="s">
        <v>28</v>
      </c>
      <c r="E427" s="51" t="s">
        <v>28</v>
      </c>
      <c r="F427" s="77" t="s">
        <v>221</v>
      </c>
      <c r="G427" s="77" t="s">
        <v>224</v>
      </c>
      <c r="H427" s="104"/>
      <c r="I427" s="105"/>
      <c r="J427" s="105"/>
      <c r="K427" s="105"/>
      <c r="L427" s="136"/>
      <c r="M427" s="136"/>
      <c r="N427" s="100"/>
      <c r="O427" s="100"/>
      <c r="P427" s="71"/>
      <c r="Q427" s="60" t="s">
        <v>244</v>
      </c>
      <c r="R427" s="60" t="s">
        <v>282</v>
      </c>
      <c r="S427" s="128">
        <v>100</v>
      </c>
      <c r="T427" s="126">
        <f t="shared" si="52"/>
        <v>0</v>
      </c>
      <c r="U427" s="60" t="s">
        <v>263</v>
      </c>
      <c r="V427" s="151">
        <v>0</v>
      </c>
      <c r="W427" s="60" t="s">
        <v>264</v>
      </c>
      <c r="X427" s="70"/>
    </row>
    <row r="428" spans="1:24" ht="15" x14ac:dyDescent="0.25">
      <c r="A428" s="145" t="s">
        <v>153</v>
      </c>
      <c r="B428" s="85" t="s">
        <v>200</v>
      </c>
      <c r="C428" s="72" t="s">
        <v>216</v>
      </c>
      <c r="D428" s="86" t="s">
        <v>20</v>
      </c>
      <c r="E428" s="49" t="s">
        <v>442</v>
      </c>
      <c r="F428" s="63" t="s">
        <v>222</v>
      </c>
      <c r="G428" s="59" t="s">
        <v>225</v>
      </c>
      <c r="H428" s="98">
        <v>57.21</v>
      </c>
      <c r="I428" s="99">
        <v>61.93</v>
      </c>
      <c r="J428" s="99"/>
      <c r="K428" s="83">
        <f t="shared" ref="K428" si="53">I428</f>
        <v>61.93</v>
      </c>
      <c r="L428" s="136">
        <f t="shared" ref="L428" si="54">M428/12</f>
        <v>174.91666666666666</v>
      </c>
      <c r="M428" s="136">
        <v>2099</v>
      </c>
      <c r="N428" s="100" t="e">
        <f t="shared" si="50"/>
        <v>#VALUE!</v>
      </c>
      <c r="O428" s="100">
        <f t="shared" si="51"/>
        <v>0</v>
      </c>
      <c r="P428" s="71"/>
      <c r="Q428" s="87" t="s">
        <v>248</v>
      </c>
      <c r="R428" s="86" t="s">
        <v>317</v>
      </c>
      <c r="S428" s="127">
        <f>((45*4)*3)/2</f>
        <v>270</v>
      </c>
      <c r="T428" s="126">
        <f t="shared" si="52"/>
        <v>16721.099999999999</v>
      </c>
      <c r="U428" s="60" t="s">
        <v>292</v>
      </c>
      <c r="V428" s="151" t="e">
        <f>[1]!Tabella1[[#This Row],[Booking Hours]]</f>
        <v>#REF!</v>
      </c>
      <c r="W428" s="63" t="e">
        <f>[1]!Tabella1[[#This Row],[Booking Period]]</f>
        <v>#REF!</v>
      </c>
      <c r="X428" s="68"/>
    </row>
    <row r="429" spans="1:24" ht="15" x14ac:dyDescent="0.25">
      <c r="A429" s="145" t="s">
        <v>153</v>
      </c>
      <c r="B429" s="60" t="s">
        <v>183</v>
      </c>
      <c r="C429" s="59" t="s">
        <v>216</v>
      </c>
      <c r="D429" s="86" t="s">
        <v>20</v>
      </c>
      <c r="E429" s="49" t="s">
        <v>442</v>
      </c>
      <c r="F429" s="63" t="s">
        <v>222</v>
      </c>
      <c r="G429" s="59" t="s">
        <v>225</v>
      </c>
      <c r="H429" s="98">
        <v>57.21</v>
      </c>
      <c r="I429" s="99">
        <v>61.93</v>
      </c>
      <c r="J429" s="83"/>
      <c r="K429" s="83">
        <f>I429</f>
        <v>61.93</v>
      </c>
      <c r="L429" s="136">
        <f>M429/12</f>
        <v>174.91666666666666</v>
      </c>
      <c r="M429" s="136">
        <v>2099</v>
      </c>
      <c r="N429" s="100" t="e">
        <f t="shared" si="50"/>
        <v>#VALUE!</v>
      </c>
      <c r="O429" s="100">
        <f t="shared" si="51"/>
        <v>0</v>
      </c>
      <c r="P429" s="71"/>
      <c r="Q429" s="87" t="s">
        <v>248</v>
      </c>
      <c r="R429" s="86" t="s">
        <v>305</v>
      </c>
      <c r="S429" s="127">
        <f>((45*4)*3)</f>
        <v>540</v>
      </c>
      <c r="T429" s="126">
        <f t="shared" si="52"/>
        <v>33442.199999999997</v>
      </c>
      <c r="U429" s="60" t="s">
        <v>292</v>
      </c>
      <c r="V429" s="151" t="e">
        <f>[1]!Tabella1[[#This Row],[Booking Hours]]</f>
        <v>#REF!</v>
      </c>
      <c r="W429" s="63" t="e">
        <f>[1]!Tabella1[[#This Row],[Booking Period]]</f>
        <v>#REF!</v>
      </c>
      <c r="X429" s="68"/>
    </row>
    <row r="430" spans="1:24" ht="15" x14ac:dyDescent="0.25">
      <c r="A430" s="145" t="s">
        <v>152</v>
      </c>
      <c r="B430" s="87" t="s">
        <v>208</v>
      </c>
      <c r="C430" s="62" t="s">
        <v>215</v>
      </c>
      <c r="D430" s="86" t="s">
        <v>20</v>
      </c>
      <c r="E430" s="49" t="s">
        <v>442</v>
      </c>
      <c r="F430" s="63" t="s">
        <v>221</v>
      </c>
      <c r="G430" s="59" t="s">
        <v>224</v>
      </c>
      <c r="H430" s="82"/>
      <c r="I430" s="83"/>
      <c r="J430" s="83"/>
      <c r="K430" s="83">
        <v>5.416666666666667</v>
      </c>
      <c r="L430" s="136">
        <f>M430/12</f>
        <v>0</v>
      </c>
      <c r="M430" s="136"/>
      <c r="N430" s="100"/>
      <c r="O430" s="100"/>
      <c r="P430" s="71"/>
      <c r="Q430" s="87" t="s">
        <v>248</v>
      </c>
      <c r="R430" s="67" t="s">
        <v>338</v>
      </c>
      <c r="S430" s="127">
        <f>((60*4)*3)*15</f>
        <v>10800</v>
      </c>
      <c r="T430" s="126">
        <f t="shared" si="52"/>
        <v>0</v>
      </c>
      <c r="U430" s="60" t="s">
        <v>292</v>
      </c>
      <c r="V430" s="151" t="e">
        <f>[1]!Tabella1[[#This Row],[Booking Hours]]</f>
        <v>#REF!</v>
      </c>
      <c r="W430" s="63" t="e">
        <f>[1]!Tabella1[[#This Row],[Booking Period]]</f>
        <v>#REF!</v>
      </c>
      <c r="X430" s="79"/>
    </row>
    <row r="431" spans="1:24" ht="15" x14ac:dyDescent="0.25">
      <c r="A431" s="145">
        <v>667100</v>
      </c>
      <c r="B431" s="60" t="s">
        <v>171</v>
      </c>
      <c r="C431" s="59" t="s">
        <v>216</v>
      </c>
      <c r="D431" s="60" t="s">
        <v>20</v>
      </c>
      <c r="E431" s="49" t="s">
        <v>444</v>
      </c>
      <c r="F431" s="63" t="s">
        <v>222</v>
      </c>
      <c r="G431" s="59" t="s">
        <v>225</v>
      </c>
      <c r="H431" s="98">
        <v>57.21</v>
      </c>
      <c r="I431" s="99">
        <v>61.93</v>
      </c>
      <c r="J431" s="99"/>
      <c r="K431" s="83">
        <f t="shared" ref="K431" si="55">I431</f>
        <v>61.93</v>
      </c>
      <c r="L431" s="136">
        <f t="shared" ref="L431" si="56">M431/12</f>
        <v>174.91666666666666</v>
      </c>
      <c r="M431" s="136">
        <v>2099</v>
      </c>
      <c r="N431" s="100" t="e">
        <f t="shared" si="50"/>
        <v>#VALUE!</v>
      </c>
      <c r="O431" s="100">
        <f t="shared" si="51"/>
        <v>0</v>
      </c>
      <c r="P431" s="71"/>
      <c r="Q431" s="87" t="s">
        <v>248</v>
      </c>
      <c r="R431" s="60" t="s">
        <v>297</v>
      </c>
      <c r="S431" s="127">
        <f>((45*4)*3)/2</f>
        <v>270</v>
      </c>
      <c r="T431" s="126">
        <f t="shared" si="52"/>
        <v>16721.099999999999</v>
      </c>
      <c r="U431" s="60" t="s">
        <v>292</v>
      </c>
      <c r="V431" s="151" t="e">
        <f>[1]!Tabella1[[#This Row],[Booking Hours]]</f>
        <v>#REF!</v>
      </c>
      <c r="W431" s="63" t="e">
        <f>[1]!Tabella1[[#This Row],[Booking Period]]</f>
        <v>#REF!</v>
      </c>
      <c r="X431" s="68"/>
    </row>
    <row r="432" spans="1:24" ht="30" x14ac:dyDescent="0.25">
      <c r="A432" s="145" t="s">
        <v>153</v>
      </c>
      <c r="B432" s="72" t="s">
        <v>195</v>
      </c>
      <c r="C432" s="72" t="s">
        <v>216</v>
      </c>
      <c r="D432" s="63" t="s">
        <v>20</v>
      </c>
      <c r="E432" s="50" t="s">
        <v>441</v>
      </c>
      <c r="F432" s="59" t="s">
        <v>222</v>
      </c>
      <c r="G432" s="59" t="s">
        <v>225</v>
      </c>
      <c r="H432" s="98">
        <v>57.21</v>
      </c>
      <c r="I432" s="99">
        <v>61.93</v>
      </c>
      <c r="J432" s="101"/>
      <c r="K432" s="83">
        <f>I432</f>
        <v>61.93</v>
      </c>
      <c r="L432" s="136">
        <f>M432/12</f>
        <v>174.91666666666666</v>
      </c>
      <c r="M432" s="136">
        <v>2099</v>
      </c>
      <c r="N432" s="100" t="e">
        <f t="shared" si="50"/>
        <v>#VALUE!</v>
      </c>
      <c r="O432" s="100">
        <f t="shared" si="51"/>
        <v>0</v>
      </c>
      <c r="P432" s="71"/>
      <c r="Q432" s="64" t="s">
        <v>230</v>
      </c>
      <c r="R432" s="67" t="s">
        <v>339</v>
      </c>
      <c r="S432" s="127">
        <f>((45*4)*7)</f>
        <v>1260</v>
      </c>
      <c r="T432" s="126">
        <f t="shared" si="52"/>
        <v>78031.8</v>
      </c>
      <c r="U432" s="63" t="s">
        <v>340</v>
      </c>
      <c r="V432" s="151" t="e">
        <f>[1]!Tabella1[[#This Row],[Booking Hours]]</f>
        <v>#REF!</v>
      </c>
      <c r="W432" s="60" t="s">
        <v>341</v>
      </c>
      <c r="X432" s="68"/>
    </row>
    <row r="433" spans="1:24" ht="15" x14ac:dyDescent="0.25">
      <c r="A433" s="144" t="s">
        <v>153</v>
      </c>
      <c r="B433" s="59" t="s">
        <v>36</v>
      </c>
      <c r="C433" s="59" t="s">
        <v>217</v>
      </c>
      <c r="D433" s="63" t="s">
        <v>220</v>
      </c>
      <c r="E433" s="49" t="s">
        <v>440</v>
      </c>
      <c r="F433" s="59" t="s">
        <v>222</v>
      </c>
      <c r="G433" s="59" t="s">
        <v>226</v>
      </c>
      <c r="H433" s="82">
        <v>84.82</v>
      </c>
      <c r="I433" s="83">
        <v>91.81</v>
      </c>
      <c r="J433" s="83"/>
      <c r="K433" s="83">
        <f t="shared" ref="K433" si="57">I433</f>
        <v>91.81</v>
      </c>
      <c r="L433" s="136">
        <f>M433/12</f>
        <v>181.75</v>
      </c>
      <c r="M433" s="136">
        <v>2181</v>
      </c>
      <c r="N433" s="100" t="e">
        <f t="shared" si="50"/>
        <v>#VALUE!</v>
      </c>
      <c r="O433" s="100">
        <f t="shared" si="51"/>
        <v>0</v>
      </c>
      <c r="P433" s="71"/>
      <c r="Q433" s="64" t="s">
        <v>230</v>
      </c>
      <c r="R433" s="63" t="s">
        <v>342</v>
      </c>
      <c r="S433" s="126">
        <f>((45*4)*12)/2</f>
        <v>1080</v>
      </c>
      <c r="T433" s="126">
        <f t="shared" si="52"/>
        <v>99154.8</v>
      </c>
      <c r="U433" s="67" t="s">
        <v>252</v>
      </c>
      <c r="V433" s="151" t="e">
        <f>[1]!Tabella1[[#This Row],[Booking Hours]]</f>
        <v>#REF!</v>
      </c>
      <c r="W433" s="63" t="e">
        <f>[1]!Tabella1[[#This Row],[Booking Period]]</f>
        <v>#REF!</v>
      </c>
      <c r="X433" s="65"/>
    </row>
    <row r="434" spans="1:24" ht="30" x14ac:dyDescent="0.25">
      <c r="A434" s="147" t="s">
        <v>153</v>
      </c>
      <c r="B434" s="62" t="s">
        <v>44</v>
      </c>
      <c r="C434" s="59" t="s">
        <v>218</v>
      </c>
      <c r="D434" s="67" t="s">
        <v>220</v>
      </c>
      <c r="E434" s="49" t="s">
        <v>445</v>
      </c>
      <c r="F434" s="62" t="s">
        <v>222</v>
      </c>
      <c r="G434" s="59" t="s">
        <v>229</v>
      </c>
      <c r="H434" s="82">
        <v>33.549999999999997</v>
      </c>
      <c r="I434" s="83">
        <v>36.31</v>
      </c>
      <c r="J434" s="99"/>
      <c r="K434" s="83">
        <f>I434</f>
        <v>36.31</v>
      </c>
      <c r="L434" s="136">
        <f>M434/12</f>
        <v>202.58333333333334</v>
      </c>
      <c r="M434" s="136">
        <v>2431</v>
      </c>
      <c r="N434" s="100">
        <f t="shared" si="50"/>
        <v>0</v>
      </c>
      <c r="O434" s="100">
        <f t="shared" si="51"/>
        <v>0</v>
      </c>
      <c r="P434" s="71"/>
      <c r="Q434" s="66" t="s">
        <v>249</v>
      </c>
      <c r="R434" s="67" t="s">
        <v>374</v>
      </c>
      <c r="S434" s="126">
        <f>((45*4)*2)/2</f>
        <v>180</v>
      </c>
      <c r="T434" s="126">
        <f>S434*I434</f>
        <v>6535.8</v>
      </c>
      <c r="U434" s="63"/>
      <c r="V434" s="151">
        <v>0</v>
      </c>
      <c r="W434" s="63" t="s">
        <v>264</v>
      </c>
      <c r="X434" s="65"/>
    </row>
    <row r="435" spans="1:24" ht="30" x14ac:dyDescent="0.25">
      <c r="A435" s="144" t="s">
        <v>153</v>
      </c>
      <c r="B435" s="72" t="s">
        <v>206</v>
      </c>
      <c r="C435" s="59" t="s">
        <v>216</v>
      </c>
      <c r="D435" s="67" t="s">
        <v>28</v>
      </c>
      <c r="E435" s="49" t="s">
        <v>28</v>
      </c>
      <c r="F435" s="59" t="s">
        <v>222</v>
      </c>
      <c r="G435" s="59" t="s">
        <v>225</v>
      </c>
      <c r="H435" s="106">
        <v>33.549999999999997</v>
      </c>
      <c r="I435" s="99">
        <v>61.93</v>
      </c>
      <c r="J435" s="83"/>
      <c r="K435" s="107">
        <v>36.31</v>
      </c>
      <c r="L435" s="140">
        <v>202.58333333333334</v>
      </c>
      <c r="M435" s="140">
        <v>2431</v>
      </c>
      <c r="N435" s="100" t="e">
        <f t="shared" si="50"/>
        <v>#VALUE!</v>
      </c>
      <c r="O435" s="100">
        <f t="shared" si="51"/>
        <v>0</v>
      </c>
      <c r="P435" s="71"/>
      <c r="Q435" s="66" t="s">
        <v>249</v>
      </c>
      <c r="R435" s="88" t="s">
        <v>375</v>
      </c>
      <c r="S435" s="126">
        <f>((45*4)*2)/2</f>
        <v>180</v>
      </c>
      <c r="T435" s="126">
        <f>S435*I435</f>
        <v>11147.4</v>
      </c>
      <c r="U435" s="67" t="s">
        <v>292</v>
      </c>
      <c r="V435" s="151" t="e">
        <f>[1]!Tabella1[[#This Row],[Booking Hours]]</f>
        <v>#REF!</v>
      </c>
      <c r="W435" s="63" t="e">
        <f>[1]!Tabella1[[#This Row],[Booking Period]]</f>
        <v>#REF!</v>
      </c>
      <c r="X435" s="65"/>
    </row>
    <row r="436" spans="1:24" ht="15" x14ac:dyDescent="0.25">
      <c r="A436" s="145" t="s">
        <v>153</v>
      </c>
      <c r="B436" s="72" t="s">
        <v>195</v>
      </c>
      <c r="C436" s="72" t="s">
        <v>216</v>
      </c>
      <c r="D436" s="63" t="s">
        <v>20</v>
      </c>
      <c r="E436" s="50" t="s">
        <v>441</v>
      </c>
      <c r="F436" s="59" t="s">
        <v>222</v>
      </c>
      <c r="G436" s="59" t="s">
        <v>225</v>
      </c>
      <c r="H436" s="98">
        <v>57.21</v>
      </c>
      <c r="I436" s="99">
        <v>61.93</v>
      </c>
      <c r="J436" s="101"/>
      <c r="K436" s="83">
        <f>I436</f>
        <v>61.93</v>
      </c>
      <c r="L436" s="136">
        <f>M436/12</f>
        <v>174.91666666666666</v>
      </c>
      <c r="M436" s="136">
        <v>2099</v>
      </c>
      <c r="N436" s="100" t="e">
        <f t="shared" si="50"/>
        <v>#VALUE!</v>
      </c>
      <c r="O436" s="100">
        <f t="shared" si="51"/>
        <v>0</v>
      </c>
      <c r="P436" s="71"/>
      <c r="Q436" s="64" t="s">
        <v>234</v>
      </c>
      <c r="R436" s="67" t="s">
        <v>343</v>
      </c>
      <c r="S436" s="127">
        <f>((45*4)*9)</f>
        <v>1620</v>
      </c>
      <c r="T436" s="126">
        <f t="shared" ref="T436" si="58">S436*I436</f>
        <v>100326.6</v>
      </c>
      <c r="U436" s="63" t="s">
        <v>344</v>
      </c>
      <c r="V436" s="151" t="e">
        <f>[1]!Tabella1[[#This Row],[Booking Hours]]</f>
        <v>#REF!</v>
      </c>
      <c r="W436" s="63" t="e">
        <f>[1]!Tabella1[[#This Row],[Booking Period]]</f>
        <v>#REF!</v>
      </c>
      <c r="X436" s="68"/>
    </row>
    <row r="437" spans="1:24" ht="15" x14ac:dyDescent="0.25">
      <c r="A437" s="144" t="s">
        <v>153</v>
      </c>
      <c r="B437" s="63" t="s">
        <v>166</v>
      </c>
      <c r="C437" s="59" t="s">
        <v>216</v>
      </c>
      <c r="D437" s="67" t="s">
        <v>20</v>
      </c>
      <c r="E437" s="50" t="s">
        <v>441</v>
      </c>
      <c r="F437" s="59" t="s">
        <v>222</v>
      </c>
      <c r="G437" s="59" t="s">
        <v>225</v>
      </c>
      <c r="H437" s="98">
        <v>57.21</v>
      </c>
      <c r="I437" s="99">
        <v>61.93</v>
      </c>
      <c r="J437" s="83"/>
      <c r="K437" s="83">
        <f>I437</f>
        <v>61.93</v>
      </c>
      <c r="L437" s="136">
        <f>M437/12</f>
        <v>174.91666666666666</v>
      </c>
      <c r="M437" s="136">
        <v>2099</v>
      </c>
      <c r="N437" s="100">
        <f>Z437/M437</f>
        <v>0</v>
      </c>
      <c r="O437" s="100">
        <f>Z437/M437</f>
        <v>0</v>
      </c>
      <c r="P437" s="71"/>
      <c r="Q437" s="64" t="s">
        <v>237</v>
      </c>
      <c r="R437" s="67" t="s">
        <v>345</v>
      </c>
      <c r="S437" s="127"/>
      <c r="T437" s="126"/>
      <c r="U437" s="63"/>
      <c r="V437" s="151"/>
      <c r="W437" s="63" t="s">
        <v>292</v>
      </c>
      <c r="X437" s="65">
        <v>140</v>
      </c>
    </row>
    <row r="438" spans="1:24" ht="15" x14ac:dyDescent="0.25">
      <c r="A438" s="145" t="s">
        <v>152</v>
      </c>
      <c r="B438" s="84" t="s">
        <v>209</v>
      </c>
      <c r="C438" s="62" t="s">
        <v>215</v>
      </c>
      <c r="D438" s="67" t="s">
        <v>20</v>
      </c>
      <c r="E438" s="50" t="s">
        <v>441</v>
      </c>
      <c r="F438" s="63" t="s">
        <v>221</v>
      </c>
      <c r="G438" s="59" t="s">
        <v>224</v>
      </c>
      <c r="H438" s="82"/>
      <c r="I438" s="83"/>
      <c r="J438" s="83"/>
      <c r="K438" s="83">
        <v>6.25</v>
      </c>
      <c r="L438" s="136"/>
      <c r="M438" s="136"/>
      <c r="N438" s="100"/>
      <c r="O438" s="100"/>
      <c r="P438" s="71"/>
      <c r="Q438" s="64" t="s">
        <v>237</v>
      </c>
      <c r="R438" s="67" t="s">
        <v>345</v>
      </c>
      <c r="S438" s="127"/>
      <c r="T438" s="126"/>
      <c r="U438" s="63"/>
      <c r="V438" s="151"/>
      <c r="W438" s="63" t="s">
        <v>292</v>
      </c>
      <c r="X438" s="68">
        <f>1217-X437</f>
        <v>1077</v>
      </c>
    </row>
    <row r="439" spans="1:24" ht="15" x14ac:dyDescent="0.25">
      <c r="A439" s="145"/>
      <c r="B439" s="84" t="s">
        <v>214</v>
      </c>
      <c r="C439" s="62"/>
      <c r="D439" s="67" t="s">
        <v>20</v>
      </c>
      <c r="E439" s="50"/>
      <c r="F439" s="63"/>
      <c r="G439" s="59"/>
      <c r="H439" s="82"/>
      <c r="I439" s="83"/>
      <c r="J439" s="83"/>
      <c r="K439" s="83">
        <f>I439</f>
        <v>0</v>
      </c>
      <c r="L439" s="136">
        <f>M439/12</f>
        <v>0</v>
      </c>
      <c r="M439" s="136"/>
      <c r="N439" s="108" t="e">
        <f>U439/M439</f>
        <v>#DIV/0!</v>
      </c>
      <c r="O439" s="108" t="e">
        <f>X439/M439</f>
        <v>#DIV/0!</v>
      </c>
      <c r="P439" s="71"/>
      <c r="Q439" s="64" t="s">
        <v>237</v>
      </c>
      <c r="R439" s="67" t="s">
        <v>346</v>
      </c>
      <c r="S439" s="127"/>
      <c r="T439" s="126"/>
      <c r="U439" s="63"/>
      <c r="V439" s="151"/>
      <c r="W439" s="63" t="s">
        <v>347</v>
      </c>
      <c r="X439" s="68">
        <v>1153</v>
      </c>
    </row>
    <row r="440" spans="1:24" ht="30" x14ac:dyDescent="0.25">
      <c r="A440" s="144" t="s">
        <v>153</v>
      </c>
      <c r="B440" s="63" t="s">
        <v>165</v>
      </c>
      <c r="C440" s="59" t="s">
        <v>216</v>
      </c>
      <c r="D440" s="63" t="s">
        <v>20</v>
      </c>
      <c r="E440" s="50" t="s">
        <v>441</v>
      </c>
      <c r="F440" s="59" t="s">
        <v>222</v>
      </c>
      <c r="G440" s="59" t="s">
        <v>225</v>
      </c>
      <c r="H440" s="98">
        <v>57.21</v>
      </c>
      <c r="I440" s="99">
        <v>61.93</v>
      </c>
      <c r="J440" s="83"/>
      <c r="K440" s="83">
        <f>I440</f>
        <v>61.93</v>
      </c>
      <c r="L440" s="136">
        <f>M440/12</f>
        <v>174.91666666666666</v>
      </c>
      <c r="M440" s="136">
        <v>2099</v>
      </c>
      <c r="N440" s="100">
        <f t="shared" ref="N440" si="59">U440/M440</f>
        <v>0</v>
      </c>
      <c r="O440" s="100">
        <f t="shared" ref="O440" si="60">X440/M440</f>
        <v>0.47641734159123394</v>
      </c>
      <c r="P440" s="71"/>
      <c r="Q440" s="64" t="s">
        <v>230</v>
      </c>
      <c r="R440" s="67" t="s">
        <v>348</v>
      </c>
      <c r="S440" s="126"/>
      <c r="T440" s="126"/>
      <c r="U440" s="63"/>
      <c r="V440" s="151"/>
      <c r="W440" s="63" t="s">
        <v>284</v>
      </c>
      <c r="X440" s="68">
        <v>1000</v>
      </c>
    </row>
    <row r="441" spans="1:24" ht="30" x14ac:dyDescent="0.25">
      <c r="A441" s="145" t="s">
        <v>152</v>
      </c>
      <c r="B441" s="84" t="s">
        <v>209</v>
      </c>
      <c r="C441" s="62" t="s">
        <v>215</v>
      </c>
      <c r="D441" s="67" t="s">
        <v>20</v>
      </c>
      <c r="E441" s="50" t="s">
        <v>441</v>
      </c>
      <c r="F441" s="63" t="s">
        <v>221</v>
      </c>
      <c r="G441" s="59" t="s">
        <v>224</v>
      </c>
      <c r="H441" s="82"/>
      <c r="I441" s="83"/>
      <c r="J441" s="83"/>
      <c r="K441" s="83">
        <v>6.25</v>
      </c>
      <c r="L441" s="136"/>
      <c r="M441" s="136"/>
      <c r="N441" s="100"/>
      <c r="O441" s="100"/>
      <c r="P441" s="71"/>
      <c r="Q441" s="64" t="s">
        <v>230</v>
      </c>
      <c r="R441" s="67" t="s">
        <v>348</v>
      </c>
      <c r="S441" s="127"/>
      <c r="T441" s="126"/>
      <c r="U441" s="63"/>
      <c r="V441" s="151"/>
      <c r="W441" s="63" t="s">
        <v>284</v>
      </c>
      <c r="X441" s="68">
        <v>4185</v>
      </c>
    </row>
    <row r="442" spans="1:24" ht="15" x14ac:dyDescent="0.25">
      <c r="A442" s="144" t="s">
        <v>153</v>
      </c>
      <c r="B442" s="63" t="s">
        <v>165</v>
      </c>
      <c r="C442" s="59" t="s">
        <v>216</v>
      </c>
      <c r="D442" s="63" t="s">
        <v>20</v>
      </c>
      <c r="E442" s="50" t="s">
        <v>441</v>
      </c>
      <c r="F442" s="59" t="s">
        <v>222</v>
      </c>
      <c r="G442" s="59" t="s">
        <v>225</v>
      </c>
      <c r="H442" s="98">
        <v>57.21</v>
      </c>
      <c r="I442" s="99">
        <v>61.93</v>
      </c>
      <c r="J442" s="83"/>
      <c r="K442" s="83">
        <f>I442</f>
        <v>61.93</v>
      </c>
      <c r="L442" s="136">
        <f>M442/12</f>
        <v>174.91666666666666</v>
      </c>
      <c r="M442" s="136">
        <v>2099</v>
      </c>
      <c r="N442" s="100">
        <f t="shared" ref="N442" si="61">U442/M442</f>
        <v>0</v>
      </c>
      <c r="O442" s="100">
        <f t="shared" ref="O442" si="62">X442/M442</f>
        <v>0</v>
      </c>
      <c r="P442" s="71"/>
      <c r="Q442" s="64" t="s">
        <v>230</v>
      </c>
      <c r="R442" s="67" t="s">
        <v>349</v>
      </c>
      <c r="S442" s="126"/>
      <c r="T442" s="126"/>
      <c r="U442" s="63"/>
      <c r="V442" s="151"/>
      <c r="W442" s="63" t="s">
        <v>284</v>
      </c>
      <c r="X442" s="68">
        <v>0</v>
      </c>
    </row>
    <row r="443" spans="1:24" ht="15" x14ac:dyDescent="0.25">
      <c r="A443" s="145" t="s">
        <v>152</v>
      </c>
      <c r="B443" s="84" t="s">
        <v>209</v>
      </c>
      <c r="C443" s="62" t="s">
        <v>215</v>
      </c>
      <c r="D443" s="67" t="s">
        <v>20</v>
      </c>
      <c r="E443" s="50" t="s">
        <v>441</v>
      </c>
      <c r="F443" s="63" t="s">
        <v>221</v>
      </c>
      <c r="G443" s="59" t="s">
        <v>224</v>
      </c>
      <c r="H443" s="82"/>
      <c r="I443" s="83"/>
      <c r="J443" s="83"/>
      <c r="K443" s="83">
        <v>6.25</v>
      </c>
      <c r="L443" s="136"/>
      <c r="M443" s="136"/>
      <c r="N443" s="100"/>
      <c r="O443" s="100"/>
      <c r="P443" s="71"/>
      <c r="Q443" s="64" t="s">
        <v>230</v>
      </c>
      <c r="R443" s="67" t="s">
        <v>349</v>
      </c>
      <c r="S443" s="127"/>
      <c r="T443" s="126"/>
      <c r="U443" s="63"/>
      <c r="V443" s="151"/>
      <c r="W443" s="63" t="s">
        <v>284</v>
      </c>
      <c r="X443" s="68">
        <v>0</v>
      </c>
    </row>
    <row r="444" spans="1:24" ht="15" x14ac:dyDescent="0.25">
      <c r="A444" s="144" t="s">
        <v>153</v>
      </c>
      <c r="B444" s="63" t="s">
        <v>165</v>
      </c>
      <c r="C444" s="59" t="s">
        <v>216</v>
      </c>
      <c r="D444" s="63" t="s">
        <v>20</v>
      </c>
      <c r="E444" s="50" t="s">
        <v>441</v>
      </c>
      <c r="F444" s="59" t="s">
        <v>222</v>
      </c>
      <c r="G444" s="59" t="s">
        <v>225</v>
      </c>
      <c r="H444" s="98">
        <v>57.21</v>
      </c>
      <c r="I444" s="99">
        <v>61.93</v>
      </c>
      <c r="J444" s="83"/>
      <c r="K444" s="83">
        <f>I444</f>
        <v>61.93</v>
      </c>
      <c r="L444" s="136">
        <f>M444/12</f>
        <v>174.91666666666666</v>
      </c>
      <c r="M444" s="136">
        <v>2099</v>
      </c>
      <c r="N444" s="100">
        <f t="shared" ref="N444" si="63">U444/M444</f>
        <v>0</v>
      </c>
      <c r="O444" s="100">
        <f t="shared" ref="O444" si="64">X444/M444</f>
        <v>2.3820867079561697E-2</v>
      </c>
      <c r="P444" s="71"/>
      <c r="Q444" s="64" t="s">
        <v>243</v>
      </c>
      <c r="R444" s="67" t="s">
        <v>350</v>
      </c>
      <c r="S444" s="126"/>
      <c r="T444" s="126"/>
      <c r="U444" s="63"/>
      <c r="V444" s="151"/>
      <c r="W444" s="63" t="s">
        <v>307</v>
      </c>
      <c r="X444" s="68">
        <v>50</v>
      </c>
    </row>
    <row r="445" spans="1:24" ht="15" x14ac:dyDescent="0.25">
      <c r="A445" s="145" t="s">
        <v>152</v>
      </c>
      <c r="B445" s="84" t="s">
        <v>209</v>
      </c>
      <c r="C445" s="62" t="s">
        <v>215</v>
      </c>
      <c r="D445" s="67" t="s">
        <v>20</v>
      </c>
      <c r="E445" s="50" t="s">
        <v>441</v>
      </c>
      <c r="F445" s="63" t="s">
        <v>221</v>
      </c>
      <c r="G445" s="59" t="s">
        <v>224</v>
      </c>
      <c r="H445" s="82"/>
      <c r="I445" s="83"/>
      <c r="J445" s="83"/>
      <c r="K445" s="83">
        <v>6.25</v>
      </c>
      <c r="L445" s="136"/>
      <c r="M445" s="136"/>
      <c r="N445" s="100"/>
      <c r="O445" s="100"/>
      <c r="P445" s="71"/>
      <c r="Q445" s="64" t="s">
        <v>243</v>
      </c>
      <c r="R445" s="67" t="s">
        <v>350</v>
      </c>
      <c r="S445" s="127"/>
      <c r="T445" s="126"/>
      <c r="U445" s="63"/>
      <c r="V445" s="151"/>
      <c r="W445" s="63" t="s">
        <v>307</v>
      </c>
      <c r="X445" s="68">
        <v>202</v>
      </c>
    </row>
    <row r="446" spans="1:24" ht="15" x14ac:dyDescent="0.25">
      <c r="A446" s="145"/>
      <c r="B446" s="84" t="s">
        <v>214</v>
      </c>
      <c r="C446" s="62"/>
      <c r="D446" s="67" t="s">
        <v>28</v>
      </c>
      <c r="E446" s="50"/>
      <c r="F446" s="63"/>
      <c r="G446" s="59"/>
      <c r="H446" s="82"/>
      <c r="I446" s="83"/>
      <c r="J446" s="83"/>
      <c r="K446" s="83">
        <f>I446</f>
        <v>0</v>
      </c>
      <c r="L446" s="136">
        <f>M446/12</f>
        <v>0</v>
      </c>
      <c r="M446" s="136"/>
      <c r="N446" s="100" t="e">
        <f>U446/M446</f>
        <v>#DIV/0!</v>
      </c>
      <c r="O446" s="100" t="e">
        <f>X446/M446</f>
        <v>#DIV/0!</v>
      </c>
      <c r="P446" s="71"/>
      <c r="Q446" s="64" t="s">
        <v>245</v>
      </c>
      <c r="R446" s="67" t="s">
        <v>351</v>
      </c>
      <c r="S446" s="127"/>
      <c r="T446" s="126"/>
      <c r="U446" s="63"/>
      <c r="V446" s="151"/>
      <c r="W446" s="63" t="s">
        <v>352</v>
      </c>
      <c r="X446" s="68">
        <f>770+135</f>
        <v>905</v>
      </c>
    </row>
    <row r="447" spans="1:24" ht="15" x14ac:dyDescent="0.25">
      <c r="A447" s="145"/>
      <c r="B447" s="84" t="s">
        <v>214</v>
      </c>
      <c r="C447" s="62"/>
      <c r="D447" s="67" t="s">
        <v>28</v>
      </c>
      <c r="E447" s="50"/>
      <c r="F447" s="63"/>
      <c r="G447" s="59"/>
      <c r="H447" s="82"/>
      <c r="I447" s="83"/>
      <c r="J447" s="83"/>
      <c r="K447" s="83">
        <f>I447</f>
        <v>0</v>
      </c>
      <c r="L447" s="136">
        <f>M447/12</f>
        <v>0</v>
      </c>
      <c r="M447" s="136"/>
      <c r="N447" s="100" t="e">
        <f>U447/M447</f>
        <v>#DIV/0!</v>
      </c>
      <c r="O447" s="100" t="e">
        <f>X447/M447</f>
        <v>#DIV/0!</v>
      </c>
      <c r="P447" s="71"/>
      <c r="Q447" s="64" t="s">
        <v>238</v>
      </c>
      <c r="R447" s="60" t="s">
        <v>353</v>
      </c>
      <c r="S447" s="127"/>
      <c r="T447" s="126"/>
      <c r="U447" s="63"/>
      <c r="V447" s="151"/>
      <c r="W447" s="63" t="s">
        <v>354</v>
      </c>
      <c r="X447" s="68">
        <v>120</v>
      </c>
    </row>
    <row r="448" spans="1:24" ht="15" x14ac:dyDescent="0.25">
      <c r="A448" s="145" t="s">
        <v>152</v>
      </c>
      <c r="B448" s="59" t="s">
        <v>161</v>
      </c>
      <c r="C448" s="62" t="s">
        <v>215</v>
      </c>
      <c r="D448" s="67" t="s">
        <v>28</v>
      </c>
      <c r="E448" s="49" t="s">
        <v>28</v>
      </c>
      <c r="F448" s="59" t="s">
        <v>221</v>
      </c>
      <c r="G448" s="59" t="s">
        <v>224</v>
      </c>
      <c r="H448" s="98"/>
      <c r="I448" s="99"/>
      <c r="J448" s="83">
        <v>6.666666666666667</v>
      </c>
      <c r="K448" s="99">
        <f t="shared" ref="K448" si="65">J448</f>
        <v>6.666666666666667</v>
      </c>
      <c r="L448" s="136">
        <f t="shared" ref="L448" si="66">(60*4)</f>
        <v>240</v>
      </c>
      <c r="M448" s="136">
        <f t="shared" ref="M448" si="67">L448*12</f>
        <v>2880</v>
      </c>
      <c r="N448" s="108">
        <f t="shared" ref="N448:N456" si="68">U448/M448</f>
        <v>0</v>
      </c>
      <c r="O448" s="108">
        <f t="shared" ref="O448:O456" si="69">X448/M448</f>
        <v>5.5555555555555552E-2</v>
      </c>
      <c r="P448" s="71"/>
      <c r="Q448" s="64" t="s">
        <v>250</v>
      </c>
      <c r="R448" s="60" t="s">
        <v>355</v>
      </c>
      <c r="S448" s="127"/>
      <c r="T448" s="126"/>
      <c r="U448" s="63"/>
      <c r="V448" s="151"/>
      <c r="W448" s="63"/>
      <c r="X448" s="68">
        <v>160</v>
      </c>
    </row>
    <row r="449" spans="1:24" ht="15" x14ac:dyDescent="0.25">
      <c r="A449" s="145">
        <v>667100</v>
      </c>
      <c r="B449" s="59" t="s">
        <v>168</v>
      </c>
      <c r="C449" s="59" t="s">
        <v>216</v>
      </c>
      <c r="D449" s="67" t="s">
        <v>28</v>
      </c>
      <c r="E449" s="49" t="s">
        <v>28</v>
      </c>
      <c r="F449" s="59" t="s">
        <v>222</v>
      </c>
      <c r="G449" s="59" t="s">
        <v>225</v>
      </c>
      <c r="H449" s="98">
        <v>57.21</v>
      </c>
      <c r="I449" s="99">
        <v>61.93</v>
      </c>
      <c r="J449" s="83"/>
      <c r="K449" s="83">
        <f t="shared" ref="K449:K456" si="70">I449</f>
        <v>61.93</v>
      </c>
      <c r="L449" s="136">
        <f t="shared" ref="L449:L456" si="71">M449/12</f>
        <v>174.91666666666666</v>
      </c>
      <c r="M449" s="136">
        <v>2099</v>
      </c>
      <c r="N449" s="108">
        <f t="shared" si="68"/>
        <v>0</v>
      </c>
      <c r="O449" s="108">
        <f t="shared" si="69"/>
        <v>6.8604097189137681E-2</v>
      </c>
      <c r="P449" s="71"/>
      <c r="Q449" s="64" t="s">
        <v>250</v>
      </c>
      <c r="R449" s="60" t="s">
        <v>355</v>
      </c>
      <c r="S449" s="127"/>
      <c r="T449" s="126"/>
      <c r="U449" s="63"/>
      <c r="V449" s="151"/>
      <c r="W449" s="63"/>
      <c r="X449" s="68">
        <v>144</v>
      </c>
    </row>
    <row r="450" spans="1:24" ht="15" x14ac:dyDescent="0.25">
      <c r="A450" s="148"/>
      <c r="B450" s="71" t="s">
        <v>214</v>
      </c>
      <c r="C450" s="89"/>
      <c r="D450" s="90"/>
      <c r="E450" s="52"/>
      <c r="F450" s="75"/>
      <c r="G450" s="89"/>
      <c r="H450" s="109"/>
      <c r="I450" s="110"/>
      <c r="J450" s="111"/>
      <c r="K450" s="111">
        <f t="shared" si="70"/>
        <v>0</v>
      </c>
      <c r="L450" s="140">
        <f t="shared" si="71"/>
        <v>0</v>
      </c>
      <c r="M450" s="140"/>
      <c r="N450" s="112" t="e">
        <f t="shared" si="68"/>
        <v>#DIV/0!</v>
      </c>
      <c r="O450" s="112" t="e">
        <f t="shared" si="69"/>
        <v>#DIV/0!</v>
      </c>
      <c r="P450" s="71"/>
      <c r="Q450" s="91" t="s">
        <v>42</v>
      </c>
      <c r="R450" s="92" t="s">
        <v>443</v>
      </c>
      <c r="S450" s="131"/>
      <c r="T450" s="131"/>
      <c r="U450" s="92"/>
      <c r="V450" s="151"/>
      <c r="W450" s="60" t="s">
        <v>356</v>
      </c>
      <c r="X450" s="93">
        <v>1950</v>
      </c>
    </row>
    <row r="451" spans="1:24" ht="15" x14ac:dyDescent="0.25">
      <c r="A451" s="148"/>
      <c r="B451" s="71" t="s">
        <v>214</v>
      </c>
      <c r="C451" s="89"/>
      <c r="D451" s="67" t="s">
        <v>20</v>
      </c>
      <c r="E451" s="52"/>
      <c r="F451" s="75"/>
      <c r="G451" s="89"/>
      <c r="H451" s="109"/>
      <c r="I451" s="110"/>
      <c r="J451" s="111"/>
      <c r="K451" s="111">
        <f t="shared" si="70"/>
        <v>0</v>
      </c>
      <c r="L451" s="140">
        <f t="shared" si="71"/>
        <v>0</v>
      </c>
      <c r="M451" s="140"/>
      <c r="N451" s="112" t="e">
        <f t="shared" si="68"/>
        <v>#DIV/0!</v>
      </c>
      <c r="O451" s="112" t="e">
        <f t="shared" si="69"/>
        <v>#DIV/0!</v>
      </c>
      <c r="P451" s="71"/>
      <c r="Q451" s="64" t="s">
        <v>230</v>
      </c>
      <c r="R451" s="67" t="s">
        <v>357</v>
      </c>
      <c r="S451" s="129"/>
      <c r="T451" s="130"/>
      <c r="U451" s="71"/>
      <c r="V451" s="154"/>
      <c r="W451" s="63" t="s">
        <v>358</v>
      </c>
      <c r="X451" s="68">
        <v>420</v>
      </c>
    </row>
    <row r="452" spans="1:24" ht="15" x14ac:dyDescent="0.25">
      <c r="A452" s="148"/>
      <c r="B452" s="71" t="s">
        <v>214</v>
      </c>
      <c r="C452" s="89"/>
      <c r="D452" s="67" t="s">
        <v>220</v>
      </c>
      <c r="E452" s="52"/>
      <c r="F452" s="75"/>
      <c r="G452" s="89"/>
      <c r="H452" s="109"/>
      <c r="I452" s="110"/>
      <c r="J452" s="111"/>
      <c r="K452" s="111">
        <f t="shared" si="70"/>
        <v>0</v>
      </c>
      <c r="L452" s="140">
        <f t="shared" si="71"/>
        <v>0</v>
      </c>
      <c r="M452" s="140"/>
      <c r="N452" s="112" t="e">
        <f t="shared" si="68"/>
        <v>#DIV/0!</v>
      </c>
      <c r="O452" s="112" t="e">
        <f t="shared" si="69"/>
        <v>#DIV/0!</v>
      </c>
      <c r="P452" s="71"/>
      <c r="Q452" s="64" t="s">
        <v>230</v>
      </c>
      <c r="R452" s="67" t="s">
        <v>359</v>
      </c>
      <c r="S452" s="126"/>
      <c r="T452" s="130"/>
      <c r="U452" s="71"/>
      <c r="V452" s="154"/>
      <c r="W452" s="63" t="s">
        <v>358</v>
      </c>
      <c r="X452" s="68">
        <v>540</v>
      </c>
    </row>
    <row r="453" spans="1:24" ht="15" x14ac:dyDescent="0.25">
      <c r="A453" s="148"/>
      <c r="B453" s="71" t="s">
        <v>214</v>
      </c>
      <c r="C453" s="89"/>
      <c r="D453" s="67" t="s">
        <v>220</v>
      </c>
      <c r="E453" s="52"/>
      <c r="F453" s="75"/>
      <c r="G453" s="89"/>
      <c r="H453" s="109"/>
      <c r="I453" s="110"/>
      <c r="J453" s="111"/>
      <c r="K453" s="111">
        <f t="shared" si="70"/>
        <v>0</v>
      </c>
      <c r="L453" s="140">
        <f t="shared" si="71"/>
        <v>0</v>
      </c>
      <c r="M453" s="140"/>
      <c r="N453" s="112" t="e">
        <f t="shared" si="68"/>
        <v>#DIV/0!</v>
      </c>
      <c r="O453" s="112" t="e">
        <f t="shared" si="69"/>
        <v>#DIV/0!</v>
      </c>
      <c r="P453" s="71"/>
      <c r="Q453" s="64" t="s">
        <v>230</v>
      </c>
      <c r="R453" s="67" t="s">
        <v>360</v>
      </c>
      <c r="S453" s="126"/>
      <c r="T453" s="130"/>
      <c r="U453" s="71"/>
      <c r="V453" s="154"/>
      <c r="W453" s="63" t="s">
        <v>361</v>
      </c>
      <c r="X453" s="68">
        <f>63*10</f>
        <v>630</v>
      </c>
    </row>
    <row r="454" spans="1:24" ht="15" x14ac:dyDescent="0.25">
      <c r="A454" s="148"/>
      <c r="B454" s="71" t="s">
        <v>214</v>
      </c>
      <c r="C454" s="89"/>
      <c r="D454" s="67" t="s">
        <v>28</v>
      </c>
      <c r="E454" s="52"/>
      <c r="F454" s="75"/>
      <c r="G454" s="89"/>
      <c r="H454" s="109"/>
      <c r="I454" s="110"/>
      <c r="J454" s="111"/>
      <c r="K454" s="111">
        <f t="shared" si="70"/>
        <v>0</v>
      </c>
      <c r="L454" s="140">
        <f t="shared" si="71"/>
        <v>0</v>
      </c>
      <c r="M454" s="140"/>
      <c r="N454" s="112" t="e">
        <f t="shared" si="68"/>
        <v>#DIV/0!</v>
      </c>
      <c r="O454" s="112" t="e">
        <f t="shared" si="69"/>
        <v>#DIV/0!</v>
      </c>
      <c r="P454" s="71"/>
      <c r="Q454" s="64" t="s">
        <v>230</v>
      </c>
      <c r="R454" s="67" t="s">
        <v>362</v>
      </c>
      <c r="S454" s="126"/>
      <c r="T454" s="130"/>
      <c r="U454" s="71"/>
      <c r="V454" s="154"/>
      <c r="W454" s="63" t="s">
        <v>363</v>
      </c>
      <c r="X454" s="68">
        <v>400</v>
      </c>
    </row>
    <row r="455" spans="1:24" ht="30" x14ac:dyDescent="0.25">
      <c r="A455" s="148"/>
      <c r="B455" s="71" t="s">
        <v>214</v>
      </c>
      <c r="C455" s="89"/>
      <c r="D455" s="67" t="s">
        <v>20</v>
      </c>
      <c r="E455" s="52"/>
      <c r="F455" s="75"/>
      <c r="G455" s="89"/>
      <c r="H455" s="109"/>
      <c r="I455" s="110"/>
      <c r="J455" s="111"/>
      <c r="K455" s="111">
        <f t="shared" si="70"/>
        <v>0</v>
      </c>
      <c r="L455" s="140">
        <f t="shared" si="71"/>
        <v>0</v>
      </c>
      <c r="M455" s="140"/>
      <c r="N455" s="112" t="e">
        <f t="shared" si="68"/>
        <v>#DIV/0!</v>
      </c>
      <c r="O455" s="112" t="e">
        <f t="shared" si="69"/>
        <v>#DIV/0!</v>
      </c>
      <c r="P455" s="71"/>
      <c r="Q455" s="64" t="s">
        <v>230</v>
      </c>
      <c r="R455" s="67" t="s">
        <v>364</v>
      </c>
      <c r="S455" s="129"/>
      <c r="T455" s="130"/>
      <c r="U455" s="71"/>
      <c r="V455" s="154"/>
      <c r="W455" s="63" t="s">
        <v>365</v>
      </c>
      <c r="X455" s="68">
        <v>2000</v>
      </c>
    </row>
    <row r="456" spans="1:24" ht="15" x14ac:dyDescent="0.25">
      <c r="A456" s="148"/>
      <c r="B456" s="71" t="s">
        <v>214</v>
      </c>
      <c r="C456" s="89"/>
      <c r="D456" s="67" t="s">
        <v>20</v>
      </c>
      <c r="E456" s="52"/>
      <c r="F456" s="75"/>
      <c r="G456" s="89"/>
      <c r="H456" s="109"/>
      <c r="I456" s="110"/>
      <c r="J456" s="111"/>
      <c r="K456" s="111">
        <f t="shared" si="70"/>
        <v>0</v>
      </c>
      <c r="L456" s="140">
        <f t="shared" si="71"/>
        <v>0</v>
      </c>
      <c r="M456" s="140"/>
      <c r="N456" s="112" t="e">
        <f t="shared" si="68"/>
        <v>#DIV/0!</v>
      </c>
      <c r="O456" s="112" t="e">
        <f t="shared" si="69"/>
        <v>#DIV/0!</v>
      </c>
      <c r="P456" s="71"/>
      <c r="Q456" s="64" t="s">
        <v>230</v>
      </c>
      <c r="R456" s="67" t="s">
        <v>366</v>
      </c>
      <c r="S456" s="129"/>
      <c r="T456" s="130"/>
      <c r="U456" s="71"/>
      <c r="V456" s="154"/>
      <c r="W456" s="63" t="s">
        <v>358</v>
      </c>
      <c r="X456" s="68">
        <v>1230</v>
      </c>
    </row>
    <row r="457" spans="1:24" ht="15" x14ac:dyDescent="0.25">
      <c r="A457" s="148"/>
      <c r="B457" s="71" t="s">
        <v>214</v>
      </c>
      <c r="C457" s="89"/>
      <c r="D457" s="67" t="s">
        <v>20</v>
      </c>
      <c r="E457" s="52"/>
      <c r="F457" s="75"/>
      <c r="G457" s="89"/>
      <c r="H457" s="109"/>
      <c r="I457" s="110"/>
      <c r="J457" s="111"/>
      <c r="K457" s="111">
        <f>I457</f>
        <v>0</v>
      </c>
      <c r="L457" s="140">
        <f>M457/12</f>
        <v>0</v>
      </c>
      <c r="M457" s="140"/>
      <c r="N457" s="112" t="e">
        <f>U457/M457</f>
        <v>#DIV/0!</v>
      </c>
      <c r="O457" s="112" t="e">
        <f>X457/M457</f>
        <v>#DIV/0!</v>
      </c>
      <c r="P457" s="71"/>
      <c r="Q457" s="64" t="s">
        <v>230</v>
      </c>
      <c r="R457" s="67" t="s">
        <v>343</v>
      </c>
      <c r="S457" s="129"/>
      <c r="T457" s="130">
        <f>S457*I457</f>
        <v>0</v>
      </c>
      <c r="U457" s="71"/>
      <c r="V457" s="154"/>
      <c r="W457" s="63" t="s">
        <v>367</v>
      </c>
      <c r="X457" s="68">
        <v>1260</v>
      </c>
    </row>
    <row r="458" spans="1:24" ht="15" x14ac:dyDescent="0.25">
      <c r="A458" s="148"/>
      <c r="B458" s="71" t="s">
        <v>214</v>
      </c>
      <c r="C458" s="89"/>
      <c r="D458" s="67" t="s">
        <v>220</v>
      </c>
      <c r="E458" s="52"/>
      <c r="F458" s="75"/>
      <c r="G458" s="89"/>
      <c r="H458" s="109"/>
      <c r="I458" s="110"/>
      <c r="J458" s="111"/>
      <c r="K458" s="111">
        <f>I458</f>
        <v>0</v>
      </c>
      <c r="L458" s="140">
        <f>M458/12</f>
        <v>0</v>
      </c>
      <c r="M458" s="140"/>
      <c r="N458" s="112" t="e">
        <f>U458/M458</f>
        <v>#DIV/0!</v>
      </c>
      <c r="O458" s="112" t="e">
        <f>X458/M458</f>
        <v>#DIV/0!</v>
      </c>
      <c r="P458" s="71"/>
      <c r="Q458" s="64" t="s">
        <v>230</v>
      </c>
      <c r="R458" s="67" t="s">
        <v>315</v>
      </c>
      <c r="S458" s="129"/>
      <c r="T458" s="130">
        <f>S458*I458</f>
        <v>0</v>
      </c>
      <c r="U458" s="71"/>
      <c r="V458" s="154"/>
      <c r="W458" s="63" t="s">
        <v>368</v>
      </c>
      <c r="X458" s="68">
        <v>720</v>
      </c>
    </row>
    <row r="459" spans="1:24" ht="15" x14ac:dyDescent="0.25">
      <c r="A459" s="149"/>
      <c r="B459" s="113"/>
      <c r="C459" s="114"/>
      <c r="D459" s="113"/>
      <c r="E459" s="53"/>
      <c r="F459" s="115"/>
      <c r="G459" s="114"/>
      <c r="H459" s="116"/>
      <c r="I459" s="117"/>
      <c r="J459" s="117"/>
      <c r="K459" s="117"/>
      <c r="L459" s="141"/>
      <c r="M459" s="141"/>
      <c r="N459" s="118"/>
      <c r="O459" s="118"/>
      <c r="P459" s="119"/>
      <c r="Q459" s="113"/>
      <c r="R459" s="113"/>
      <c r="S459" s="132" t="e">
        <f>SUBTOTAL(109,[1]!Tabella1[Booking Hours])</f>
        <v>#REF!</v>
      </c>
      <c r="T459" s="133" t="e">
        <f>SUBTOTAL(109,[1]!Tabella1[Booking Cost (Forecast)])</f>
        <v>#REF!</v>
      </c>
      <c r="U459" s="113"/>
      <c r="V459" s="157" t="e">
        <f>SUBTOTAL(109,[1]!Tabella1[Booking hours (Accepted by Project)])</f>
        <v>#REF!</v>
      </c>
      <c r="W459" s="113"/>
      <c r="X459" s="120" t="e">
        <f>SUBTOTAL(109,[1]!Tabella1[Booking hours (Extra)])</f>
        <v>#REF!</v>
      </c>
    </row>
  </sheetData>
  <autoFilter ref="A1:X458" xr:uid="{16A4D4AD-01DD-47FF-9F4B-0E998A3B2C65}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87024-0316-43ED-A23F-4E3D9FA20969}">
  <sheetPr codeName="Sheet10"/>
  <dimension ref="A3:P83"/>
  <sheetViews>
    <sheetView zoomScaleNormal="100" workbookViewId="0">
      <selection activeCell="D14" sqref="D14"/>
    </sheetView>
  </sheetViews>
  <sheetFormatPr defaultColWidth="9.09765625" defaultRowHeight="13.8" outlineLevelCol="1" x14ac:dyDescent="0.25"/>
  <cols>
    <col min="1" max="1" width="30" style="160" customWidth="1" outlineLevel="1"/>
    <col min="2" max="2" width="8.09765625" style="159" customWidth="1" outlineLevel="1"/>
    <col min="3" max="3" width="7.69921875" style="160" customWidth="1" outlineLevel="1"/>
    <col min="4" max="4" width="21" style="160" bestFit="1" customWidth="1" outlineLevel="1"/>
    <col min="5" max="5" width="41.09765625" style="159" bestFit="1" customWidth="1" outlineLevel="1"/>
    <col min="6" max="7" width="27.3984375" style="160" bestFit="1" customWidth="1" outlineLevel="1"/>
    <col min="8" max="9" width="9.09765625" style="160" customWidth="1" outlineLevel="1"/>
    <col min="10" max="10" width="36.69921875" style="160" bestFit="1" customWidth="1"/>
    <col min="11" max="11" width="20.69921875" style="159" bestFit="1" customWidth="1"/>
    <col min="12" max="12" width="9.8984375" style="159" bestFit="1" customWidth="1"/>
    <col min="13" max="13" width="11" style="159" customWidth="1"/>
    <col min="14" max="14" width="12" style="160" bestFit="1" customWidth="1"/>
    <col min="15" max="15" width="12" style="160" customWidth="1"/>
    <col min="16" max="16" width="101.3984375" style="160" bestFit="1" customWidth="1"/>
    <col min="17" max="16384" width="9.09765625" style="160"/>
  </cols>
  <sheetData>
    <row r="3" spans="1:16" x14ac:dyDescent="0.25">
      <c r="A3" s="158" t="s">
        <v>376</v>
      </c>
      <c r="D3" s="158"/>
    </row>
    <row r="4" spans="1:16" ht="57.6" x14ac:dyDescent="0.25">
      <c r="A4" s="161" t="s">
        <v>5</v>
      </c>
      <c r="B4" s="162" t="s">
        <v>377</v>
      </c>
      <c r="D4" s="176" t="s">
        <v>435</v>
      </c>
      <c r="E4" s="179" t="s">
        <v>437</v>
      </c>
      <c r="F4" s="179" t="s">
        <v>438</v>
      </c>
      <c r="G4" s="179" t="s">
        <v>439</v>
      </c>
      <c r="J4" s="45" t="s">
        <v>5</v>
      </c>
      <c r="K4" s="45" t="s">
        <v>378</v>
      </c>
      <c r="L4" s="45" t="s">
        <v>379</v>
      </c>
      <c r="M4" s="45" t="s">
        <v>380</v>
      </c>
      <c r="N4" s="45" t="s">
        <v>381</v>
      </c>
      <c r="O4" s="164" t="s">
        <v>151</v>
      </c>
    </row>
    <row r="5" spans="1:16" x14ac:dyDescent="0.25">
      <c r="A5" s="165" t="s">
        <v>219</v>
      </c>
      <c r="B5" s="166">
        <v>8396</v>
      </c>
      <c r="D5" s="177" t="s">
        <v>219</v>
      </c>
      <c r="E5" s="178">
        <v>0</v>
      </c>
      <c r="F5" s="178"/>
      <c r="G5" s="178"/>
      <c r="J5" s="165" t="s">
        <v>219</v>
      </c>
      <c r="K5" s="166">
        <v>8396</v>
      </c>
      <c r="L5" s="166"/>
      <c r="M5" s="166"/>
      <c r="N5" s="167"/>
      <c r="O5" s="166"/>
    </row>
    <row r="6" spans="1:16" x14ac:dyDescent="0.25">
      <c r="A6" s="165" t="s">
        <v>20</v>
      </c>
      <c r="B6" s="166">
        <v>80152</v>
      </c>
      <c r="D6" s="177" t="s">
        <v>20</v>
      </c>
      <c r="E6" s="178">
        <v>85803</v>
      </c>
      <c r="F6" s="178">
        <v>61146</v>
      </c>
      <c r="G6" s="178">
        <v>12717</v>
      </c>
      <c r="J6" s="165" t="s">
        <v>20</v>
      </c>
      <c r="K6" s="166">
        <v>80152</v>
      </c>
      <c r="L6" s="166">
        <v>85803</v>
      </c>
      <c r="M6" s="166">
        <v>61146</v>
      </c>
      <c r="N6" s="167">
        <f t="shared" ref="N6:N11" si="0">M6/K6</f>
        <v>0.76287553648068673</v>
      </c>
      <c r="O6" s="166"/>
    </row>
    <row r="7" spans="1:16" x14ac:dyDescent="0.25">
      <c r="A7" s="165" t="s">
        <v>220</v>
      </c>
      <c r="B7" s="166">
        <v>13346.25</v>
      </c>
      <c r="D7" s="177" t="s">
        <v>220</v>
      </c>
      <c r="E7" s="178">
        <v>16919.333333333332</v>
      </c>
      <c r="F7" s="178">
        <v>9992</v>
      </c>
      <c r="G7" s="178">
        <v>1890</v>
      </c>
      <c r="J7" s="165" t="s">
        <v>220</v>
      </c>
      <c r="K7" s="166">
        <v>13346.25</v>
      </c>
      <c r="L7" s="166">
        <v>16919.333333333332</v>
      </c>
      <c r="M7" s="166">
        <v>10269.333333333332</v>
      </c>
      <c r="N7" s="167">
        <f t="shared" si="0"/>
        <v>0.76945459086509937</v>
      </c>
      <c r="O7" s="166"/>
    </row>
    <row r="8" spans="1:16" x14ac:dyDescent="0.25">
      <c r="A8" s="165" t="s">
        <v>28</v>
      </c>
      <c r="B8" s="166">
        <v>29568</v>
      </c>
      <c r="D8" s="177" t="s">
        <v>28</v>
      </c>
      <c r="E8" s="178">
        <v>32820</v>
      </c>
      <c r="F8" s="178">
        <v>17060</v>
      </c>
      <c r="G8" s="178">
        <v>1729</v>
      </c>
      <c r="J8" s="165" t="s">
        <v>28</v>
      </c>
      <c r="K8" s="166">
        <v>29568</v>
      </c>
      <c r="L8" s="166">
        <v>32820</v>
      </c>
      <c r="M8" s="166">
        <v>17060</v>
      </c>
      <c r="N8" s="167">
        <f t="shared" si="0"/>
        <v>0.57697510822510822</v>
      </c>
      <c r="O8" s="166"/>
    </row>
    <row r="9" spans="1:16" x14ac:dyDescent="0.25">
      <c r="A9" s="165" t="s">
        <v>35</v>
      </c>
      <c r="B9" s="166">
        <v>2181</v>
      </c>
      <c r="D9" s="177" t="s">
        <v>35</v>
      </c>
      <c r="E9" s="178">
        <v>2291</v>
      </c>
      <c r="F9" s="178">
        <v>1616</v>
      </c>
      <c r="G9" s="178"/>
      <c r="J9" s="165" t="s">
        <v>35</v>
      </c>
      <c r="K9" s="166">
        <v>2181</v>
      </c>
      <c r="L9" s="166">
        <v>2291</v>
      </c>
      <c r="M9" s="166">
        <v>1616</v>
      </c>
      <c r="N9" s="167">
        <f t="shared" si="0"/>
        <v>0.74094452086198992</v>
      </c>
      <c r="O9" s="166"/>
    </row>
    <row r="10" spans="1:16" x14ac:dyDescent="0.25">
      <c r="A10" s="161" t="s">
        <v>382</v>
      </c>
      <c r="B10" s="162">
        <v>133643.25</v>
      </c>
      <c r="D10" s="177" t="s">
        <v>436</v>
      </c>
      <c r="E10" s="178">
        <v>137833.33333333331</v>
      </c>
      <c r="F10" s="178">
        <v>89814</v>
      </c>
      <c r="G10" s="178">
        <v>16336</v>
      </c>
      <c r="J10" s="161" t="s">
        <v>382</v>
      </c>
      <c r="K10" s="162">
        <v>133643.25</v>
      </c>
      <c r="L10" s="162">
        <v>137833.33333333331</v>
      </c>
      <c r="M10" s="162">
        <v>90091.333333333328</v>
      </c>
      <c r="N10" s="167">
        <f t="shared" si="0"/>
        <v>0.67411809674886936</v>
      </c>
      <c r="O10" s="162"/>
    </row>
    <row r="11" spans="1:16" x14ac:dyDescent="0.25">
      <c r="D11"/>
      <c r="E11"/>
      <c r="F11"/>
      <c r="G11"/>
      <c r="J11" s="161" t="s">
        <v>383</v>
      </c>
      <c r="K11" s="162">
        <f>K10-K5</f>
        <v>125247.25</v>
      </c>
      <c r="L11" s="162">
        <f t="shared" ref="L11:M11" si="1">L10-L5</f>
        <v>137833.33333333331</v>
      </c>
      <c r="M11" s="162">
        <f t="shared" si="1"/>
        <v>90091.333333333328</v>
      </c>
      <c r="N11" s="167">
        <f t="shared" si="0"/>
        <v>0.7193078756885547</v>
      </c>
      <c r="O11" s="162"/>
    </row>
    <row r="12" spans="1:16" x14ac:dyDescent="0.25">
      <c r="D12"/>
      <c r="E12"/>
      <c r="F12"/>
    </row>
    <row r="13" spans="1:16" x14ac:dyDescent="0.25">
      <c r="A13" s="158" t="s">
        <v>376</v>
      </c>
      <c r="D13"/>
      <c r="E13"/>
      <c r="F13"/>
    </row>
    <row r="14" spans="1:16" ht="57.6" x14ac:dyDescent="0.25">
      <c r="A14" s="161" t="s">
        <v>384</v>
      </c>
      <c r="B14" s="162" t="s">
        <v>377</v>
      </c>
      <c r="D14"/>
      <c r="E14"/>
      <c r="F14"/>
      <c r="G14"/>
      <c r="J14" s="45" t="s">
        <v>5</v>
      </c>
      <c r="K14" s="45" t="s">
        <v>378</v>
      </c>
      <c r="L14" s="45" t="s">
        <v>379</v>
      </c>
      <c r="M14" s="45" t="s">
        <v>380</v>
      </c>
      <c r="N14" s="45" t="s">
        <v>381</v>
      </c>
      <c r="O14" s="164" t="s">
        <v>151</v>
      </c>
      <c r="P14" s="45" t="s">
        <v>385</v>
      </c>
    </row>
    <row r="15" spans="1:16" ht="27.6" x14ac:dyDescent="0.25">
      <c r="A15" s="165" t="s">
        <v>219</v>
      </c>
      <c r="B15" s="166">
        <v>8396</v>
      </c>
      <c r="D15"/>
      <c r="E15"/>
      <c r="F15"/>
      <c r="G15"/>
      <c r="J15" s="165" t="s">
        <v>219</v>
      </c>
      <c r="K15" s="166">
        <v>8396</v>
      </c>
      <c r="L15" s="166"/>
      <c r="M15" s="166"/>
      <c r="N15" s="167"/>
      <c r="O15" s="166"/>
      <c r="P15" s="168" t="s">
        <v>386</v>
      </c>
    </row>
    <row r="16" spans="1:16" x14ac:dyDescent="0.25">
      <c r="A16" s="165" t="s">
        <v>96</v>
      </c>
      <c r="B16" s="166">
        <v>2181</v>
      </c>
      <c r="D16"/>
      <c r="E16"/>
      <c r="F16"/>
      <c r="G16"/>
      <c r="J16" s="165" t="s">
        <v>96</v>
      </c>
      <c r="K16" s="166">
        <v>2181</v>
      </c>
      <c r="L16" s="166">
        <v>2450</v>
      </c>
      <c r="M16" s="166">
        <v>1600</v>
      </c>
      <c r="N16" s="167">
        <f>M16/K16</f>
        <v>0.73360843649701968</v>
      </c>
      <c r="O16" s="166"/>
      <c r="P16" s="165" t="s">
        <v>387</v>
      </c>
    </row>
    <row r="17" spans="1:16" x14ac:dyDescent="0.25">
      <c r="A17" s="165" t="s">
        <v>388</v>
      </c>
      <c r="B17" s="166">
        <v>2181</v>
      </c>
      <c r="D17"/>
      <c r="E17"/>
      <c r="F17"/>
      <c r="G17"/>
      <c r="J17" s="165" t="s">
        <v>388</v>
      </c>
      <c r="K17" s="166">
        <v>2181</v>
      </c>
      <c r="L17" s="166">
        <v>2291</v>
      </c>
      <c r="M17" s="166">
        <v>1616</v>
      </c>
      <c r="N17" s="167">
        <f>M17/K17</f>
        <v>0.74094452086198992</v>
      </c>
      <c r="O17" s="166"/>
      <c r="P17" s="165" t="s">
        <v>387</v>
      </c>
    </row>
    <row r="18" spans="1:16" x14ac:dyDescent="0.25">
      <c r="A18" s="165" t="s">
        <v>389</v>
      </c>
      <c r="B18" s="166">
        <v>2099</v>
      </c>
      <c r="D18"/>
      <c r="E18"/>
      <c r="F18"/>
      <c r="G18"/>
      <c r="J18" s="165" t="s">
        <v>389</v>
      </c>
      <c r="K18" s="166">
        <v>2099</v>
      </c>
      <c r="L18" s="166">
        <v>1646</v>
      </c>
      <c r="M18" s="166">
        <v>916</v>
      </c>
      <c r="N18" s="167">
        <f>M18/K18</f>
        <v>0.43639828489757027</v>
      </c>
      <c r="O18" s="166"/>
      <c r="P18" s="169" t="s">
        <v>390</v>
      </c>
    </row>
    <row r="19" spans="1:16" x14ac:dyDescent="0.25">
      <c r="A19" s="165" t="s">
        <v>391</v>
      </c>
      <c r="B19" s="166">
        <v>2099</v>
      </c>
      <c r="D19"/>
      <c r="E19"/>
      <c r="F19"/>
      <c r="G19"/>
      <c r="J19" s="165" t="s">
        <v>391</v>
      </c>
      <c r="K19" s="166">
        <v>2099</v>
      </c>
      <c r="L19" s="166">
        <v>3830</v>
      </c>
      <c r="M19" s="166">
        <v>2680</v>
      </c>
      <c r="N19" s="167">
        <f>M19/K19</f>
        <v>1.276798475464507</v>
      </c>
      <c r="O19" s="166"/>
      <c r="P19" s="165" t="s">
        <v>387</v>
      </c>
    </row>
    <row r="20" spans="1:16" ht="27.6" x14ac:dyDescent="0.25">
      <c r="A20" s="165" t="s">
        <v>392</v>
      </c>
      <c r="B20" s="166"/>
      <c r="D20"/>
      <c r="E20"/>
      <c r="F20"/>
      <c r="G20"/>
      <c r="J20" s="165" t="s">
        <v>393</v>
      </c>
      <c r="K20" s="166">
        <v>43737</v>
      </c>
      <c r="L20" s="166">
        <v>70067</v>
      </c>
      <c r="M20" s="166">
        <v>50980</v>
      </c>
      <c r="N20" s="167">
        <f t="shared" ref="N20:N26" si="2">M20/K20</f>
        <v>1.1656034936095296</v>
      </c>
      <c r="O20" s="166"/>
      <c r="P20" s="170" t="s">
        <v>394</v>
      </c>
    </row>
    <row r="21" spans="1:16" ht="27.6" x14ac:dyDescent="0.25">
      <c r="A21" s="165" t="s">
        <v>393</v>
      </c>
      <c r="B21" s="166">
        <v>43737</v>
      </c>
      <c r="D21"/>
      <c r="E21"/>
      <c r="F21"/>
      <c r="G21"/>
      <c r="J21" s="165" t="s">
        <v>395</v>
      </c>
      <c r="K21" s="166">
        <v>32217</v>
      </c>
      <c r="L21" s="166">
        <v>10260</v>
      </c>
      <c r="M21" s="166">
        <v>6570</v>
      </c>
      <c r="N21" s="167">
        <f t="shared" si="2"/>
        <v>0.20392960238383462</v>
      </c>
      <c r="O21" s="166"/>
      <c r="P21" s="170" t="s">
        <v>396</v>
      </c>
    </row>
    <row r="22" spans="1:16" x14ac:dyDescent="0.25">
      <c r="A22" s="165" t="s">
        <v>395</v>
      </c>
      <c r="B22" s="166">
        <v>32217</v>
      </c>
      <c r="D22"/>
      <c r="E22"/>
      <c r="F22"/>
      <c r="G22"/>
      <c r="J22" s="171" t="s">
        <v>397</v>
      </c>
      <c r="K22" s="166">
        <v>29568</v>
      </c>
      <c r="L22" s="166">
        <v>32820</v>
      </c>
      <c r="M22" s="166">
        <v>17060</v>
      </c>
      <c r="N22" s="167">
        <f t="shared" si="2"/>
        <v>0.57697510822510822</v>
      </c>
      <c r="O22" s="166"/>
      <c r="P22" s="169" t="s">
        <v>398</v>
      </c>
    </row>
    <row r="23" spans="1:16" ht="27.6" x14ac:dyDescent="0.25">
      <c r="A23" s="165" t="s">
        <v>397</v>
      </c>
      <c r="B23" s="166">
        <v>29568</v>
      </c>
      <c r="D23"/>
      <c r="E23"/>
      <c r="F23"/>
      <c r="G23"/>
      <c r="J23" s="165" t="s">
        <v>399</v>
      </c>
      <c r="K23" s="166">
        <v>6635.25</v>
      </c>
      <c r="L23" s="166">
        <v>11769.333333333332</v>
      </c>
      <c r="M23" s="166">
        <v>6869.333333333333</v>
      </c>
      <c r="N23" s="167">
        <f t="shared" si="2"/>
        <v>1.0352787511146275</v>
      </c>
      <c r="O23" s="166"/>
      <c r="P23" s="170" t="s">
        <v>400</v>
      </c>
    </row>
    <row r="24" spans="1:16" ht="27.6" x14ac:dyDescent="0.25">
      <c r="A24" s="165" t="s">
        <v>399</v>
      </c>
      <c r="B24" s="166">
        <v>6635.25</v>
      </c>
      <c r="D24"/>
      <c r="E24"/>
      <c r="F24"/>
      <c r="G24"/>
      <c r="J24" s="165" t="s">
        <v>401</v>
      </c>
      <c r="K24" s="166">
        <v>4530</v>
      </c>
      <c r="L24" s="166">
        <v>2700</v>
      </c>
      <c r="M24" s="166">
        <v>1800</v>
      </c>
      <c r="N24" s="167">
        <f t="shared" si="2"/>
        <v>0.39735099337748342</v>
      </c>
      <c r="O24" s="166"/>
      <c r="P24" s="170" t="s">
        <v>402</v>
      </c>
    </row>
    <row r="25" spans="1:16" x14ac:dyDescent="0.25">
      <c r="A25" s="165" t="s">
        <v>401</v>
      </c>
      <c r="B25" s="166">
        <v>4530</v>
      </c>
      <c r="D25"/>
      <c r="E25"/>
      <c r="F25"/>
      <c r="G25"/>
      <c r="J25" s="161" t="s">
        <v>382</v>
      </c>
      <c r="K25" s="162">
        <v>133643.25</v>
      </c>
      <c r="L25" s="162">
        <v>137833.33333333334</v>
      </c>
      <c r="M25" s="162">
        <v>90091.333333333328</v>
      </c>
      <c r="N25" s="167">
        <f t="shared" si="2"/>
        <v>0.67411809674886936</v>
      </c>
      <c r="O25" s="162"/>
    </row>
    <row r="26" spans="1:16" x14ac:dyDescent="0.25">
      <c r="A26" s="161" t="s">
        <v>382</v>
      </c>
      <c r="B26" s="162">
        <v>133643.25</v>
      </c>
      <c r="D26"/>
      <c r="E26"/>
      <c r="F26"/>
      <c r="J26" s="161" t="s">
        <v>383</v>
      </c>
      <c r="K26" s="162">
        <f>K25-K15</f>
        <v>125247.25</v>
      </c>
      <c r="L26" s="162">
        <f>L25-L15</f>
        <v>137833.33333333334</v>
      </c>
      <c r="M26" s="162">
        <f>M25-M15</f>
        <v>90091.333333333328</v>
      </c>
      <c r="N26" s="167">
        <f t="shared" si="2"/>
        <v>0.7193078756885547</v>
      </c>
      <c r="O26" s="162"/>
    </row>
    <row r="27" spans="1:16" x14ac:dyDescent="0.25">
      <c r="D27"/>
      <c r="E27"/>
      <c r="F27"/>
    </row>
    <row r="28" spans="1:16" x14ac:dyDescent="0.25">
      <c r="D28"/>
      <c r="E28"/>
      <c r="F28"/>
      <c r="P28" s="163"/>
    </row>
    <row r="29" spans="1:16" x14ac:dyDescent="0.25">
      <c r="D29"/>
      <c r="E29"/>
      <c r="F29"/>
    </row>
    <row r="30" spans="1:16" ht="57.6" x14ac:dyDescent="0.25">
      <c r="D30"/>
      <c r="E30"/>
      <c r="F30"/>
      <c r="G30"/>
      <c r="J30" s="172" t="s">
        <v>9</v>
      </c>
      <c r="K30" s="172" t="s">
        <v>403</v>
      </c>
      <c r="L30" s="45" t="s">
        <v>379</v>
      </c>
      <c r="M30" s="45" t="s">
        <v>380</v>
      </c>
      <c r="N30" s="45" t="s">
        <v>381</v>
      </c>
      <c r="O30" s="164" t="s">
        <v>151</v>
      </c>
    </row>
    <row r="31" spans="1:16" x14ac:dyDescent="0.25">
      <c r="D31"/>
      <c r="E31"/>
      <c r="F31"/>
      <c r="G31"/>
      <c r="J31" s="165" t="s">
        <v>242</v>
      </c>
      <c r="K31" s="166"/>
      <c r="L31" s="166">
        <v>500</v>
      </c>
      <c r="M31" s="166"/>
      <c r="N31" s="173">
        <f t="shared" ref="N31:N48" si="3">M31/L31</f>
        <v>0</v>
      </c>
      <c r="O31" s="166"/>
    </row>
    <row r="32" spans="1:16" x14ac:dyDescent="0.25">
      <c r="D32"/>
      <c r="E32"/>
      <c r="F32"/>
      <c r="G32"/>
      <c r="J32" s="165" t="s">
        <v>249</v>
      </c>
      <c r="K32" s="166"/>
      <c r="L32" s="166">
        <v>360</v>
      </c>
      <c r="M32" s="166">
        <v>180</v>
      </c>
      <c r="N32" s="173">
        <f t="shared" si="3"/>
        <v>0.5</v>
      </c>
      <c r="O32" s="166"/>
    </row>
    <row r="33" spans="4:15" x14ac:dyDescent="0.25">
      <c r="D33"/>
      <c r="E33"/>
      <c r="F33"/>
      <c r="G33"/>
      <c r="J33" s="165" t="s">
        <v>247</v>
      </c>
      <c r="K33" s="166" t="s">
        <v>404</v>
      </c>
      <c r="L33" s="166">
        <v>480</v>
      </c>
      <c r="M33" s="166">
        <v>0</v>
      </c>
      <c r="N33" s="173">
        <f t="shared" si="3"/>
        <v>0</v>
      </c>
      <c r="O33" s="166"/>
    </row>
    <row r="34" spans="4:15" x14ac:dyDescent="0.25">
      <c r="D34"/>
      <c r="E34"/>
      <c r="F34"/>
      <c r="G34"/>
      <c r="J34" s="165" t="s">
        <v>230</v>
      </c>
      <c r="K34" s="166" t="s">
        <v>405</v>
      </c>
      <c r="L34" s="166">
        <v>47292.333333333336</v>
      </c>
      <c r="M34" s="166">
        <v>47015</v>
      </c>
      <c r="N34" s="173">
        <f t="shared" si="3"/>
        <v>0.99413576548700633</v>
      </c>
      <c r="O34" s="166">
        <v>7375</v>
      </c>
    </row>
    <row r="35" spans="4:15" x14ac:dyDescent="0.25">
      <c r="D35"/>
      <c r="E35"/>
      <c r="F35"/>
      <c r="G35"/>
      <c r="J35" s="165" t="s">
        <v>231</v>
      </c>
      <c r="K35" s="166"/>
      <c r="L35" s="166">
        <v>4410</v>
      </c>
      <c r="M35" s="166">
        <v>1870</v>
      </c>
      <c r="N35" s="173">
        <f t="shared" si="3"/>
        <v>0.42403628117913833</v>
      </c>
      <c r="O35" s="166"/>
    </row>
    <row r="36" spans="4:15" x14ac:dyDescent="0.25">
      <c r="D36"/>
      <c r="E36"/>
      <c r="F36"/>
      <c r="G36"/>
      <c r="J36" s="165" t="s">
        <v>232</v>
      </c>
      <c r="K36" s="166" t="s">
        <v>406</v>
      </c>
      <c r="L36" s="166">
        <v>13827</v>
      </c>
      <c r="M36" s="166">
        <v>2240</v>
      </c>
      <c r="N36" s="173">
        <f t="shared" si="3"/>
        <v>0.16200188037896868</v>
      </c>
      <c r="O36" s="166"/>
    </row>
    <row r="37" spans="4:15" x14ac:dyDescent="0.25">
      <c r="D37"/>
      <c r="E37"/>
      <c r="F37"/>
      <c r="G37"/>
      <c r="J37" s="165" t="s">
        <v>233</v>
      </c>
      <c r="K37" s="166" t="s">
        <v>407</v>
      </c>
      <c r="L37" s="166">
        <v>14025</v>
      </c>
      <c r="M37" s="166">
        <v>3640</v>
      </c>
      <c r="N37" s="173">
        <f t="shared" si="3"/>
        <v>0.25953654188948305</v>
      </c>
      <c r="O37" s="166"/>
    </row>
    <row r="38" spans="4:15" x14ac:dyDescent="0.25">
      <c r="D38"/>
      <c r="E38"/>
      <c r="F38"/>
      <c r="G38"/>
      <c r="J38" s="165" t="s">
        <v>234</v>
      </c>
      <c r="K38" s="166" t="s">
        <v>408</v>
      </c>
      <c r="L38" s="166">
        <v>7505</v>
      </c>
      <c r="M38" s="166">
        <v>5430</v>
      </c>
      <c r="N38" s="173">
        <f t="shared" si="3"/>
        <v>0.72351765489673547</v>
      </c>
      <c r="O38" s="166"/>
    </row>
    <row r="39" spans="4:15" x14ac:dyDescent="0.25">
      <c r="D39"/>
      <c r="E39"/>
      <c r="F39"/>
      <c r="G39"/>
      <c r="J39" s="165" t="s">
        <v>235</v>
      </c>
      <c r="K39" s="166"/>
      <c r="L39" s="166">
        <v>5325</v>
      </c>
      <c r="M39" s="166"/>
      <c r="N39" s="173">
        <f t="shared" si="3"/>
        <v>0</v>
      </c>
      <c r="O39" s="166"/>
    </row>
    <row r="40" spans="4:15" x14ac:dyDescent="0.25">
      <c r="D40"/>
      <c r="E40"/>
      <c r="F40"/>
      <c r="G40"/>
      <c r="J40" s="165" t="s">
        <v>236</v>
      </c>
      <c r="K40" s="166" t="s">
        <v>409</v>
      </c>
      <c r="L40" s="166">
        <v>1020</v>
      </c>
      <c r="M40" s="166">
        <v>0</v>
      </c>
      <c r="N40" s="173">
        <f t="shared" si="3"/>
        <v>0</v>
      </c>
      <c r="O40" s="166"/>
    </row>
    <row r="41" spans="4:15" x14ac:dyDescent="0.25">
      <c r="D41"/>
      <c r="E41"/>
      <c r="F41"/>
      <c r="G41"/>
      <c r="J41" s="165" t="s">
        <v>237</v>
      </c>
      <c r="K41" s="166" t="s">
        <v>410</v>
      </c>
      <c r="L41" s="166">
        <v>2244</v>
      </c>
      <c r="M41" s="166">
        <v>1164</v>
      </c>
      <c r="N41" s="173">
        <f t="shared" si="3"/>
        <v>0.51871657754010692</v>
      </c>
      <c r="O41" s="166">
        <v>2370</v>
      </c>
    </row>
    <row r="42" spans="4:15" x14ac:dyDescent="0.25">
      <c r="D42"/>
      <c r="E42"/>
      <c r="F42"/>
      <c r="G42"/>
      <c r="J42" s="165" t="s">
        <v>238</v>
      </c>
      <c r="K42" s="166" t="s">
        <v>411</v>
      </c>
      <c r="L42" s="166">
        <v>15955</v>
      </c>
      <c r="M42" s="166">
        <v>8765</v>
      </c>
      <c r="N42" s="173">
        <f t="shared" si="3"/>
        <v>0.54935756816045123</v>
      </c>
      <c r="O42" s="166">
        <v>120</v>
      </c>
    </row>
    <row r="43" spans="4:15" x14ac:dyDescent="0.25">
      <c r="D43"/>
      <c r="E43"/>
      <c r="F43"/>
      <c r="G43"/>
      <c r="J43" s="165" t="s">
        <v>239</v>
      </c>
      <c r="K43" s="166"/>
      <c r="L43" s="166">
        <v>480</v>
      </c>
      <c r="M43" s="166">
        <v>480</v>
      </c>
      <c r="N43" s="173">
        <f t="shared" si="3"/>
        <v>1</v>
      </c>
      <c r="O43" s="166"/>
    </row>
    <row r="44" spans="4:15" x14ac:dyDescent="0.25">
      <c r="D44"/>
      <c r="E44"/>
      <c r="F44"/>
      <c r="G44"/>
      <c r="J44" s="165" t="s">
        <v>241</v>
      </c>
      <c r="K44" s="166" t="s">
        <v>412</v>
      </c>
      <c r="L44" s="166">
        <v>740</v>
      </c>
      <c r="M44" s="166">
        <v>1100</v>
      </c>
      <c r="N44" s="173">
        <f t="shared" si="3"/>
        <v>1.4864864864864864</v>
      </c>
      <c r="O44" s="166"/>
    </row>
    <row r="45" spans="4:15" x14ac:dyDescent="0.25">
      <c r="D45"/>
      <c r="E45"/>
      <c r="F45"/>
      <c r="G45"/>
      <c r="J45" s="165" t="s">
        <v>243</v>
      </c>
      <c r="K45" s="166" t="s">
        <v>413</v>
      </c>
      <c r="L45" s="166">
        <v>6300</v>
      </c>
      <c r="M45" s="166">
        <v>2000</v>
      </c>
      <c r="N45" s="173">
        <f t="shared" si="3"/>
        <v>0.31746031746031744</v>
      </c>
      <c r="O45" s="166">
        <v>252</v>
      </c>
    </row>
    <row r="46" spans="4:15" x14ac:dyDescent="0.25">
      <c r="D46"/>
      <c r="E46"/>
      <c r="F46"/>
      <c r="G46"/>
      <c r="J46" s="165" t="s">
        <v>244</v>
      </c>
      <c r="K46" s="166"/>
      <c r="L46" s="166">
        <v>1440</v>
      </c>
      <c r="M46" s="166">
        <v>0</v>
      </c>
      <c r="N46" s="173">
        <f t="shared" si="3"/>
        <v>0</v>
      </c>
      <c r="O46" s="166"/>
    </row>
    <row r="47" spans="4:15" x14ac:dyDescent="0.25">
      <c r="D47"/>
      <c r="E47"/>
      <c r="F47"/>
      <c r="G47"/>
      <c r="J47" s="165" t="s">
        <v>245</v>
      </c>
      <c r="K47" s="166"/>
      <c r="L47" s="166">
        <v>4050</v>
      </c>
      <c r="M47" s="166">
        <v>4050</v>
      </c>
      <c r="N47" s="173">
        <f t="shared" si="3"/>
        <v>1</v>
      </c>
      <c r="O47" s="166">
        <v>905</v>
      </c>
    </row>
    <row r="48" spans="4:15" x14ac:dyDescent="0.25">
      <c r="D48"/>
      <c r="E48"/>
      <c r="F48"/>
      <c r="G48"/>
      <c r="J48" s="165" t="s">
        <v>248</v>
      </c>
      <c r="K48" s="166" t="s">
        <v>414</v>
      </c>
      <c r="L48" s="166">
        <v>11880</v>
      </c>
      <c r="M48" s="166">
        <v>11880</v>
      </c>
      <c r="N48" s="173">
        <f t="shared" si="3"/>
        <v>1</v>
      </c>
      <c r="O48" s="166"/>
    </row>
    <row r="49" spans="4:15" x14ac:dyDescent="0.25">
      <c r="D49"/>
      <c r="E49"/>
      <c r="F49"/>
      <c r="G49"/>
      <c r="J49" s="165" t="s">
        <v>250</v>
      </c>
      <c r="K49" s="165"/>
      <c r="L49" s="166"/>
      <c r="M49" s="166"/>
      <c r="N49" s="173"/>
      <c r="O49" s="166">
        <v>304</v>
      </c>
    </row>
    <row r="50" spans="4:15" x14ac:dyDescent="0.25">
      <c r="D50"/>
      <c r="E50"/>
      <c r="F50"/>
      <c r="G50"/>
      <c r="J50" s="165" t="s">
        <v>42</v>
      </c>
      <c r="K50" s="166"/>
      <c r="L50" s="166"/>
      <c r="M50" s="166"/>
      <c r="N50" s="165"/>
      <c r="O50" s="166">
        <v>1950</v>
      </c>
    </row>
    <row r="51" spans="4:15" x14ac:dyDescent="0.25">
      <c r="D51"/>
      <c r="E51"/>
      <c r="F51"/>
      <c r="G51"/>
      <c r="J51" s="161" t="s">
        <v>382</v>
      </c>
      <c r="K51" s="161"/>
      <c r="L51" s="162">
        <v>137833.33333333334</v>
      </c>
      <c r="M51" s="162">
        <v>89814</v>
      </c>
      <c r="N51" s="167">
        <f t="shared" ref="N51" si="4">M51/L51</f>
        <v>0.65161305925030222</v>
      </c>
      <c r="O51" s="162">
        <v>13276</v>
      </c>
    </row>
    <row r="52" spans="4:15" x14ac:dyDescent="0.25">
      <c r="D52"/>
      <c r="E52"/>
      <c r="F52"/>
      <c r="G52"/>
      <c r="L52" s="160"/>
    </row>
    <row r="53" spans="4:15" x14ac:dyDescent="0.25">
      <c r="L53" s="160"/>
    </row>
    <row r="54" spans="4:15" x14ac:dyDescent="0.25">
      <c r="L54" s="160"/>
    </row>
    <row r="55" spans="4:15" x14ac:dyDescent="0.25">
      <c r="L55" s="160"/>
    </row>
    <row r="56" spans="4:15" x14ac:dyDescent="0.25">
      <c r="L56" s="160"/>
    </row>
    <row r="57" spans="4:15" x14ac:dyDescent="0.25">
      <c r="L57" s="160"/>
    </row>
    <row r="58" spans="4:15" x14ac:dyDescent="0.25">
      <c r="L58" s="160"/>
    </row>
    <row r="59" spans="4:15" x14ac:dyDescent="0.25">
      <c r="L59" s="160"/>
    </row>
    <row r="60" spans="4:15" x14ac:dyDescent="0.25">
      <c r="L60" s="160"/>
    </row>
    <row r="61" spans="4:15" x14ac:dyDescent="0.25">
      <c r="J61" s="165" t="s">
        <v>415</v>
      </c>
      <c r="K61" s="165" t="s">
        <v>416</v>
      </c>
    </row>
    <row r="62" spans="4:15" x14ac:dyDescent="0.25">
      <c r="J62" s="165" t="s">
        <v>417</v>
      </c>
      <c r="K62" s="165"/>
    </row>
    <row r="63" spans="4:15" x14ac:dyDescent="0.25">
      <c r="J63" s="165" t="s">
        <v>418</v>
      </c>
      <c r="K63" s="165"/>
    </row>
    <row r="64" spans="4:15" x14ac:dyDescent="0.25">
      <c r="J64" s="165" t="s">
        <v>419</v>
      </c>
      <c r="K64" s="165"/>
    </row>
    <row r="65" spans="10:11" x14ac:dyDescent="0.25">
      <c r="J65" s="168" t="s">
        <v>420</v>
      </c>
      <c r="K65" s="165"/>
    </row>
    <row r="66" spans="10:11" x14ac:dyDescent="0.25">
      <c r="J66" s="165" t="s">
        <v>421</v>
      </c>
      <c r="K66" s="165" t="s">
        <v>409</v>
      </c>
    </row>
    <row r="67" spans="10:11" x14ac:dyDescent="0.25">
      <c r="J67" s="165" t="s">
        <v>422</v>
      </c>
      <c r="K67" s="165" t="s">
        <v>410</v>
      </c>
    </row>
    <row r="68" spans="10:11" x14ac:dyDescent="0.25">
      <c r="J68" s="165" t="s">
        <v>238</v>
      </c>
      <c r="K68" s="165" t="s">
        <v>411</v>
      </c>
    </row>
    <row r="69" spans="10:11" x14ac:dyDescent="0.25">
      <c r="J69" s="165" t="s">
        <v>423</v>
      </c>
      <c r="K69" s="165"/>
    </row>
    <row r="70" spans="10:11" x14ac:dyDescent="0.25">
      <c r="J70" s="165" t="s">
        <v>240</v>
      </c>
      <c r="K70" s="174" t="s">
        <v>405</v>
      </c>
    </row>
    <row r="71" spans="10:11" x14ac:dyDescent="0.25">
      <c r="J71" s="165" t="s">
        <v>424</v>
      </c>
      <c r="K71" s="165"/>
    </row>
    <row r="72" spans="10:11" x14ac:dyDescent="0.25">
      <c r="J72" s="165" t="s">
        <v>425</v>
      </c>
      <c r="K72" s="165" t="s">
        <v>408</v>
      </c>
    </row>
    <row r="73" spans="10:11" x14ac:dyDescent="0.25">
      <c r="J73" s="165" t="s">
        <v>242</v>
      </c>
      <c r="K73" s="165"/>
    </row>
    <row r="74" spans="10:11" x14ac:dyDescent="0.25">
      <c r="J74" s="165" t="s">
        <v>426</v>
      </c>
      <c r="K74" s="165"/>
    </row>
    <row r="75" spans="10:11" x14ac:dyDescent="0.25">
      <c r="J75" s="165" t="s">
        <v>427</v>
      </c>
      <c r="K75" s="165" t="s">
        <v>406</v>
      </c>
    </row>
    <row r="76" spans="10:11" x14ac:dyDescent="0.25">
      <c r="J76" s="165" t="s">
        <v>428</v>
      </c>
      <c r="K76" s="165" t="s">
        <v>407</v>
      </c>
    </row>
    <row r="77" spans="10:11" x14ac:dyDescent="0.25">
      <c r="J77" s="165" t="s">
        <v>429</v>
      </c>
      <c r="K77" s="165"/>
    </row>
    <row r="78" spans="10:11" x14ac:dyDescent="0.25">
      <c r="J78" s="165" t="s">
        <v>430</v>
      </c>
      <c r="K78" s="165" t="s">
        <v>413</v>
      </c>
    </row>
    <row r="79" spans="10:11" x14ac:dyDescent="0.25">
      <c r="J79" s="165" t="s">
        <v>249</v>
      </c>
      <c r="K79" s="165"/>
    </row>
    <row r="80" spans="10:11" x14ac:dyDescent="0.25">
      <c r="J80" s="165" t="s">
        <v>247</v>
      </c>
      <c r="K80" s="165" t="s">
        <v>404</v>
      </c>
    </row>
    <row r="81" spans="10:11" x14ac:dyDescent="0.25">
      <c r="J81" s="165" t="s">
        <v>431</v>
      </c>
      <c r="K81" s="165" t="s">
        <v>412</v>
      </c>
    </row>
    <row r="82" spans="10:11" x14ac:dyDescent="0.25">
      <c r="J82" s="165" t="s">
        <v>432</v>
      </c>
      <c r="K82" s="165"/>
    </row>
    <row r="83" spans="10:11" x14ac:dyDescent="0.25">
      <c r="J83" s="165" t="s">
        <v>433</v>
      </c>
      <c r="K83" s="165" t="s">
        <v>414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4576C-BE24-4733-8310-D85B571AC0DC}">
  <sheetPr codeName="Sheet2"/>
  <dimension ref="A1:S47"/>
  <sheetViews>
    <sheetView workbookViewId="0">
      <selection activeCell="Q7" sqref="Q7"/>
    </sheetView>
  </sheetViews>
  <sheetFormatPr defaultRowHeight="13.8" x14ac:dyDescent="0.25"/>
  <cols>
    <col min="1" max="1" width="8.296875" style="7" bestFit="1" customWidth="1"/>
    <col min="2" max="2" width="3.296875" style="7" customWidth="1"/>
    <col min="3" max="3" width="9.296875" style="7" bestFit="1" customWidth="1"/>
    <col min="4" max="4" width="3.296875" customWidth="1"/>
    <col min="5" max="5" width="53.3984375" style="7" bestFit="1" customWidth="1"/>
    <col min="6" max="6" width="3.296875" customWidth="1"/>
    <col min="7" max="7" width="17.59765625" style="7" customWidth="1"/>
    <col min="8" max="8" width="3.296875" style="7" customWidth="1"/>
    <col min="9" max="9" width="24.3984375" style="7" customWidth="1"/>
    <col min="10" max="10" width="3.296875" customWidth="1"/>
    <col min="11" max="11" width="21.8984375" style="7" customWidth="1"/>
    <col min="12" max="12" width="3.296875" customWidth="1"/>
    <col min="13" max="13" width="10.69921875" style="7" bestFit="1" customWidth="1"/>
    <col min="14" max="14" width="3.296875" customWidth="1"/>
    <col min="15" max="15" width="40.09765625" style="7" customWidth="1"/>
    <col min="16" max="16" width="3.296875" customWidth="1"/>
    <col min="17" max="17" width="27.3984375" customWidth="1"/>
    <col min="19" max="19" width="13.296875" customWidth="1"/>
  </cols>
  <sheetData>
    <row r="1" spans="1:19" ht="26.4" x14ac:dyDescent="0.25">
      <c r="A1" s="2" t="s">
        <v>1</v>
      </c>
      <c r="B1" s="3"/>
      <c r="C1" s="2" t="s">
        <v>2</v>
      </c>
      <c r="E1" s="2" t="s">
        <v>3</v>
      </c>
      <c r="G1" s="2" t="s">
        <v>4</v>
      </c>
      <c r="H1"/>
      <c r="I1" s="2" t="s">
        <v>5</v>
      </c>
      <c r="K1" s="2" t="s">
        <v>6</v>
      </c>
      <c r="M1" s="2" t="s">
        <v>7</v>
      </c>
      <c r="O1" s="2" t="s">
        <v>8</v>
      </c>
      <c r="Q1" s="2" t="s">
        <v>9</v>
      </c>
      <c r="S1" s="2" t="s">
        <v>86</v>
      </c>
    </row>
    <row r="2" spans="1:19" x14ac:dyDescent="0.25">
      <c r="A2" s="4" t="s">
        <v>10</v>
      </c>
      <c r="B2" s="5"/>
      <c r="C2" s="4" t="s">
        <v>11</v>
      </c>
      <c r="E2" s="4" t="s">
        <v>12</v>
      </c>
      <c r="G2" s="4" t="s">
        <v>13</v>
      </c>
      <c r="H2"/>
      <c r="I2" s="4" t="s">
        <v>14</v>
      </c>
      <c r="K2" s="4" t="s">
        <v>15</v>
      </c>
      <c r="M2" s="4" t="s">
        <v>16</v>
      </c>
      <c r="O2" s="4" t="s">
        <v>17</v>
      </c>
      <c r="Q2" s="4" t="s">
        <v>104</v>
      </c>
      <c r="S2" s="4" t="s">
        <v>96</v>
      </c>
    </row>
    <row r="3" spans="1:19" x14ac:dyDescent="0.25">
      <c r="A3" s="4" t="s">
        <v>11</v>
      </c>
      <c r="B3" s="5"/>
      <c r="C3" s="4" t="s">
        <v>10</v>
      </c>
      <c r="E3" s="4" t="s">
        <v>18</v>
      </c>
      <c r="G3" s="4" t="s">
        <v>19</v>
      </c>
      <c r="H3"/>
      <c r="I3" s="4" t="s">
        <v>20</v>
      </c>
      <c r="K3" s="4" t="s">
        <v>127</v>
      </c>
      <c r="M3" s="4" t="s">
        <v>22</v>
      </c>
      <c r="O3" s="4" t="s">
        <v>23</v>
      </c>
      <c r="Q3" s="4" t="s">
        <v>24</v>
      </c>
      <c r="S3" s="4"/>
    </row>
    <row r="4" spans="1:19" x14ac:dyDescent="0.25">
      <c r="A4" s="4" t="s">
        <v>25</v>
      </c>
      <c r="B4" s="5"/>
      <c r="C4" s="4" t="s">
        <v>25</v>
      </c>
      <c r="E4" s="6" t="s">
        <v>26</v>
      </c>
      <c r="G4" s="4" t="s">
        <v>27</v>
      </c>
      <c r="H4"/>
      <c r="I4" s="4" t="s">
        <v>28</v>
      </c>
      <c r="K4" s="4" t="s">
        <v>29</v>
      </c>
      <c r="M4" s="4" t="s">
        <v>30</v>
      </c>
      <c r="O4" s="4" t="s">
        <v>31</v>
      </c>
      <c r="Q4" s="4" t="s">
        <v>32</v>
      </c>
      <c r="S4" s="4"/>
    </row>
    <row r="5" spans="1:19" x14ac:dyDescent="0.25">
      <c r="A5"/>
      <c r="B5"/>
      <c r="C5"/>
      <c r="E5" s="6" t="s">
        <v>33</v>
      </c>
      <c r="G5" s="4" t="s">
        <v>34</v>
      </c>
      <c r="H5"/>
      <c r="I5" s="4" t="s">
        <v>35</v>
      </c>
      <c r="K5" s="4" t="s">
        <v>36</v>
      </c>
      <c r="M5"/>
      <c r="O5" s="4" t="s">
        <v>37</v>
      </c>
      <c r="Q5" s="4" t="s">
        <v>38</v>
      </c>
      <c r="S5" s="4"/>
    </row>
    <row r="6" spans="1:19" x14ac:dyDescent="0.25">
      <c r="A6"/>
      <c r="B6"/>
      <c r="C6"/>
      <c r="E6" s="6" t="s">
        <v>39</v>
      </c>
      <c r="G6" s="4" t="s">
        <v>40</v>
      </c>
      <c r="H6"/>
      <c r="I6" s="4" t="s">
        <v>25</v>
      </c>
      <c r="K6" s="4" t="s">
        <v>41</v>
      </c>
      <c r="M6"/>
      <c r="O6" s="4"/>
      <c r="Q6" s="4" t="s">
        <v>42</v>
      </c>
      <c r="S6" s="4"/>
    </row>
    <row r="7" spans="1:19" x14ac:dyDescent="0.25">
      <c r="A7"/>
      <c r="B7"/>
      <c r="C7"/>
      <c r="E7" s="6" t="s">
        <v>43</v>
      </c>
      <c r="G7" s="4" t="s">
        <v>25</v>
      </c>
      <c r="H7"/>
      <c r="I7"/>
      <c r="K7" s="4" t="s">
        <v>44</v>
      </c>
      <c r="M7"/>
      <c r="O7"/>
      <c r="Q7" t="s">
        <v>129</v>
      </c>
    </row>
    <row r="8" spans="1:19" x14ac:dyDescent="0.25">
      <c r="A8"/>
      <c r="B8"/>
      <c r="C8"/>
      <c r="E8" s="6" t="s">
        <v>45</v>
      </c>
      <c r="G8"/>
      <c r="H8"/>
      <c r="I8"/>
      <c r="K8" s="4" t="s">
        <v>25</v>
      </c>
      <c r="M8"/>
      <c r="O8"/>
      <c r="Q8" t="s">
        <v>129</v>
      </c>
    </row>
    <row r="9" spans="1:19" x14ac:dyDescent="0.25">
      <c r="A9"/>
      <c r="B9"/>
      <c r="C9"/>
      <c r="E9" s="6" t="s">
        <v>46</v>
      </c>
      <c r="G9"/>
      <c r="H9"/>
      <c r="I9"/>
      <c r="K9"/>
      <c r="M9"/>
      <c r="O9"/>
      <c r="Q9" t="s">
        <v>130</v>
      </c>
    </row>
    <row r="10" spans="1:19" x14ac:dyDescent="0.25">
      <c r="A10"/>
      <c r="B10"/>
      <c r="C10"/>
      <c r="E10" s="6" t="s">
        <v>47</v>
      </c>
      <c r="G10"/>
      <c r="H10"/>
      <c r="I10"/>
      <c r="K10"/>
      <c r="M10"/>
      <c r="O10"/>
      <c r="Q10" t="s">
        <v>131</v>
      </c>
    </row>
    <row r="11" spans="1:19" x14ac:dyDescent="0.25">
      <c r="A11"/>
      <c r="B11"/>
      <c r="C11"/>
      <c r="E11" s="6" t="s">
        <v>48</v>
      </c>
      <c r="G11"/>
      <c r="H11"/>
      <c r="I11"/>
      <c r="K11"/>
      <c r="M11"/>
      <c r="O11"/>
    </row>
    <row r="12" spans="1:19" x14ac:dyDescent="0.25">
      <c r="A12"/>
      <c r="B12"/>
      <c r="C12"/>
      <c r="E12" s="6" t="s">
        <v>49</v>
      </c>
      <c r="G12"/>
      <c r="H12"/>
      <c r="I12"/>
      <c r="K12"/>
      <c r="M12"/>
      <c r="O12"/>
    </row>
    <row r="13" spans="1:19" x14ac:dyDescent="0.25">
      <c r="A13"/>
      <c r="B13"/>
      <c r="C13"/>
      <c r="E13" s="6" t="s">
        <v>50</v>
      </c>
      <c r="G13"/>
      <c r="H13"/>
      <c r="I13"/>
      <c r="K13"/>
      <c r="M13"/>
      <c r="O13"/>
    </row>
    <row r="14" spans="1:19" x14ac:dyDescent="0.25">
      <c r="A14"/>
      <c r="B14"/>
      <c r="C14"/>
      <c r="E14" s="6" t="s">
        <v>51</v>
      </c>
      <c r="G14"/>
      <c r="H14"/>
      <c r="I14"/>
      <c r="K14"/>
      <c r="M14"/>
      <c r="O14"/>
    </row>
    <row r="15" spans="1:19" x14ac:dyDescent="0.25">
      <c r="A15"/>
      <c r="B15"/>
      <c r="C15"/>
      <c r="E15" s="6" t="s">
        <v>52</v>
      </c>
      <c r="G15"/>
      <c r="H15"/>
      <c r="I15"/>
      <c r="K15"/>
      <c r="M15"/>
      <c r="O15"/>
    </row>
    <row r="16" spans="1:19" x14ac:dyDescent="0.25">
      <c r="A16"/>
      <c r="B16"/>
      <c r="C16"/>
      <c r="E16" s="6" t="s">
        <v>53</v>
      </c>
      <c r="G16"/>
      <c r="H16"/>
      <c r="I16"/>
      <c r="K16"/>
      <c r="M16"/>
      <c r="O16"/>
    </row>
    <row r="17" spans="5:5" customFormat="1" x14ac:dyDescent="0.25">
      <c r="E17" s="6" t="s">
        <v>54</v>
      </c>
    </row>
    <row r="18" spans="5:5" customFormat="1" x14ac:dyDescent="0.25">
      <c r="E18" s="6" t="s">
        <v>55</v>
      </c>
    </row>
    <row r="19" spans="5:5" customFormat="1" x14ac:dyDescent="0.25">
      <c r="E19" s="6" t="s">
        <v>56</v>
      </c>
    </row>
    <row r="20" spans="5:5" customFormat="1" x14ac:dyDescent="0.25">
      <c r="E20" s="6" t="s">
        <v>57</v>
      </c>
    </row>
    <row r="21" spans="5:5" customFormat="1" x14ac:dyDescent="0.25">
      <c r="E21" s="6" t="s">
        <v>58</v>
      </c>
    </row>
    <row r="22" spans="5:5" customFormat="1" x14ac:dyDescent="0.25">
      <c r="E22" s="6" t="s">
        <v>59</v>
      </c>
    </row>
    <row r="23" spans="5:5" customFormat="1" x14ac:dyDescent="0.25">
      <c r="E23" s="6" t="s">
        <v>60</v>
      </c>
    </row>
    <row r="24" spans="5:5" customFormat="1" x14ac:dyDescent="0.25">
      <c r="E24" s="6" t="s">
        <v>61</v>
      </c>
    </row>
    <row r="25" spans="5:5" customFormat="1" x14ac:dyDescent="0.25">
      <c r="E25" s="6" t="s">
        <v>62</v>
      </c>
    </row>
    <row r="26" spans="5:5" customFormat="1" x14ac:dyDescent="0.25">
      <c r="E26" s="6" t="s">
        <v>63</v>
      </c>
    </row>
    <row r="27" spans="5:5" customFormat="1" x14ac:dyDescent="0.25">
      <c r="E27" s="6" t="s">
        <v>64</v>
      </c>
    </row>
    <row r="28" spans="5:5" customFormat="1" x14ac:dyDescent="0.25">
      <c r="E28" s="6" t="s">
        <v>65</v>
      </c>
    </row>
    <row r="29" spans="5:5" customFormat="1" x14ac:dyDescent="0.25">
      <c r="E29" s="6" t="s">
        <v>66</v>
      </c>
    </row>
    <row r="30" spans="5:5" customFormat="1" x14ac:dyDescent="0.25">
      <c r="E30" s="4" t="s">
        <v>67</v>
      </c>
    </row>
    <row r="31" spans="5:5" customFormat="1" x14ac:dyDescent="0.25">
      <c r="E31" s="4" t="s">
        <v>68</v>
      </c>
    </row>
    <row r="32" spans="5:5" customFormat="1" x14ac:dyDescent="0.25">
      <c r="E32" s="4" t="s">
        <v>69</v>
      </c>
    </row>
    <row r="33" spans="5:5" customFormat="1" x14ac:dyDescent="0.25">
      <c r="E33" s="4" t="s">
        <v>70</v>
      </c>
    </row>
    <row r="34" spans="5:5" customFormat="1" x14ac:dyDescent="0.25">
      <c r="E34" s="4" t="s">
        <v>71</v>
      </c>
    </row>
    <row r="35" spans="5:5" customFormat="1" x14ac:dyDescent="0.25">
      <c r="E35" s="4" t="s">
        <v>72</v>
      </c>
    </row>
    <row r="36" spans="5:5" customFormat="1" x14ac:dyDescent="0.25">
      <c r="E36" s="4" t="s">
        <v>73</v>
      </c>
    </row>
    <row r="37" spans="5:5" customFormat="1" x14ac:dyDescent="0.25">
      <c r="E37" s="4" t="s">
        <v>74</v>
      </c>
    </row>
    <row r="38" spans="5:5" customFormat="1" x14ac:dyDescent="0.25">
      <c r="E38" s="4" t="s">
        <v>75</v>
      </c>
    </row>
    <row r="39" spans="5:5" customFormat="1" x14ac:dyDescent="0.25">
      <c r="E39" s="4" t="s">
        <v>76</v>
      </c>
    </row>
    <row r="40" spans="5:5" customFormat="1" x14ac:dyDescent="0.25">
      <c r="E40" s="4" t="s">
        <v>77</v>
      </c>
    </row>
    <row r="41" spans="5:5" customFormat="1" x14ac:dyDescent="0.25">
      <c r="E41" s="4" t="s">
        <v>78</v>
      </c>
    </row>
    <row r="42" spans="5:5" customFormat="1" x14ac:dyDescent="0.25">
      <c r="E42" s="4" t="s">
        <v>79</v>
      </c>
    </row>
    <row r="43" spans="5:5" customFormat="1" x14ac:dyDescent="0.25">
      <c r="E43" s="4" t="s">
        <v>80</v>
      </c>
    </row>
    <row r="44" spans="5:5" customFormat="1" x14ac:dyDescent="0.25">
      <c r="E44" s="4" t="s">
        <v>81</v>
      </c>
    </row>
    <row r="45" spans="5:5" customFormat="1" x14ac:dyDescent="0.25">
      <c r="E45" s="4" t="s">
        <v>82</v>
      </c>
    </row>
    <row r="46" spans="5:5" customFormat="1" x14ac:dyDescent="0.25">
      <c r="E46" s="4" t="s">
        <v>83</v>
      </c>
    </row>
    <row r="47" spans="5:5" customFormat="1" x14ac:dyDescent="0.25">
      <c r="E47" s="4" t="s">
        <v>84</v>
      </c>
    </row>
  </sheetData>
  <pageMargins left="0.7" right="0.7" top="0.75" bottom="0.75" header="0.3" footer="0.3"/>
  <headerFooter>
    <oddFooter>&amp;C_x000D_&amp;1#&amp;"Trebuchet MS"&amp;8&amp;K22505F Saipem Classification - General Use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0B98F-90DB-4A82-8FD1-744510541737}">
  <sheetPr codeName="Sheet3"/>
  <dimension ref="A1:O50"/>
  <sheetViews>
    <sheetView zoomScale="70" zoomScaleNormal="70" workbookViewId="0">
      <pane ySplit="1" topLeftCell="A2" activePane="bottomLeft" state="frozen"/>
      <selection pane="bottomLeft" activeCell="K1" sqref="K1"/>
    </sheetView>
  </sheetViews>
  <sheetFormatPr defaultColWidth="9.09765625" defaultRowHeight="13.2" x14ac:dyDescent="0.25"/>
  <cols>
    <col min="1" max="1" width="8.296875" style="7" bestFit="1" customWidth="1"/>
    <col min="2" max="2" width="9.296875" style="7" bestFit="1" customWidth="1"/>
    <col min="3" max="3" width="11.8984375" style="7" bestFit="1" customWidth="1"/>
    <col min="4" max="4" width="69.09765625" style="7" customWidth="1"/>
    <col min="5" max="5" width="17.59765625" style="7" customWidth="1"/>
    <col min="6" max="6" width="13.09765625" style="7" bestFit="1" customWidth="1"/>
    <col min="7" max="7" width="24.3984375" style="7" customWidth="1"/>
    <col min="8" max="8" width="21.8984375" style="7" customWidth="1"/>
    <col min="9" max="9" width="10.69921875" style="7" bestFit="1" customWidth="1"/>
    <col min="10" max="11" width="11.69921875" style="11" bestFit="1" customWidth="1"/>
    <col min="12" max="12" width="11.296875" style="7" bestFit="1" customWidth="1"/>
    <col min="13" max="13" width="10.59765625" style="7" bestFit="1" customWidth="1"/>
    <col min="14" max="14" width="45.3984375" style="7" customWidth="1"/>
    <col min="15" max="15" width="40.09765625" style="7" customWidth="1"/>
    <col min="16" max="16384" width="9.09765625" style="7"/>
  </cols>
  <sheetData>
    <row r="1" spans="1:15" s="10" customFormat="1" ht="39.6" x14ac:dyDescent="0.25">
      <c r="A1" s="2" t="s">
        <v>1</v>
      </c>
      <c r="B1" s="2" t="s">
        <v>2</v>
      </c>
      <c r="C1" s="8" t="s">
        <v>85</v>
      </c>
      <c r="D1" s="2" t="s">
        <v>3</v>
      </c>
      <c r="E1" s="2" t="s">
        <v>4</v>
      </c>
      <c r="F1" s="2" t="s">
        <v>86</v>
      </c>
      <c r="G1" s="2" t="s">
        <v>5</v>
      </c>
      <c r="H1" s="2" t="s">
        <v>6</v>
      </c>
      <c r="I1" s="2" t="s">
        <v>7</v>
      </c>
      <c r="J1" s="9" t="s">
        <v>92</v>
      </c>
      <c r="K1" s="9" t="s">
        <v>93</v>
      </c>
      <c r="L1" s="2" t="s">
        <v>94</v>
      </c>
      <c r="M1" s="2" t="s">
        <v>95</v>
      </c>
      <c r="N1" s="2" t="s">
        <v>91</v>
      </c>
      <c r="O1" s="2" t="s">
        <v>8</v>
      </c>
    </row>
    <row r="2" spans="1:15" x14ac:dyDescent="0.25">
      <c r="A2" s="4" t="s">
        <v>10</v>
      </c>
      <c r="B2" s="4" t="s">
        <v>11</v>
      </c>
      <c r="C2" s="4"/>
      <c r="D2" s="4" t="s">
        <v>12</v>
      </c>
      <c r="E2" s="4" t="s">
        <v>13</v>
      </c>
      <c r="F2" s="4" t="s">
        <v>96</v>
      </c>
      <c r="G2" s="4" t="s">
        <v>14</v>
      </c>
      <c r="H2" s="4" t="s">
        <v>15</v>
      </c>
      <c r="I2" s="4" t="s">
        <v>16</v>
      </c>
      <c r="J2" s="17">
        <v>180</v>
      </c>
      <c r="K2" s="17">
        <v>200</v>
      </c>
      <c r="L2" s="4"/>
      <c r="M2" s="4"/>
      <c r="N2" s="4"/>
      <c r="O2" s="4" t="s">
        <v>17</v>
      </c>
    </row>
    <row r="3" spans="1:15" x14ac:dyDescent="0.25">
      <c r="A3" s="4" t="s">
        <v>11</v>
      </c>
      <c r="B3" s="4" t="s">
        <v>10</v>
      </c>
      <c r="C3" s="4"/>
      <c r="D3" s="4" t="s">
        <v>18</v>
      </c>
      <c r="E3" s="4" t="s">
        <v>13</v>
      </c>
      <c r="F3" s="4" t="s">
        <v>96</v>
      </c>
      <c r="G3" s="4" t="s">
        <v>14</v>
      </c>
      <c r="H3" s="4" t="s">
        <v>15</v>
      </c>
      <c r="I3" s="4" t="s">
        <v>16</v>
      </c>
      <c r="J3" s="17">
        <v>180</v>
      </c>
      <c r="K3" s="17">
        <v>200</v>
      </c>
      <c r="L3" s="4"/>
      <c r="M3" s="4"/>
      <c r="N3" s="4"/>
      <c r="O3" s="4" t="s">
        <v>17</v>
      </c>
    </row>
    <row r="4" spans="1:15" x14ac:dyDescent="0.25">
      <c r="A4" s="4" t="s">
        <v>10</v>
      </c>
      <c r="B4" s="4" t="s">
        <v>11</v>
      </c>
      <c r="C4" s="4"/>
      <c r="D4" s="6" t="s">
        <v>26</v>
      </c>
      <c r="E4" s="4" t="s">
        <v>13</v>
      </c>
      <c r="F4" s="4" t="s">
        <v>96</v>
      </c>
      <c r="G4" s="4" t="s">
        <v>20</v>
      </c>
      <c r="H4" s="4" t="s">
        <v>127</v>
      </c>
      <c r="I4" s="4" t="s">
        <v>16</v>
      </c>
      <c r="J4" s="17">
        <v>18</v>
      </c>
      <c r="K4" s="17">
        <v>20</v>
      </c>
      <c r="L4" s="4"/>
      <c r="M4" s="4"/>
      <c r="N4" s="4"/>
      <c r="O4" s="4" t="s">
        <v>23</v>
      </c>
    </row>
    <row r="5" spans="1:15" x14ac:dyDescent="0.25">
      <c r="A5" s="4" t="s">
        <v>10</v>
      </c>
      <c r="B5" s="4" t="s">
        <v>10</v>
      </c>
      <c r="C5" s="4"/>
      <c r="D5" s="6" t="s">
        <v>33</v>
      </c>
      <c r="E5" s="4" t="s">
        <v>13</v>
      </c>
      <c r="F5" s="4" t="s">
        <v>96</v>
      </c>
      <c r="G5" s="4" t="s">
        <v>20</v>
      </c>
      <c r="H5" s="4" t="s">
        <v>127</v>
      </c>
      <c r="I5" s="4" t="s">
        <v>16</v>
      </c>
      <c r="J5" s="17">
        <v>9</v>
      </c>
      <c r="K5" s="17">
        <v>10</v>
      </c>
      <c r="L5" s="4"/>
      <c r="M5" s="4"/>
      <c r="N5" s="4"/>
      <c r="O5" s="4" t="s">
        <v>23</v>
      </c>
    </row>
    <row r="6" spans="1:15" x14ac:dyDescent="0.25">
      <c r="A6" s="4" t="s">
        <v>10</v>
      </c>
      <c r="B6" s="4" t="s">
        <v>11</v>
      </c>
      <c r="C6" s="4"/>
      <c r="D6" s="6" t="s">
        <v>39</v>
      </c>
      <c r="E6" s="4" t="s">
        <v>13</v>
      </c>
      <c r="F6" s="4" t="s">
        <v>96</v>
      </c>
      <c r="G6" s="4" t="s">
        <v>20</v>
      </c>
      <c r="H6" s="4" t="s">
        <v>127</v>
      </c>
      <c r="I6" s="4" t="s">
        <v>16</v>
      </c>
      <c r="J6" s="17">
        <v>18</v>
      </c>
      <c r="K6" s="17">
        <v>20</v>
      </c>
      <c r="L6" s="4"/>
      <c r="M6" s="4"/>
      <c r="N6" s="4"/>
      <c r="O6" s="4" t="s">
        <v>23</v>
      </c>
    </row>
    <row r="7" spans="1:15" x14ac:dyDescent="0.25">
      <c r="A7" s="4" t="s">
        <v>10</v>
      </c>
      <c r="B7" s="4" t="s">
        <v>10</v>
      </c>
      <c r="C7" s="4"/>
      <c r="D7" s="6" t="s">
        <v>43</v>
      </c>
      <c r="E7" s="4" t="s">
        <v>13</v>
      </c>
      <c r="F7" s="4" t="s">
        <v>96</v>
      </c>
      <c r="G7" s="4" t="s">
        <v>20</v>
      </c>
      <c r="H7" s="4" t="s">
        <v>127</v>
      </c>
      <c r="I7" s="4" t="s">
        <v>16</v>
      </c>
      <c r="J7" s="17" t="s">
        <v>25</v>
      </c>
      <c r="K7" s="17">
        <f>(175*6)*0.8</f>
        <v>840</v>
      </c>
      <c r="L7" s="4"/>
      <c r="M7" s="4"/>
      <c r="N7" s="6" t="s">
        <v>97</v>
      </c>
      <c r="O7" s="4" t="s">
        <v>23</v>
      </c>
    </row>
    <row r="8" spans="1:15" x14ac:dyDescent="0.25">
      <c r="A8" s="4" t="s">
        <v>10</v>
      </c>
      <c r="B8" s="4" t="s">
        <v>10</v>
      </c>
      <c r="C8" s="4"/>
      <c r="D8" s="6" t="s">
        <v>45</v>
      </c>
      <c r="E8" s="4" t="s">
        <v>19</v>
      </c>
      <c r="F8" s="4" t="s">
        <v>96</v>
      </c>
      <c r="G8" s="4" t="s">
        <v>28</v>
      </c>
      <c r="H8" s="4" t="s">
        <v>29</v>
      </c>
      <c r="I8" s="4" t="s">
        <v>16</v>
      </c>
      <c r="J8" s="17">
        <v>54</v>
      </c>
      <c r="K8" s="17">
        <v>60</v>
      </c>
      <c r="L8" s="4"/>
      <c r="M8" s="4"/>
      <c r="N8" s="4"/>
      <c r="O8" s="4" t="s">
        <v>31</v>
      </c>
    </row>
    <row r="9" spans="1:15" x14ac:dyDescent="0.25">
      <c r="A9" s="4" t="s">
        <v>10</v>
      </c>
      <c r="B9" s="4" t="s">
        <v>10</v>
      </c>
      <c r="C9" s="4"/>
      <c r="D9" s="6" t="s">
        <v>46</v>
      </c>
      <c r="E9" s="4" t="s">
        <v>19</v>
      </c>
      <c r="F9" s="4" t="s">
        <v>96</v>
      </c>
      <c r="G9" s="4" t="s">
        <v>28</v>
      </c>
      <c r="H9" s="4" t="s">
        <v>29</v>
      </c>
      <c r="I9" s="4" t="s">
        <v>16</v>
      </c>
      <c r="J9" s="17">
        <v>54</v>
      </c>
      <c r="K9" s="17">
        <v>60</v>
      </c>
      <c r="L9" s="4"/>
      <c r="M9" s="4"/>
      <c r="N9" s="4"/>
      <c r="O9" s="4" t="s">
        <v>31</v>
      </c>
    </row>
    <row r="10" spans="1:15" x14ac:dyDescent="0.25">
      <c r="A10" s="4" t="s">
        <v>10</v>
      </c>
      <c r="B10" s="4" t="s">
        <v>10</v>
      </c>
      <c r="C10" s="4"/>
      <c r="D10" s="6" t="s">
        <v>47</v>
      </c>
      <c r="E10" s="4" t="s">
        <v>13</v>
      </c>
      <c r="F10" s="4" t="s">
        <v>96</v>
      </c>
      <c r="G10" s="4" t="s">
        <v>20</v>
      </c>
      <c r="H10" s="4" t="s">
        <v>127</v>
      </c>
      <c r="I10" s="4" t="s">
        <v>16</v>
      </c>
      <c r="J10" s="17">
        <v>18</v>
      </c>
      <c r="K10" s="17">
        <v>20</v>
      </c>
      <c r="L10" s="4"/>
      <c r="M10" s="4"/>
      <c r="N10" s="4"/>
      <c r="O10" s="4" t="s">
        <v>23</v>
      </c>
    </row>
    <row r="11" spans="1:15" x14ac:dyDescent="0.25">
      <c r="A11" s="4" t="s">
        <v>10</v>
      </c>
      <c r="B11" s="4" t="s">
        <v>10</v>
      </c>
      <c r="C11" s="4"/>
      <c r="D11" s="6" t="s">
        <v>48</v>
      </c>
      <c r="E11" s="4" t="s">
        <v>19</v>
      </c>
      <c r="F11" s="4" t="s">
        <v>96</v>
      </c>
      <c r="G11" s="4" t="s">
        <v>20</v>
      </c>
      <c r="H11" s="4" t="s">
        <v>127</v>
      </c>
      <c r="I11" s="4" t="s">
        <v>16</v>
      </c>
      <c r="J11" s="17">
        <v>108</v>
      </c>
      <c r="K11" s="17">
        <v>120</v>
      </c>
      <c r="L11" s="4"/>
      <c r="M11" s="4"/>
      <c r="N11" s="4"/>
      <c r="O11" s="4" t="s">
        <v>23</v>
      </c>
    </row>
    <row r="12" spans="1:15" x14ac:dyDescent="0.25">
      <c r="A12" s="4" t="s">
        <v>10</v>
      </c>
      <c r="B12" s="4" t="s">
        <v>10</v>
      </c>
      <c r="C12" s="4"/>
      <c r="D12" s="6" t="s">
        <v>49</v>
      </c>
      <c r="E12" s="4" t="s">
        <v>27</v>
      </c>
      <c r="F12" s="4" t="s">
        <v>96</v>
      </c>
      <c r="G12" s="4" t="s">
        <v>20</v>
      </c>
      <c r="H12" s="4" t="s">
        <v>127</v>
      </c>
      <c r="I12" s="4" t="s">
        <v>16</v>
      </c>
      <c r="J12" s="17">
        <v>63</v>
      </c>
      <c r="K12" s="17">
        <v>70</v>
      </c>
      <c r="L12" s="4"/>
      <c r="M12" s="4"/>
      <c r="N12" s="4"/>
      <c r="O12" s="4" t="s">
        <v>23</v>
      </c>
    </row>
    <row r="13" spans="1:15" x14ac:dyDescent="0.25">
      <c r="A13" s="4" t="s">
        <v>10</v>
      </c>
      <c r="B13" s="4" t="s">
        <v>10</v>
      </c>
      <c r="C13" s="4"/>
      <c r="D13" s="6" t="s">
        <v>50</v>
      </c>
      <c r="E13" s="4" t="s">
        <v>34</v>
      </c>
      <c r="F13" s="4" t="s">
        <v>96</v>
      </c>
      <c r="G13" s="4" t="s">
        <v>20</v>
      </c>
      <c r="H13" s="4" t="s">
        <v>127</v>
      </c>
      <c r="I13" s="4" t="s">
        <v>16</v>
      </c>
      <c r="J13" s="17">
        <v>27</v>
      </c>
      <c r="K13" s="17">
        <v>40</v>
      </c>
      <c r="L13" s="4"/>
      <c r="M13" s="4"/>
      <c r="N13" s="4"/>
      <c r="O13" s="4" t="s">
        <v>23</v>
      </c>
    </row>
    <row r="14" spans="1:15" x14ac:dyDescent="0.25">
      <c r="A14" s="4" t="s">
        <v>10</v>
      </c>
      <c r="B14" s="4" t="s">
        <v>10</v>
      </c>
      <c r="C14" s="4"/>
      <c r="D14" s="6" t="s">
        <v>51</v>
      </c>
      <c r="E14" s="4" t="s">
        <v>19</v>
      </c>
      <c r="F14" s="4" t="s">
        <v>96</v>
      </c>
      <c r="G14" s="4" t="s">
        <v>28</v>
      </c>
      <c r="H14" s="4" t="s">
        <v>29</v>
      </c>
      <c r="I14" s="4" t="s">
        <v>16</v>
      </c>
      <c r="J14" s="17">
        <v>945</v>
      </c>
      <c r="K14" s="17">
        <v>2500</v>
      </c>
      <c r="L14" s="4"/>
      <c r="M14" s="4"/>
      <c r="N14" s="4" t="s">
        <v>98</v>
      </c>
      <c r="O14" s="4" t="s">
        <v>31</v>
      </c>
    </row>
    <row r="15" spans="1:15" x14ac:dyDescent="0.25">
      <c r="A15" s="4" t="s">
        <v>10</v>
      </c>
      <c r="B15" s="4" t="s">
        <v>10</v>
      </c>
      <c r="C15" s="4"/>
      <c r="D15" s="6" t="s">
        <v>52</v>
      </c>
      <c r="E15" s="4" t="s">
        <v>19</v>
      </c>
      <c r="F15" s="4" t="s">
        <v>96</v>
      </c>
      <c r="G15" s="4" t="s">
        <v>28</v>
      </c>
      <c r="H15" s="4" t="s">
        <v>29</v>
      </c>
      <c r="I15" s="4" t="s">
        <v>16</v>
      </c>
      <c r="J15" s="18" t="s">
        <v>25</v>
      </c>
      <c r="K15" s="18">
        <v>400</v>
      </c>
      <c r="L15" s="4"/>
      <c r="M15" s="4"/>
      <c r="N15" s="4" t="s">
        <v>99</v>
      </c>
      <c r="O15" s="4" t="s">
        <v>31</v>
      </c>
    </row>
    <row r="16" spans="1:15" x14ac:dyDescent="0.25">
      <c r="A16" s="4" t="s">
        <v>10</v>
      </c>
      <c r="B16" s="4" t="s">
        <v>10</v>
      </c>
      <c r="C16" s="4"/>
      <c r="D16" s="6" t="s">
        <v>53</v>
      </c>
      <c r="E16" s="4" t="s">
        <v>19</v>
      </c>
      <c r="F16" s="4" t="s">
        <v>96</v>
      </c>
      <c r="G16" s="4" t="s">
        <v>28</v>
      </c>
      <c r="H16" s="4" t="s">
        <v>29</v>
      </c>
      <c r="I16" s="4" t="s">
        <v>16</v>
      </c>
      <c r="J16" s="19" t="s">
        <v>100</v>
      </c>
      <c r="K16" s="19" t="s">
        <v>100</v>
      </c>
      <c r="L16" s="4"/>
      <c r="M16" s="4"/>
      <c r="N16" s="4" t="s">
        <v>99</v>
      </c>
      <c r="O16" s="4" t="s">
        <v>31</v>
      </c>
    </row>
    <row r="17" spans="1:15" x14ac:dyDescent="0.25">
      <c r="A17" s="4" t="s">
        <v>10</v>
      </c>
      <c r="B17" s="4" t="s">
        <v>10</v>
      </c>
      <c r="C17" s="4"/>
      <c r="D17" s="6" t="s">
        <v>54</v>
      </c>
      <c r="E17" s="4" t="s">
        <v>19</v>
      </c>
      <c r="F17" s="4" t="s">
        <v>96</v>
      </c>
      <c r="G17" s="4" t="s">
        <v>14</v>
      </c>
      <c r="H17" s="4" t="s">
        <v>36</v>
      </c>
      <c r="I17" s="4" t="s">
        <v>16</v>
      </c>
      <c r="J17" s="17">
        <v>54</v>
      </c>
      <c r="K17" s="17">
        <v>60</v>
      </c>
      <c r="L17" s="4"/>
      <c r="M17" s="4"/>
      <c r="N17" s="4"/>
      <c r="O17" s="4" t="s">
        <v>23</v>
      </c>
    </row>
    <row r="18" spans="1:15" x14ac:dyDescent="0.25">
      <c r="A18" s="4" t="s">
        <v>10</v>
      </c>
      <c r="B18" s="4" t="s">
        <v>10</v>
      </c>
      <c r="C18" s="4"/>
      <c r="D18" s="6" t="s">
        <v>55</v>
      </c>
      <c r="E18" s="4" t="s">
        <v>19</v>
      </c>
      <c r="F18" s="4" t="s">
        <v>96</v>
      </c>
      <c r="G18" s="4" t="s">
        <v>14</v>
      </c>
      <c r="H18" s="4" t="s">
        <v>36</v>
      </c>
      <c r="I18" s="4" t="s">
        <v>16</v>
      </c>
      <c r="J18" s="17">
        <v>63</v>
      </c>
      <c r="K18" s="17">
        <v>70</v>
      </c>
      <c r="L18" s="4"/>
      <c r="M18" s="4"/>
      <c r="N18" s="4"/>
      <c r="O18" s="4" t="s">
        <v>23</v>
      </c>
    </row>
    <row r="19" spans="1:15" x14ac:dyDescent="0.25">
      <c r="A19" s="4" t="s">
        <v>10</v>
      </c>
      <c r="B19" s="4" t="s">
        <v>10</v>
      </c>
      <c r="C19" s="4"/>
      <c r="D19" s="6" t="s">
        <v>56</v>
      </c>
      <c r="E19" s="4" t="s">
        <v>19</v>
      </c>
      <c r="F19" s="4" t="s">
        <v>96</v>
      </c>
      <c r="G19" s="4" t="s">
        <v>28</v>
      </c>
      <c r="H19" s="4" t="s">
        <v>29</v>
      </c>
      <c r="I19" s="4" t="s">
        <v>16</v>
      </c>
      <c r="J19" s="17">
        <v>54</v>
      </c>
      <c r="K19" s="17">
        <v>60</v>
      </c>
      <c r="L19" s="4"/>
      <c r="M19" s="4"/>
      <c r="N19" s="4" t="s">
        <v>101</v>
      </c>
      <c r="O19" s="4" t="s">
        <v>31</v>
      </c>
    </row>
    <row r="20" spans="1:15" x14ac:dyDescent="0.25">
      <c r="A20" s="4" t="s">
        <v>10</v>
      </c>
      <c r="B20" s="4" t="s">
        <v>10</v>
      </c>
      <c r="C20" s="4"/>
      <c r="D20" s="6" t="s">
        <v>57</v>
      </c>
      <c r="E20" s="4" t="s">
        <v>27</v>
      </c>
      <c r="F20" s="4" t="s">
        <v>96</v>
      </c>
      <c r="G20" s="4" t="s">
        <v>28</v>
      </c>
      <c r="H20" s="4" t="s">
        <v>29</v>
      </c>
      <c r="I20" s="4" t="s">
        <v>16</v>
      </c>
      <c r="J20" s="17">
        <v>63</v>
      </c>
      <c r="K20" s="17">
        <v>70</v>
      </c>
      <c r="L20" s="4"/>
      <c r="M20" s="4"/>
      <c r="N20" s="4"/>
      <c r="O20" s="4" t="s">
        <v>31</v>
      </c>
    </row>
    <row r="21" spans="1:15" x14ac:dyDescent="0.25">
      <c r="A21" s="4" t="s">
        <v>10</v>
      </c>
      <c r="B21" s="4" t="s">
        <v>10</v>
      </c>
      <c r="C21" s="4"/>
      <c r="D21" s="6" t="s">
        <v>58</v>
      </c>
      <c r="E21" s="4" t="s">
        <v>19</v>
      </c>
      <c r="F21" s="4" t="s">
        <v>96</v>
      </c>
      <c r="G21" s="4" t="s">
        <v>28</v>
      </c>
      <c r="H21" s="4" t="s">
        <v>29</v>
      </c>
      <c r="I21" s="4" t="s">
        <v>16</v>
      </c>
      <c r="J21" s="17">
        <v>54</v>
      </c>
      <c r="K21" s="17">
        <v>60</v>
      </c>
      <c r="L21" s="4"/>
      <c r="M21" s="4"/>
      <c r="N21" s="4"/>
      <c r="O21" s="4" t="s">
        <v>31</v>
      </c>
    </row>
    <row r="22" spans="1:15" x14ac:dyDescent="0.25">
      <c r="A22" s="4" t="s">
        <v>10</v>
      </c>
      <c r="B22" s="4" t="s">
        <v>10</v>
      </c>
      <c r="C22" s="4"/>
      <c r="D22" s="6" t="s">
        <v>59</v>
      </c>
      <c r="E22" s="4" t="s">
        <v>27</v>
      </c>
      <c r="F22" s="4" t="s">
        <v>96</v>
      </c>
      <c r="G22" s="4" t="s">
        <v>28</v>
      </c>
      <c r="H22" s="4" t="s">
        <v>29</v>
      </c>
      <c r="I22" s="4" t="s">
        <v>16</v>
      </c>
      <c r="J22" s="17">
        <v>63</v>
      </c>
      <c r="K22" s="17">
        <v>70</v>
      </c>
      <c r="L22" s="4"/>
      <c r="M22" s="4"/>
      <c r="N22" s="4"/>
      <c r="O22" s="4" t="s">
        <v>31</v>
      </c>
    </row>
    <row r="23" spans="1:15" x14ac:dyDescent="0.25">
      <c r="A23" s="4" t="s">
        <v>10</v>
      </c>
      <c r="B23" s="4" t="s">
        <v>10</v>
      </c>
      <c r="C23" s="4"/>
      <c r="D23" s="6" t="s">
        <v>60</v>
      </c>
      <c r="E23" s="4" t="s">
        <v>19</v>
      </c>
      <c r="F23" s="4" t="s">
        <v>96</v>
      </c>
      <c r="G23" s="4" t="s">
        <v>28</v>
      </c>
      <c r="H23" s="4" t="s">
        <v>29</v>
      </c>
      <c r="I23" s="4" t="s">
        <v>16</v>
      </c>
      <c r="J23" s="17">
        <v>54</v>
      </c>
      <c r="K23" s="17">
        <v>60</v>
      </c>
      <c r="L23" s="4"/>
      <c r="M23" s="4"/>
      <c r="N23" s="4"/>
      <c r="O23" s="4" t="s">
        <v>31</v>
      </c>
    </row>
    <row r="24" spans="1:15" x14ac:dyDescent="0.25">
      <c r="A24" s="4" t="s">
        <v>10</v>
      </c>
      <c r="B24" s="4" t="s">
        <v>10</v>
      </c>
      <c r="C24" s="4"/>
      <c r="D24" s="6" t="s">
        <v>61</v>
      </c>
      <c r="E24" s="4" t="s">
        <v>27</v>
      </c>
      <c r="F24" s="4" t="s">
        <v>96</v>
      </c>
      <c r="G24" s="4" t="s">
        <v>28</v>
      </c>
      <c r="H24" s="4" t="s">
        <v>29</v>
      </c>
      <c r="I24" s="4" t="s">
        <v>16</v>
      </c>
      <c r="J24" s="17">
        <v>63</v>
      </c>
      <c r="K24" s="17">
        <v>70</v>
      </c>
      <c r="L24" s="4"/>
      <c r="M24" s="4"/>
      <c r="N24" s="4"/>
      <c r="O24" s="4" t="s">
        <v>31</v>
      </c>
    </row>
    <row r="25" spans="1:15" x14ac:dyDescent="0.25">
      <c r="A25" s="4" t="s">
        <v>10</v>
      </c>
      <c r="B25" s="4" t="s">
        <v>10</v>
      </c>
      <c r="C25" s="4"/>
      <c r="D25" s="6" t="s">
        <v>62</v>
      </c>
      <c r="E25" s="4" t="s">
        <v>19</v>
      </c>
      <c r="F25" s="4" t="s">
        <v>96</v>
      </c>
      <c r="G25" s="4" t="s">
        <v>28</v>
      </c>
      <c r="H25" s="4" t="s">
        <v>29</v>
      </c>
      <c r="I25" s="4" t="s">
        <v>16</v>
      </c>
      <c r="J25" s="18">
        <v>54</v>
      </c>
      <c r="K25" s="18">
        <v>120</v>
      </c>
      <c r="L25" s="4"/>
      <c r="M25" s="4"/>
      <c r="N25" s="4"/>
      <c r="O25" s="4" t="s">
        <v>31</v>
      </c>
    </row>
    <row r="26" spans="1:15" x14ac:dyDescent="0.25">
      <c r="A26" s="4" t="s">
        <v>10</v>
      </c>
      <c r="B26" s="4" t="s">
        <v>10</v>
      </c>
      <c r="C26" s="4"/>
      <c r="D26" s="6" t="s">
        <v>63</v>
      </c>
      <c r="E26" s="4" t="s">
        <v>27</v>
      </c>
      <c r="F26" s="4" t="s">
        <v>96</v>
      </c>
      <c r="G26" s="4" t="s">
        <v>28</v>
      </c>
      <c r="H26" s="4" t="s">
        <v>29</v>
      </c>
      <c r="I26" s="4" t="s">
        <v>16</v>
      </c>
      <c r="J26" s="17">
        <v>63</v>
      </c>
      <c r="K26" s="17">
        <v>70</v>
      </c>
      <c r="L26" s="4"/>
      <c r="M26" s="4"/>
      <c r="N26" s="4"/>
      <c r="O26" s="4" t="s">
        <v>31</v>
      </c>
    </row>
    <row r="27" spans="1:15" x14ac:dyDescent="0.25">
      <c r="A27" s="4" t="s">
        <v>10</v>
      </c>
      <c r="B27" s="4" t="s">
        <v>10</v>
      </c>
      <c r="C27" s="4"/>
      <c r="D27" s="6" t="s">
        <v>64</v>
      </c>
      <c r="E27" s="4" t="s">
        <v>19</v>
      </c>
      <c r="F27" s="4" t="s">
        <v>96</v>
      </c>
      <c r="G27" s="4" t="s">
        <v>28</v>
      </c>
      <c r="H27" s="4" t="s">
        <v>29</v>
      </c>
      <c r="I27" s="4" t="s">
        <v>16</v>
      </c>
      <c r="J27" s="17">
        <v>54</v>
      </c>
      <c r="K27" s="17">
        <v>60</v>
      </c>
      <c r="L27" s="4"/>
      <c r="M27" s="4"/>
      <c r="N27" s="4" t="s">
        <v>101</v>
      </c>
      <c r="O27" s="4" t="s">
        <v>31</v>
      </c>
    </row>
    <row r="28" spans="1:15" x14ac:dyDescent="0.25">
      <c r="A28" s="4" t="s">
        <v>10</v>
      </c>
      <c r="B28" s="4" t="s">
        <v>10</v>
      </c>
      <c r="C28" s="4"/>
      <c r="D28" s="6" t="s">
        <v>65</v>
      </c>
      <c r="E28" s="4" t="s">
        <v>27</v>
      </c>
      <c r="F28" s="4" t="s">
        <v>96</v>
      </c>
      <c r="G28" s="4" t="s">
        <v>28</v>
      </c>
      <c r="H28" s="4" t="s">
        <v>29</v>
      </c>
      <c r="I28" s="4" t="s">
        <v>16</v>
      </c>
      <c r="J28" s="17">
        <v>63</v>
      </c>
      <c r="K28" s="17">
        <v>70</v>
      </c>
      <c r="L28" s="4"/>
      <c r="M28" s="4"/>
      <c r="N28" s="4"/>
      <c r="O28" s="4" t="s">
        <v>31</v>
      </c>
    </row>
    <row r="29" spans="1:15" x14ac:dyDescent="0.25">
      <c r="A29" s="4" t="s">
        <v>10</v>
      </c>
      <c r="B29" s="4" t="s">
        <v>10</v>
      </c>
      <c r="C29" s="4"/>
      <c r="D29" s="6" t="s">
        <v>66</v>
      </c>
      <c r="E29" s="4" t="s">
        <v>19</v>
      </c>
      <c r="F29" s="4" t="s">
        <v>96</v>
      </c>
      <c r="G29" s="4" t="s">
        <v>28</v>
      </c>
      <c r="H29" s="4" t="s">
        <v>29</v>
      </c>
      <c r="I29" s="4" t="s">
        <v>16</v>
      </c>
      <c r="J29" s="17">
        <v>54</v>
      </c>
      <c r="K29" s="17">
        <v>60</v>
      </c>
      <c r="L29" s="4"/>
      <c r="M29" s="4"/>
      <c r="N29" s="4"/>
      <c r="O29" s="4" t="s">
        <v>31</v>
      </c>
    </row>
    <row r="30" spans="1:15" x14ac:dyDescent="0.25">
      <c r="A30" s="4" t="s">
        <v>10</v>
      </c>
      <c r="B30" s="4" t="s">
        <v>10</v>
      </c>
      <c r="C30" s="4"/>
      <c r="D30" s="4" t="s">
        <v>67</v>
      </c>
      <c r="E30" s="4" t="s">
        <v>27</v>
      </c>
      <c r="F30" s="4" t="s">
        <v>96</v>
      </c>
      <c r="G30" s="4" t="s">
        <v>28</v>
      </c>
      <c r="H30" s="4" t="s">
        <v>29</v>
      </c>
      <c r="I30" s="4" t="s">
        <v>16</v>
      </c>
      <c r="J30" s="17">
        <v>63</v>
      </c>
      <c r="K30" s="17">
        <v>70</v>
      </c>
      <c r="L30" s="4"/>
      <c r="M30" s="4"/>
      <c r="N30" s="4"/>
      <c r="O30" s="4" t="s">
        <v>31</v>
      </c>
    </row>
    <row r="31" spans="1:15" x14ac:dyDescent="0.25">
      <c r="A31" s="4" t="s">
        <v>10</v>
      </c>
      <c r="B31" s="4" t="s">
        <v>10</v>
      </c>
      <c r="C31" s="4"/>
      <c r="D31" s="4" t="s">
        <v>68</v>
      </c>
      <c r="E31" s="4" t="s">
        <v>19</v>
      </c>
      <c r="F31" s="4" t="s">
        <v>96</v>
      </c>
      <c r="G31" s="4" t="s">
        <v>28</v>
      </c>
      <c r="H31" s="4" t="s">
        <v>29</v>
      </c>
      <c r="I31" s="4" t="s">
        <v>16</v>
      </c>
      <c r="J31" s="17">
        <v>54</v>
      </c>
      <c r="K31" s="17">
        <v>60</v>
      </c>
      <c r="L31" s="4"/>
      <c r="M31" s="4"/>
      <c r="N31" s="4"/>
      <c r="O31" s="4" t="s">
        <v>31</v>
      </c>
    </row>
    <row r="32" spans="1:15" x14ac:dyDescent="0.25">
      <c r="A32" s="4" t="s">
        <v>10</v>
      </c>
      <c r="B32" s="4" t="s">
        <v>10</v>
      </c>
      <c r="C32" s="4"/>
      <c r="D32" s="4" t="s">
        <v>69</v>
      </c>
      <c r="E32" s="4" t="s">
        <v>27</v>
      </c>
      <c r="F32" s="4" t="s">
        <v>96</v>
      </c>
      <c r="G32" s="4" t="s">
        <v>35</v>
      </c>
      <c r="H32" s="4" t="s">
        <v>41</v>
      </c>
      <c r="I32" s="4" t="s">
        <v>16</v>
      </c>
      <c r="J32" s="17">
        <v>63</v>
      </c>
      <c r="K32" s="17">
        <v>70</v>
      </c>
      <c r="L32" s="4"/>
      <c r="M32" s="4"/>
      <c r="N32" s="4"/>
      <c r="O32" s="4" t="s">
        <v>37</v>
      </c>
    </row>
    <row r="33" spans="1:15" x14ac:dyDescent="0.25">
      <c r="A33" s="4" t="s">
        <v>10</v>
      </c>
      <c r="B33" s="4" t="s">
        <v>10</v>
      </c>
      <c r="C33" s="4"/>
      <c r="D33" s="4" t="s">
        <v>70</v>
      </c>
      <c r="E33" s="4" t="s">
        <v>19</v>
      </c>
      <c r="F33" s="4" t="s">
        <v>96</v>
      </c>
      <c r="G33" s="4" t="s">
        <v>28</v>
      </c>
      <c r="H33" s="4" t="s">
        <v>29</v>
      </c>
      <c r="I33" s="4" t="s">
        <v>16</v>
      </c>
      <c r="J33" s="17">
        <v>54</v>
      </c>
      <c r="K33" s="17">
        <v>60</v>
      </c>
      <c r="L33" s="4"/>
      <c r="M33" s="4"/>
      <c r="N33" s="4"/>
      <c r="O33" s="4" t="s">
        <v>31</v>
      </c>
    </row>
    <row r="34" spans="1:15" x14ac:dyDescent="0.25">
      <c r="A34" s="4" t="s">
        <v>10</v>
      </c>
      <c r="B34" s="4" t="s">
        <v>10</v>
      </c>
      <c r="C34" s="4"/>
      <c r="D34" s="4" t="s">
        <v>71</v>
      </c>
      <c r="E34" s="4" t="s">
        <v>27</v>
      </c>
      <c r="F34" s="4" t="s">
        <v>96</v>
      </c>
      <c r="G34" s="4" t="s">
        <v>35</v>
      </c>
      <c r="H34" s="4" t="s">
        <v>41</v>
      </c>
      <c r="I34" s="4" t="s">
        <v>16</v>
      </c>
      <c r="J34" s="17">
        <v>63</v>
      </c>
      <c r="K34" s="17">
        <v>70</v>
      </c>
      <c r="L34" s="4"/>
      <c r="M34" s="4"/>
      <c r="N34" s="4"/>
      <c r="O34" s="4" t="s">
        <v>37</v>
      </c>
    </row>
    <row r="35" spans="1:15" x14ac:dyDescent="0.25">
      <c r="A35" s="4" t="s">
        <v>10</v>
      </c>
      <c r="B35" s="4" t="s">
        <v>10</v>
      </c>
      <c r="C35" s="4"/>
      <c r="D35" s="4" t="s">
        <v>72</v>
      </c>
      <c r="E35" s="4" t="s">
        <v>19</v>
      </c>
      <c r="F35" s="4" t="s">
        <v>96</v>
      </c>
      <c r="G35" s="4" t="s">
        <v>28</v>
      </c>
      <c r="H35" s="4" t="s">
        <v>29</v>
      </c>
      <c r="I35" s="4" t="s">
        <v>16</v>
      </c>
      <c r="J35" s="17">
        <v>54</v>
      </c>
      <c r="K35" s="17">
        <v>60</v>
      </c>
      <c r="L35" s="4"/>
      <c r="M35" s="4"/>
      <c r="N35" s="4"/>
      <c r="O35" s="4" t="s">
        <v>31</v>
      </c>
    </row>
    <row r="36" spans="1:15" x14ac:dyDescent="0.25">
      <c r="A36" s="4" t="s">
        <v>10</v>
      </c>
      <c r="B36" s="4" t="s">
        <v>10</v>
      </c>
      <c r="C36" s="4"/>
      <c r="D36" s="4" t="s">
        <v>73</v>
      </c>
      <c r="E36" s="4" t="s">
        <v>27</v>
      </c>
      <c r="F36" s="4" t="s">
        <v>96</v>
      </c>
      <c r="G36" s="4" t="s">
        <v>35</v>
      </c>
      <c r="H36" s="4" t="s">
        <v>41</v>
      </c>
      <c r="I36" s="4" t="s">
        <v>16</v>
      </c>
      <c r="J36" s="17">
        <v>63</v>
      </c>
      <c r="K36" s="17">
        <v>70</v>
      </c>
      <c r="L36" s="4"/>
      <c r="M36" s="4"/>
      <c r="N36" s="4"/>
      <c r="O36" s="4" t="s">
        <v>37</v>
      </c>
    </row>
    <row r="37" spans="1:15" x14ac:dyDescent="0.25">
      <c r="A37" s="4" t="s">
        <v>10</v>
      </c>
      <c r="B37" s="4" t="s">
        <v>10</v>
      </c>
      <c r="C37" s="4"/>
      <c r="D37" s="4" t="s">
        <v>74</v>
      </c>
      <c r="E37" s="4" t="s">
        <v>34</v>
      </c>
      <c r="F37" s="4" t="s">
        <v>96</v>
      </c>
      <c r="G37" s="4" t="s">
        <v>35</v>
      </c>
      <c r="H37" s="4" t="s">
        <v>41</v>
      </c>
      <c r="I37" s="4" t="s">
        <v>16</v>
      </c>
      <c r="J37" s="17">
        <v>27</v>
      </c>
      <c r="K37" s="17">
        <v>40</v>
      </c>
      <c r="L37" s="4"/>
      <c r="M37" s="4"/>
      <c r="N37" s="4"/>
      <c r="O37" s="4" t="s">
        <v>37</v>
      </c>
    </row>
    <row r="38" spans="1:15" x14ac:dyDescent="0.25">
      <c r="A38" s="4" t="s">
        <v>10</v>
      </c>
      <c r="B38" s="4" t="s">
        <v>10</v>
      </c>
      <c r="C38" s="4"/>
      <c r="D38" s="4" t="s">
        <v>75</v>
      </c>
      <c r="E38" s="4" t="s">
        <v>34</v>
      </c>
      <c r="F38" s="4" t="s">
        <v>96</v>
      </c>
      <c r="G38" s="4" t="s">
        <v>35</v>
      </c>
      <c r="H38" s="4" t="s">
        <v>41</v>
      </c>
      <c r="I38" s="4" t="s">
        <v>16</v>
      </c>
      <c r="J38" s="17">
        <v>27</v>
      </c>
      <c r="K38" s="17">
        <v>40</v>
      </c>
      <c r="L38" s="4"/>
      <c r="M38" s="4"/>
      <c r="N38" s="4"/>
      <c r="O38" s="4" t="s">
        <v>37</v>
      </c>
    </row>
    <row r="39" spans="1:15" x14ac:dyDescent="0.25">
      <c r="A39" s="4" t="s">
        <v>10</v>
      </c>
      <c r="B39" s="4" t="s">
        <v>10</v>
      </c>
      <c r="C39" s="4"/>
      <c r="D39" s="4" t="s">
        <v>76</v>
      </c>
      <c r="E39" s="4" t="s">
        <v>34</v>
      </c>
      <c r="F39" s="4" t="s">
        <v>96</v>
      </c>
      <c r="G39" s="4" t="s">
        <v>35</v>
      </c>
      <c r="H39" s="4" t="s">
        <v>41</v>
      </c>
      <c r="I39" s="4" t="s">
        <v>16</v>
      </c>
      <c r="J39" s="17">
        <v>27</v>
      </c>
      <c r="K39" s="17">
        <v>40</v>
      </c>
      <c r="L39" s="4"/>
      <c r="M39" s="4"/>
      <c r="N39" s="4"/>
      <c r="O39" s="4" t="s">
        <v>37</v>
      </c>
    </row>
    <row r="40" spans="1:15" x14ac:dyDescent="0.25">
      <c r="A40" s="4" t="s">
        <v>10</v>
      </c>
      <c r="B40" s="4" t="s">
        <v>10</v>
      </c>
      <c r="C40" s="4"/>
      <c r="D40" s="4" t="s">
        <v>77</v>
      </c>
      <c r="E40" s="4" t="s">
        <v>34</v>
      </c>
      <c r="F40" s="4" t="s">
        <v>96</v>
      </c>
      <c r="G40" s="4" t="s">
        <v>35</v>
      </c>
      <c r="H40" s="4" t="s">
        <v>41</v>
      </c>
      <c r="I40" s="4" t="s">
        <v>16</v>
      </c>
      <c r="J40" s="17">
        <v>36</v>
      </c>
      <c r="K40" s="17">
        <v>40</v>
      </c>
      <c r="L40" s="4"/>
      <c r="M40" s="4"/>
      <c r="N40" s="4"/>
      <c r="O40" s="4" t="s">
        <v>37</v>
      </c>
    </row>
    <row r="41" spans="1:15" x14ac:dyDescent="0.25">
      <c r="A41" s="4" t="s">
        <v>10</v>
      </c>
      <c r="B41" s="4" t="s">
        <v>10</v>
      </c>
      <c r="C41" s="4"/>
      <c r="D41" s="4" t="s">
        <v>78</v>
      </c>
      <c r="E41" s="4" t="s">
        <v>34</v>
      </c>
      <c r="F41" s="4" t="s">
        <v>96</v>
      </c>
      <c r="G41" s="4" t="s">
        <v>35</v>
      </c>
      <c r="H41" s="4" t="s">
        <v>41</v>
      </c>
      <c r="I41" s="4" t="s">
        <v>16</v>
      </c>
      <c r="J41" s="17">
        <v>27</v>
      </c>
      <c r="K41" s="17">
        <v>40</v>
      </c>
      <c r="L41" s="4"/>
      <c r="M41" s="4"/>
      <c r="N41" s="4"/>
      <c r="O41" s="4" t="s">
        <v>37</v>
      </c>
    </row>
    <row r="42" spans="1:15" x14ac:dyDescent="0.25">
      <c r="A42" s="4" t="s">
        <v>11</v>
      </c>
      <c r="B42" s="4" t="s">
        <v>10</v>
      </c>
      <c r="C42" s="4"/>
      <c r="D42" s="4" t="s">
        <v>79</v>
      </c>
      <c r="E42" s="4" t="s">
        <v>34</v>
      </c>
      <c r="F42" s="4" t="s">
        <v>96</v>
      </c>
      <c r="G42" s="4" t="s">
        <v>35</v>
      </c>
      <c r="H42" s="4" t="s">
        <v>41</v>
      </c>
      <c r="I42" s="4" t="s">
        <v>16</v>
      </c>
      <c r="J42" s="17">
        <v>63</v>
      </c>
      <c r="K42" s="17">
        <v>65</v>
      </c>
      <c r="L42" s="4"/>
      <c r="M42" s="4"/>
      <c r="N42" s="4"/>
      <c r="O42" s="4" t="s">
        <v>37</v>
      </c>
    </row>
    <row r="43" spans="1:15" x14ac:dyDescent="0.25">
      <c r="A43" s="4" t="s">
        <v>10</v>
      </c>
      <c r="B43" s="4" t="s">
        <v>11</v>
      </c>
      <c r="C43" s="4"/>
      <c r="D43" s="4" t="s">
        <v>80</v>
      </c>
      <c r="E43" s="4" t="s">
        <v>34</v>
      </c>
      <c r="F43" s="4" t="s">
        <v>96</v>
      </c>
      <c r="G43" s="4" t="s">
        <v>35</v>
      </c>
      <c r="H43" s="4" t="s">
        <v>44</v>
      </c>
      <c r="I43" s="4" t="s">
        <v>16</v>
      </c>
      <c r="J43" s="18" t="s">
        <v>25</v>
      </c>
      <c r="K43" s="20">
        <f>(182*8)*0.75</f>
        <v>1092</v>
      </c>
      <c r="L43" s="4"/>
      <c r="M43" s="4"/>
      <c r="N43" s="6" t="s">
        <v>102</v>
      </c>
      <c r="O43" s="4" t="s">
        <v>23</v>
      </c>
    </row>
    <row r="44" spans="1:15" x14ac:dyDescent="0.25">
      <c r="A44" s="4" t="s">
        <v>10</v>
      </c>
      <c r="B44" s="4" t="s">
        <v>11</v>
      </c>
      <c r="C44" s="4"/>
      <c r="D44" s="4" t="s">
        <v>81</v>
      </c>
      <c r="E44" s="4" t="s">
        <v>34</v>
      </c>
      <c r="F44" s="4" t="s">
        <v>96</v>
      </c>
      <c r="G44" s="4" t="s">
        <v>35</v>
      </c>
      <c r="H44" s="4" t="s">
        <v>36</v>
      </c>
      <c r="I44" s="4" t="s">
        <v>16</v>
      </c>
      <c r="J44" s="18" t="s">
        <v>25</v>
      </c>
      <c r="K44" s="20">
        <f>(182*18)*0.75</f>
        <v>2457</v>
      </c>
      <c r="L44" s="4"/>
      <c r="M44" s="4"/>
      <c r="N44" s="21" t="s">
        <v>102</v>
      </c>
      <c r="O44" s="4" t="s">
        <v>23</v>
      </c>
    </row>
    <row r="45" spans="1:15" x14ac:dyDescent="0.25">
      <c r="A45" s="4" t="s">
        <v>10</v>
      </c>
      <c r="B45" s="4" t="s">
        <v>11</v>
      </c>
      <c r="C45" s="4"/>
      <c r="D45" s="4" t="s">
        <v>82</v>
      </c>
      <c r="E45" s="4" t="s">
        <v>34</v>
      </c>
      <c r="F45" s="4" t="s">
        <v>96</v>
      </c>
      <c r="G45" s="4" t="s">
        <v>35</v>
      </c>
      <c r="H45" s="4" t="s">
        <v>44</v>
      </c>
      <c r="I45" s="4" t="s">
        <v>16</v>
      </c>
      <c r="J45" s="18" t="s">
        <v>25</v>
      </c>
      <c r="K45" s="20">
        <f>(182*12)*0.75</f>
        <v>1638</v>
      </c>
      <c r="L45" s="4"/>
      <c r="M45" s="4"/>
      <c r="N45" s="6" t="s">
        <v>102</v>
      </c>
      <c r="O45" s="4" t="s">
        <v>23</v>
      </c>
    </row>
    <row r="46" spans="1:15" x14ac:dyDescent="0.25">
      <c r="A46" s="4" t="s">
        <v>10</v>
      </c>
      <c r="B46" s="4" t="s">
        <v>10</v>
      </c>
      <c r="C46" s="4"/>
      <c r="D46" s="4" t="s">
        <v>83</v>
      </c>
      <c r="E46" s="4" t="s">
        <v>40</v>
      </c>
      <c r="F46" s="4" t="s">
        <v>96</v>
      </c>
      <c r="G46" s="4" t="s">
        <v>14</v>
      </c>
      <c r="H46" s="4" t="s">
        <v>44</v>
      </c>
      <c r="I46" s="4" t="s">
        <v>16</v>
      </c>
      <c r="J46" s="18" t="s">
        <v>25</v>
      </c>
      <c r="K46" s="20">
        <f>(72*10)</f>
        <v>720</v>
      </c>
      <c r="L46" s="4"/>
      <c r="M46" s="4"/>
      <c r="N46" s="6" t="s">
        <v>103</v>
      </c>
      <c r="O46" s="4" t="s">
        <v>23</v>
      </c>
    </row>
    <row r="47" spans="1:15" x14ac:dyDescent="0.25">
      <c r="A47" s="4" t="s">
        <v>25</v>
      </c>
      <c r="B47" s="4" t="s">
        <v>25</v>
      </c>
      <c r="C47" s="4"/>
      <c r="D47" s="4" t="s">
        <v>84</v>
      </c>
      <c r="E47" s="4" t="s">
        <v>25</v>
      </c>
      <c r="F47" s="4" t="s">
        <v>25</v>
      </c>
      <c r="G47" s="4" t="s">
        <v>25</v>
      </c>
      <c r="H47" s="4" t="s">
        <v>25</v>
      </c>
      <c r="I47" s="4" t="s">
        <v>25</v>
      </c>
      <c r="J47" s="20"/>
      <c r="K47" s="20"/>
      <c r="L47" s="4"/>
      <c r="M47" s="4"/>
      <c r="N47" s="4"/>
      <c r="O47" s="4"/>
    </row>
    <row r="48" spans="1:15" x14ac:dyDescent="0.25">
      <c r="A48" s="7" t="s">
        <v>10</v>
      </c>
      <c r="B48" s="7" t="s">
        <v>11</v>
      </c>
      <c r="C48" s="7" t="s">
        <v>434</v>
      </c>
      <c r="D48" s="7" t="s">
        <v>60</v>
      </c>
      <c r="E48" s="7" t="s">
        <v>13</v>
      </c>
      <c r="F48" s="7" t="s">
        <v>96</v>
      </c>
      <c r="G48" s="7" t="s">
        <v>28</v>
      </c>
      <c r="H48" s="7" t="s">
        <v>29</v>
      </c>
      <c r="I48" s="7" t="s">
        <v>16</v>
      </c>
      <c r="J48" s="11">
        <v>900</v>
      </c>
      <c r="K48" s="11">
        <v>1200</v>
      </c>
      <c r="L48" s="175">
        <v>45901</v>
      </c>
      <c r="M48" s="175">
        <v>46022</v>
      </c>
      <c r="O48" s="7" t="s">
        <v>31</v>
      </c>
    </row>
    <row r="49" spans="1:15" x14ac:dyDescent="0.25">
      <c r="A49" s="7" t="s">
        <v>10</v>
      </c>
      <c r="B49" s="7" t="s">
        <v>11</v>
      </c>
      <c r="C49" s="7" t="s">
        <v>434</v>
      </c>
      <c r="D49" s="7" t="s">
        <v>60</v>
      </c>
      <c r="E49" s="7" t="s">
        <v>13</v>
      </c>
      <c r="F49" s="7" t="s">
        <v>96</v>
      </c>
      <c r="G49" s="7" t="s">
        <v>28</v>
      </c>
      <c r="H49" s="7" t="s">
        <v>29</v>
      </c>
      <c r="I49" s="7" t="s">
        <v>16</v>
      </c>
      <c r="J49" s="11">
        <v>900</v>
      </c>
      <c r="K49" s="11">
        <v>1200</v>
      </c>
      <c r="L49" s="175">
        <v>45901</v>
      </c>
      <c r="M49" s="175">
        <v>46022</v>
      </c>
      <c r="O49" s="7" t="s">
        <v>31</v>
      </c>
    </row>
    <row r="50" spans="1:15" x14ac:dyDescent="0.25">
      <c r="A50" s="7" t="s">
        <v>10</v>
      </c>
      <c r="B50" s="7" t="s">
        <v>11</v>
      </c>
      <c r="C50" s="7" t="s">
        <v>434</v>
      </c>
      <c r="D50" s="7" t="s">
        <v>60</v>
      </c>
      <c r="E50" s="7" t="s">
        <v>13</v>
      </c>
      <c r="F50" s="7" t="s">
        <v>96</v>
      </c>
      <c r="G50" s="7" t="s">
        <v>28</v>
      </c>
      <c r="H50" s="7" t="s">
        <v>29</v>
      </c>
      <c r="I50" s="7" t="s">
        <v>16</v>
      </c>
      <c r="J50" s="11">
        <v>900</v>
      </c>
      <c r="K50" s="11">
        <v>1200</v>
      </c>
      <c r="L50" s="175">
        <v>45901</v>
      </c>
      <c r="M50" s="175">
        <v>46022</v>
      </c>
      <c r="O50" s="7" t="s">
        <v>31</v>
      </c>
    </row>
  </sheetData>
  <autoFilter ref="A1:O47" xr:uid="{E9AE1EFE-7FF9-4599-808A-CF00655066B5}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D0702-80D7-41D0-A03D-1160A5010240}">
  <sheetPr codeName="Sheet4"/>
  <dimension ref="A1:O47"/>
  <sheetViews>
    <sheetView zoomScale="70" zoomScaleNormal="70" workbookViewId="0">
      <pane ySplit="1" topLeftCell="A4" activePane="bottomLeft" state="frozen"/>
      <selection activeCell="A2" sqref="A2:C47"/>
      <selection pane="bottomLeft" activeCell="A2" sqref="A2:C47"/>
    </sheetView>
  </sheetViews>
  <sheetFormatPr defaultColWidth="9.09765625" defaultRowHeight="13.2" x14ac:dyDescent="0.25"/>
  <cols>
    <col min="1" max="1" width="8.296875" style="7" bestFit="1" customWidth="1"/>
    <col min="2" max="2" width="9.296875" style="7" bestFit="1" customWidth="1"/>
    <col min="3" max="3" width="11.8984375" style="7" bestFit="1" customWidth="1"/>
    <col min="4" max="4" width="65.3984375" style="7" bestFit="1" customWidth="1"/>
    <col min="5" max="5" width="9.09765625" style="7" bestFit="1" customWidth="1"/>
    <col min="6" max="6" width="13.09765625" style="7" bestFit="1" customWidth="1"/>
    <col min="7" max="7" width="19.59765625" style="7" bestFit="1" customWidth="1"/>
    <col min="8" max="8" width="30.3984375" style="7" customWidth="1"/>
    <col min="9" max="9" width="10.69921875" style="7" bestFit="1" customWidth="1"/>
    <col min="10" max="11" width="11.69921875" style="11" bestFit="1" customWidth="1"/>
    <col min="12" max="12" width="11.296875" style="7" bestFit="1" customWidth="1"/>
    <col min="13" max="13" width="10.59765625" style="7" bestFit="1" customWidth="1"/>
    <col min="14" max="14" width="41.296875" style="7" bestFit="1" customWidth="1"/>
    <col min="15" max="15" width="33" style="7" bestFit="1" customWidth="1"/>
    <col min="16" max="16384" width="9.09765625" style="7"/>
  </cols>
  <sheetData>
    <row r="1" spans="1:15" s="10" customFormat="1" ht="39.6" x14ac:dyDescent="0.25">
      <c r="A1" s="2" t="s">
        <v>1</v>
      </c>
      <c r="B1" s="2" t="s">
        <v>2</v>
      </c>
      <c r="C1" s="8" t="s">
        <v>85</v>
      </c>
      <c r="D1" s="2" t="s">
        <v>3</v>
      </c>
      <c r="E1" s="2" t="s">
        <v>4</v>
      </c>
      <c r="F1" s="2" t="s">
        <v>86</v>
      </c>
      <c r="G1" s="2" t="s">
        <v>5</v>
      </c>
      <c r="H1" s="2" t="s">
        <v>6</v>
      </c>
      <c r="I1" s="2" t="s">
        <v>7</v>
      </c>
      <c r="J1" s="9" t="s">
        <v>92</v>
      </c>
      <c r="K1" s="9" t="s">
        <v>93</v>
      </c>
      <c r="L1" s="2" t="s">
        <v>94</v>
      </c>
      <c r="M1" s="2" t="s">
        <v>95</v>
      </c>
      <c r="N1" s="2" t="s">
        <v>91</v>
      </c>
      <c r="O1" s="2" t="s">
        <v>8</v>
      </c>
    </row>
    <row r="2" spans="1:15" x14ac:dyDescent="0.25">
      <c r="A2" s="4" t="s">
        <v>10</v>
      </c>
      <c r="B2" s="4" t="s">
        <v>11</v>
      </c>
      <c r="C2" s="4"/>
      <c r="D2" s="4" t="s">
        <v>12</v>
      </c>
      <c r="E2" s="4" t="s">
        <v>13</v>
      </c>
      <c r="F2" s="4" t="s">
        <v>96</v>
      </c>
      <c r="G2" s="4" t="s">
        <v>14</v>
      </c>
      <c r="H2" s="4" t="s">
        <v>15</v>
      </c>
      <c r="I2" s="4" t="s">
        <v>16</v>
      </c>
      <c r="J2" s="17">
        <v>180</v>
      </c>
      <c r="K2" s="17">
        <v>200</v>
      </c>
      <c r="L2" s="4"/>
      <c r="M2" s="4"/>
      <c r="N2" s="4"/>
      <c r="O2" s="4" t="s">
        <v>17</v>
      </c>
    </row>
    <row r="3" spans="1:15" x14ac:dyDescent="0.25">
      <c r="A3" s="4" t="s">
        <v>11</v>
      </c>
      <c r="B3" s="4" t="s">
        <v>10</v>
      </c>
      <c r="C3" s="4"/>
      <c r="D3" s="4" t="s">
        <v>18</v>
      </c>
      <c r="E3" s="4" t="s">
        <v>13</v>
      </c>
      <c r="F3" s="4" t="s">
        <v>96</v>
      </c>
      <c r="G3" s="4" t="s">
        <v>14</v>
      </c>
      <c r="H3" s="4" t="s">
        <v>15</v>
      </c>
      <c r="I3" s="4" t="s">
        <v>16</v>
      </c>
      <c r="J3" s="17">
        <v>180</v>
      </c>
      <c r="K3" s="17">
        <v>200</v>
      </c>
      <c r="L3" s="4"/>
      <c r="M3" s="4"/>
      <c r="N3" s="4"/>
      <c r="O3" s="4" t="s">
        <v>17</v>
      </c>
    </row>
    <row r="4" spans="1:15" x14ac:dyDescent="0.25">
      <c r="A4" s="4" t="s">
        <v>10</v>
      </c>
      <c r="B4" s="4" t="s">
        <v>11</v>
      </c>
      <c r="C4" s="4"/>
      <c r="D4" s="6" t="s">
        <v>26</v>
      </c>
      <c r="E4" s="4" t="s">
        <v>13</v>
      </c>
      <c r="F4" s="4" t="s">
        <v>96</v>
      </c>
      <c r="G4" s="4" t="s">
        <v>20</v>
      </c>
      <c r="H4" s="4" t="s">
        <v>21</v>
      </c>
      <c r="I4" s="4" t="s">
        <v>16</v>
      </c>
      <c r="J4" s="17">
        <v>18</v>
      </c>
      <c r="K4" s="17">
        <v>20</v>
      </c>
      <c r="L4" s="4"/>
      <c r="M4" s="4"/>
      <c r="N4" s="4"/>
      <c r="O4" s="4" t="s">
        <v>23</v>
      </c>
    </row>
    <row r="5" spans="1:15" x14ac:dyDescent="0.25">
      <c r="A5" s="4" t="s">
        <v>10</v>
      </c>
      <c r="B5" s="4" t="s">
        <v>10</v>
      </c>
      <c r="C5" s="4"/>
      <c r="D5" s="6" t="s">
        <v>33</v>
      </c>
      <c r="E5" s="4" t="s">
        <v>13</v>
      </c>
      <c r="F5" s="4" t="s">
        <v>96</v>
      </c>
      <c r="G5" s="4" t="s">
        <v>20</v>
      </c>
      <c r="H5" s="4" t="s">
        <v>21</v>
      </c>
      <c r="I5" s="4" t="s">
        <v>16</v>
      </c>
      <c r="J5" s="17">
        <v>9</v>
      </c>
      <c r="K5" s="17">
        <v>10</v>
      </c>
      <c r="L5" s="4"/>
      <c r="M5" s="4"/>
      <c r="N5" s="4"/>
      <c r="O5" s="4" t="s">
        <v>23</v>
      </c>
    </row>
    <row r="6" spans="1:15" x14ac:dyDescent="0.25">
      <c r="A6" s="4" t="s">
        <v>10</v>
      </c>
      <c r="B6" s="4" t="s">
        <v>11</v>
      </c>
      <c r="C6" s="4"/>
      <c r="D6" s="6" t="s">
        <v>39</v>
      </c>
      <c r="E6" s="4" t="s">
        <v>13</v>
      </c>
      <c r="F6" s="4" t="s">
        <v>96</v>
      </c>
      <c r="G6" s="4" t="s">
        <v>20</v>
      </c>
      <c r="H6" s="4" t="s">
        <v>21</v>
      </c>
      <c r="I6" s="4" t="s">
        <v>16</v>
      </c>
      <c r="J6" s="17">
        <v>18</v>
      </c>
      <c r="K6" s="17">
        <v>20</v>
      </c>
      <c r="L6" s="4"/>
      <c r="M6" s="4"/>
      <c r="N6" s="4"/>
      <c r="O6" s="4" t="s">
        <v>23</v>
      </c>
    </row>
    <row r="7" spans="1:15" x14ac:dyDescent="0.25">
      <c r="A7" s="4" t="s">
        <v>10</v>
      </c>
      <c r="B7" s="4" t="s">
        <v>10</v>
      </c>
      <c r="C7" s="4"/>
      <c r="D7" s="6" t="s">
        <v>43</v>
      </c>
      <c r="E7" s="4" t="s">
        <v>13</v>
      </c>
      <c r="F7" s="4" t="s">
        <v>96</v>
      </c>
      <c r="G7" s="4" t="s">
        <v>20</v>
      </c>
      <c r="H7" s="4" t="s">
        <v>21</v>
      </c>
      <c r="I7" s="4" t="s">
        <v>16</v>
      </c>
      <c r="J7" s="17" t="s">
        <v>25</v>
      </c>
      <c r="K7" s="17">
        <f>(175*6)*0.8</f>
        <v>840</v>
      </c>
      <c r="L7" s="4"/>
      <c r="M7" s="4"/>
      <c r="N7" s="6" t="s">
        <v>97</v>
      </c>
      <c r="O7" s="4" t="s">
        <v>23</v>
      </c>
    </row>
    <row r="8" spans="1:15" x14ac:dyDescent="0.25">
      <c r="A8" s="4" t="s">
        <v>10</v>
      </c>
      <c r="B8" s="4" t="s">
        <v>10</v>
      </c>
      <c r="C8" s="4"/>
      <c r="D8" s="6" t="s">
        <v>45</v>
      </c>
      <c r="E8" s="4" t="s">
        <v>19</v>
      </c>
      <c r="F8" s="4" t="s">
        <v>96</v>
      </c>
      <c r="G8" s="4" t="s">
        <v>28</v>
      </c>
      <c r="H8" s="4" t="s">
        <v>29</v>
      </c>
      <c r="I8" s="4" t="s">
        <v>16</v>
      </c>
      <c r="J8" s="17">
        <v>54</v>
      </c>
      <c r="K8" s="17">
        <v>60</v>
      </c>
      <c r="L8" s="4"/>
      <c r="M8" s="4"/>
      <c r="N8" s="4"/>
      <c r="O8" s="4" t="s">
        <v>31</v>
      </c>
    </row>
    <row r="9" spans="1:15" x14ac:dyDescent="0.25">
      <c r="A9" s="4" t="s">
        <v>10</v>
      </c>
      <c r="B9" s="4" t="s">
        <v>10</v>
      </c>
      <c r="C9" s="4"/>
      <c r="D9" s="6" t="s">
        <v>46</v>
      </c>
      <c r="E9" s="4" t="s">
        <v>19</v>
      </c>
      <c r="F9" s="4" t="s">
        <v>96</v>
      </c>
      <c r="G9" s="4" t="s">
        <v>28</v>
      </c>
      <c r="H9" s="4" t="s">
        <v>29</v>
      </c>
      <c r="I9" s="4" t="s">
        <v>16</v>
      </c>
      <c r="J9" s="17">
        <v>54</v>
      </c>
      <c r="K9" s="17">
        <v>60</v>
      </c>
      <c r="L9" s="4"/>
      <c r="M9" s="4"/>
      <c r="N9" s="4"/>
      <c r="O9" s="4" t="s">
        <v>31</v>
      </c>
    </row>
    <row r="10" spans="1:15" x14ac:dyDescent="0.25">
      <c r="A10" s="4" t="s">
        <v>10</v>
      </c>
      <c r="B10" s="4" t="s">
        <v>10</v>
      </c>
      <c r="C10" s="4"/>
      <c r="D10" s="6" t="s">
        <v>47</v>
      </c>
      <c r="E10" s="4" t="s">
        <v>13</v>
      </c>
      <c r="F10" s="4" t="s">
        <v>96</v>
      </c>
      <c r="G10" s="4" t="s">
        <v>20</v>
      </c>
      <c r="H10" s="4" t="s">
        <v>21</v>
      </c>
      <c r="I10" s="4" t="s">
        <v>16</v>
      </c>
      <c r="J10" s="17">
        <v>18</v>
      </c>
      <c r="K10" s="17">
        <v>20</v>
      </c>
      <c r="L10" s="4"/>
      <c r="M10" s="4"/>
      <c r="N10" s="4"/>
      <c r="O10" s="4" t="s">
        <v>23</v>
      </c>
    </row>
    <row r="11" spans="1:15" x14ac:dyDescent="0.25">
      <c r="A11" s="4" t="s">
        <v>10</v>
      </c>
      <c r="B11" s="4" t="s">
        <v>10</v>
      </c>
      <c r="C11" s="4"/>
      <c r="D11" s="6" t="s">
        <v>48</v>
      </c>
      <c r="E11" s="4" t="s">
        <v>19</v>
      </c>
      <c r="F11" s="4" t="s">
        <v>96</v>
      </c>
      <c r="G11" s="4" t="s">
        <v>20</v>
      </c>
      <c r="H11" s="4" t="s">
        <v>21</v>
      </c>
      <c r="I11" s="4" t="s">
        <v>16</v>
      </c>
      <c r="J11" s="17">
        <v>108</v>
      </c>
      <c r="K11" s="17">
        <v>120</v>
      </c>
      <c r="L11" s="4"/>
      <c r="M11" s="4"/>
      <c r="N11" s="4"/>
      <c r="O11" s="4" t="s">
        <v>23</v>
      </c>
    </row>
    <row r="12" spans="1:15" x14ac:dyDescent="0.25">
      <c r="A12" s="4" t="s">
        <v>10</v>
      </c>
      <c r="B12" s="4" t="s">
        <v>10</v>
      </c>
      <c r="C12" s="4"/>
      <c r="D12" s="6" t="s">
        <v>49</v>
      </c>
      <c r="E12" s="4" t="s">
        <v>27</v>
      </c>
      <c r="F12" s="4" t="s">
        <v>96</v>
      </c>
      <c r="G12" s="4" t="s">
        <v>20</v>
      </c>
      <c r="H12" s="4" t="s">
        <v>21</v>
      </c>
      <c r="I12" s="4" t="s">
        <v>16</v>
      </c>
      <c r="J12" s="17">
        <v>63</v>
      </c>
      <c r="K12" s="17">
        <v>70</v>
      </c>
      <c r="L12" s="4"/>
      <c r="M12" s="4"/>
      <c r="N12" s="4"/>
      <c r="O12" s="4" t="s">
        <v>23</v>
      </c>
    </row>
    <row r="13" spans="1:15" x14ac:dyDescent="0.25">
      <c r="A13" s="4" t="s">
        <v>10</v>
      </c>
      <c r="B13" s="4" t="s">
        <v>10</v>
      </c>
      <c r="C13" s="4"/>
      <c r="D13" s="6" t="s">
        <v>50</v>
      </c>
      <c r="E13" s="4" t="s">
        <v>34</v>
      </c>
      <c r="F13" s="4" t="s">
        <v>96</v>
      </c>
      <c r="G13" s="4" t="s">
        <v>20</v>
      </c>
      <c r="H13" s="4" t="s">
        <v>21</v>
      </c>
      <c r="I13" s="4" t="s">
        <v>16</v>
      </c>
      <c r="J13" s="17">
        <v>27</v>
      </c>
      <c r="K13" s="17">
        <v>40</v>
      </c>
      <c r="L13" s="4"/>
      <c r="M13" s="4"/>
      <c r="N13" s="4"/>
      <c r="O13" s="4" t="s">
        <v>23</v>
      </c>
    </row>
    <row r="14" spans="1:15" x14ac:dyDescent="0.25">
      <c r="A14" s="4" t="s">
        <v>10</v>
      </c>
      <c r="B14" s="4" t="s">
        <v>10</v>
      </c>
      <c r="C14" s="4"/>
      <c r="D14" s="6" t="s">
        <v>51</v>
      </c>
      <c r="E14" s="4" t="s">
        <v>19</v>
      </c>
      <c r="F14" s="4" t="s">
        <v>96</v>
      </c>
      <c r="G14" s="4" t="s">
        <v>28</v>
      </c>
      <c r="H14" s="4" t="s">
        <v>29</v>
      </c>
      <c r="I14" s="4" t="s">
        <v>16</v>
      </c>
      <c r="J14" s="17">
        <v>945</v>
      </c>
      <c r="K14" s="17">
        <v>2500</v>
      </c>
      <c r="L14" s="4"/>
      <c r="M14" s="4"/>
      <c r="N14" s="4" t="s">
        <v>98</v>
      </c>
      <c r="O14" s="4" t="s">
        <v>31</v>
      </c>
    </row>
    <row r="15" spans="1:15" x14ac:dyDescent="0.25">
      <c r="A15" s="4" t="s">
        <v>10</v>
      </c>
      <c r="B15" s="4" t="s">
        <v>10</v>
      </c>
      <c r="C15" s="4"/>
      <c r="D15" s="6" t="s">
        <v>52</v>
      </c>
      <c r="E15" s="4" t="s">
        <v>19</v>
      </c>
      <c r="F15" s="4" t="s">
        <v>96</v>
      </c>
      <c r="G15" s="4" t="s">
        <v>28</v>
      </c>
      <c r="H15" s="4" t="s">
        <v>29</v>
      </c>
      <c r="I15" s="4" t="s">
        <v>16</v>
      </c>
      <c r="J15" s="18" t="s">
        <v>25</v>
      </c>
      <c r="K15" s="18">
        <v>400</v>
      </c>
      <c r="L15" s="4"/>
      <c r="M15" s="4"/>
      <c r="N15" s="4" t="s">
        <v>99</v>
      </c>
      <c r="O15" s="4" t="s">
        <v>31</v>
      </c>
    </row>
    <row r="16" spans="1:15" x14ac:dyDescent="0.25">
      <c r="A16" s="4" t="s">
        <v>10</v>
      </c>
      <c r="B16" s="4" t="s">
        <v>10</v>
      </c>
      <c r="C16" s="4"/>
      <c r="D16" s="6" t="s">
        <v>53</v>
      </c>
      <c r="E16" s="4" t="s">
        <v>19</v>
      </c>
      <c r="F16" s="4" t="s">
        <v>96</v>
      </c>
      <c r="G16" s="4" t="s">
        <v>28</v>
      </c>
      <c r="H16" s="4" t="s">
        <v>29</v>
      </c>
      <c r="I16" s="4" t="s">
        <v>16</v>
      </c>
      <c r="J16" s="19" t="s">
        <v>100</v>
      </c>
      <c r="K16" s="19" t="s">
        <v>100</v>
      </c>
      <c r="L16" s="4"/>
      <c r="M16" s="4"/>
      <c r="N16" s="4" t="s">
        <v>99</v>
      </c>
      <c r="O16" s="4" t="s">
        <v>31</v>
      </c>
    </row>
    <row r="17" spans="1:15" x14ac:dyDescent="0.25">
      <c r="A17" s="4" t="s">
        <v>10</v>
      </c>
      <c r="B17" s="4" t="s">
        <v>10</v>
      </c>
      <c r="C17" s="4"/>
      <c r="D17" s="6" t="s">
        <v>54</v>
      </c>
      <c r="E17" s="4" t="s">
        <v>19</v>
      </c>
      <c r="F17" s="4" t="s">
        <v>96</v>
      </c>
      <c r="G17" s="4" t="s">
        <v>14</v>
      </c>
      <c r="H17" s="4" t="s">
        <v>36</v>
      </c>
      <c r="I17" s="4" t="s">
        <v>16</v>
      </c>
      <c r="J17" s="17">
        <v>54</v>
      </c>
      <c r="K17" s="17">
        <v>60</v>
      </c>
      <c r="L17" s="4"/>
      <c r="M17" s="4"/>
      <c r="N17" s="4"/>
      <c r="O17" s="4" t="s">
        <v>23</v>
      </c>
    </row>
    <row r="18" spans="1:15" x14ac:dyDescent="0.25">
      <c r="A18" s="4" t="s">
        <v>10</v>
      </c>
      <c r="B18" s="4" t="s">
        <v>10</v>
      </c>
      <c r="C18" s="4"/>
      <c r="D18" s="6" t="s">
        <v>55</v>
      </c>
      <c r="E18" s="4" t="s">
        <v>19</v>
      </c>
      <c r="F18" s="4" t="s">
        <v>96</v>
      </c>
      <c r="G18" s="4" t="s">
        <v>14</v>
      </c>
      <c r="H18" s="4" t="s">
        <v>36</v>
      </c>
      <c r="I18" s="4" t="s">
        <v>16</v>
      </c>
      <c r="J18" s="17">
        <v>63</v>
      </c>
      <c r="K18" s="17">
        <v>70</v>
      </c>
      <c r="L18" s="4"/>
      <c r="M18" s="4"/>
      <c r="N18" s="4"/>
      <c r="O18" s="4" t="s">
        <v>23</v>
      </c>
    </row>
    <row r="19" spans="1:15" x14ac:dyDescent="0.25">
      <c r="A19" s="4" t="s">
        <v>10</v>
      </c>
      <c r="B19" s="4" t="s">
        <v>10</v>
      </c>
      <c r="C19" s="4"/>
      <c r="D19" s="6" t="s">
        <v>56</v>
      </c>
      <c r="E19" s="4" t="s">
        <v>19</v>
      </c>
      <c r="F19" s="4" t="s">
        <v>96</v>
      </c>
      <c r="G19" s="4" t="s">
        <v>28</v>
      </c>
      <c r="H19" s="4" t="s">
        <v>29</v>
      </c>
      <c r="I19" s="4" t="s">
        <v>16</v>
      </c>
      <c r="J19" s="17">
        <v>54</v>
      </c>
      <c r="K19" s="17">
        <v>60</v>
      </c>
      <c r="L19" s="4"/>
      <c r="M19" s="4"/>
      <c r="N19" s="4" t="s">
        <v>101</v>
      </c>
      <c r="O19" s="4" t="s">
        <v>31</v>
      </c>
    </row>
    <row r="20" spans="1:15" x14ac:dyDescent="0.25">
      <c r="A20" s="4" t="s">
        <v>10</v>
      </c>
      <c r="B20" s="4" t="s">
        <v>10</v>
      </c>
      <c r="C20" s="4"/>
      <c r="D20" s="6" t="s">
        <v>57</v>
      </c>
      <c r="E20" s="4" t="s">
        <v>27</v>
      </c>
      <c r="F20" s="4" t="s">
        <v>96</v>
      </c>
      <c r="G20" s="4" t="s">
        <v>28</v>
      </c>
      <c r="H20" s="4" t="s">
        <v>29</v>
      </c>
      <c r="I20" s="4" t="s">
        <v>16</v>
      </c>
      <c r="J20" s="17">
        <v>63</v>
      </c>
      <c r="K20" s="17">
        <v>70</v>
      </c>
      <c r="L20" s="4"/>
      <c r="M20" s="4"/>
      <c r="N20" s="4"/>
      <c r="O20" s="4" t="s">
        <v>31</v>
      </c>
    </row>
    <row r="21" spans="1:15" x14ac:dyDescent="0.25">
      <c r="A21" s="4" t="s">
        <v>10</v>
      </c>
      <c r="B21" s="4" t="s">
        <v>10</v>
      </c>
      <c r="C21" s="4"/>
      <c r="D21" s="6" t="s">
        <v>58</v>
      </c>
      <c r="E21" s="4" t="s">
        <v>19</v>
      </c>
      <c r="F21" s="4" t="s">
        <v>96</v>
      </c>
      <c r="G21" s="4" t="s">
        <v>28</v>
      </c>
      <c r="H21" s="4" t="s">
        <v>29</v>
      </c>
      <c r="I21" s="4" t="s">
        <v>16</v>
      </c>
      <c r="J21" s="17">
        <v>54</v>
      </c>
      <c r="K21" s="17">
        <v>60</v>
      </c>
      <c r="L21" s="4"/>
      <c r="M21" s="4"/>
      <c r="N21" s="4"/>
      <c r="O21" s="4" t="s">
        <v>31</v>
      </c>
    </row>
    <row r="22" spans="1:15" x14ac:dyDescent="0.25">
      <c r="A22" s="4" t="s">
        <v>10</v>
      </c>
      <c r="B22" s="4" t="s">
        <v>10</v>
      </c>
      <c r="C22" s="4"/>
      <c r="D22" s="6" t="s">
        <v>59</v>
      </c>
      <c r="E22" s="4" t="s">
        <v>27</v>
      </c>
      <c r="F22" s="4" t="s">
        <v>96</v>
      </c>
      <c r="G22" s="4" t="s">
        <v>28</v>
      </c>
      <c r="H22" s="4" t="s">
        <v>29</v>
      </c>
      <c r="I22" s="4" t="s">
        <v>16</v>
      </c>
      <c r="J22" s="17">
        <v>63</v>
      </c>
      <c r="K22" s="17">
        <v>70</v>
      </c>
      <c r="L22" s="4"/>
      <c r="M22" s="4"/>
      <c r="N22" s="4"/>
      <c r="O22" s="4" t="s">
        <v>31</v>
      </c>
    </row>
    <row r="23" spans="1:15" x14ac:dyDescent="0.25">
      <c r="A23" s="4" t="s">
        <v>10</v>
      </c>
      <c r="B23" s="4" t="s">
        <v>10</v>
      </c>
      <c r="C23" s="4"/>
      <c r="D23" s="6" t="s">
        <v>60</v>
      </c>
      <c r="E23" s="4" t="s">
        <v>19</v>
      </c>
      <c r="F23" s="4" t="s">
        <v>96</v>
      </c>
      <c r="G23" s="4" t="s">
        <v>28</v>
      </c>
      <c r="H23" s="4" t="s">
        <v>29</v>
      </c>
      <c r="I23" s="4" t="s">
        <v>16</v>
      </c>
      <c r="J23" s="17">
        <v>54</v>
      </c>
      <c r="K23" s="17">
        <v>60</v>
      </c>
      <c r="L23" s="4"/>
      <c r="M23" s="4"/>
      <c r="N23" s="4"/>
      <c r="O23" s="4" t="s">
        <v>31</v>
      </c>
    </row>
    <row r="24" spans="1:15" x14ac:dyDescent="0.25">
      <c r="A24" s="4" t="s">
        <v>10</v>
      </c>
      <c r="B24" s="4" t="s">
        <v>10</v>
      </c>
      <c r="C24" s="4"/>
      <c r="D24" s="6" t="s">
        <v>61</v>
      </c>
      <c r="E24" s="4" t="s">
        <v>27</v>
      </c>
      <c r="F24" s="4" t="s">
        <v>96</v>
      </c>
      <c r="G24" s="4" t="s">
        <v>28</v>
      </c>
      <c r="H24" s="4" t="s">
        <v>29</v>
      </c>
      <c r="I24" s="4" t="s">
        <v>16</v>
      </c>
      <c r="J24" s="17">
        <v>63</v>
      </c>
      <c r="K24" s="17">
        <v>70</v>
      </c>
      <c r="L24" s="4"/>
      <c r="M24" s="4"/>
      <c r="N24" s="4"/>
      <c r="O24" s="4" t="s">
        <v>31</v>
      </c>
    </row>
    <row r="25" spans="1:15" x14ac:dyDescent="0.25">
      <c r="A25" s="4" t="s">
        <v>10</v>
      </c>
      <c r="B25" s="4" t="s">
        <v>10</v>
      </c>
      <c r="C25" s="4"/>
      <c r="D25" s="6" t="s">
        <v>62</v>
      </c>
      <c r="E25" s="4" t="s">
        <v>19</v>
      </c>
      <c r="F25" s="4" t="s">
        <v>96</v>
      </c>
      <c r="G25" s="4" t="s">
        <v>28</v>
      </c>
      <c r="H25" s="4" t="s">
        <v>29</v>
      </c>
      <c r="I25" s="4" t="s">
        <v>16</v>
      </c>
      <c r="J25" s="18">
        <v>54</v>
      </c>
      <c r="K25" s="18">
        <v>120</v>
      </c>
      <c r="L25" s="4"/>
      <c r="M25" s="4"/>
      <c r="N25" s="4"/>
      <c r="O25" s="4" t="s">
        <v>31</v>
      </c>
    </row>
    <row r="26" spans="1:15" x14ac:dyDescent="0.25">
      <c r="A26" s="4" t="s">
        <v>10</v>
      </c>
      <c r="B26" s="4" t="s">
        <v>10</v>
      </c>
      <c r="C26" s="4"/>
      <c r="D26" s="6" t="s">
        <v>63</v>
      </c>
      <c r="E26" s="4" t="s">
        <v>27</v>
      </c>
      <c r="F26" s="4" t="s">
        <v>96</v>
      </c>
      <c r="G26" s="4" t="s">
        <v>28</v>
      </c>
      <c r="H26" s="4" t="s">
        <v>29</v>
      </c>
      <c r="I26" s="4" t="s">
        <v>16</v>
      </c>
      <c r="J26" s="17">
        <v>63</v>
      </c>
      <c r="K26" s="17">
        <v>70</v>
      </c>
      <c r="L26" s="4"/>
      <c r="M26" s="4"/>
      <c r="N26" s="4"/>
      <c r="O26" s="4" t="s">
        <v>31</v>
      </c>
    </row>
    <row r="27" spans="1:15" x14ac:dyDescent="0.25">
      <c r="A27" s="4" t="s">
        <v>10</v>
      </c>
      <c r="B27" s="4" t="s">
        <v>10</v>
      </c>
      <c r="C27" s="4"/>
      <c r="D27" s="6" t="s">
        <v>64</v>
      </c>
      <c r="E27" s="4" t="s">
        <v>19</v>
      </c>
      <c r="F27" s="4" t="s">
        <v>96</v>
      </c>
      <c r="G27" s="4" t="s">
        <v>28</v>
      </c>
      <c r="H27" s="4" t="s">
        <v>29</v>
      </c>
      <c r="I27" s="4" t="s">
        <v>16</v>
      </c>
      <c r="J27" s="17">
        <v>54</v>
      </c>
      <c r="K27" s="17">
        <v>60</v>
      </c>
      <c r="L27" s="4"/>
      <c r="M27" s="4"/>
      <c r="N27" s="4" t="s">
        <v>101</v>
      </c>
      <c r="O27" s="4" t="s">
        <v>31</v>
      </c>
    </row>
    <row r="28" spans="1:15" x14ac:dyDescent="0.25">
      <c r="A28" s="4" t="s">
        <v>10</v>
      </c>
      <c r="B28" s="4" t="s">
        <v>10</v>
      </c>
      <c r="C28" s="4"/>
      <c r="D28" s="6" t="s">
        <v>65</v>
      </c>
      <c r="E28" s="4" t="s">
        <v>27</v>
      </c>
      <c r="F28" s="4" t="s">
        <v>96</v>
      </c>
      <c r="G28" s="4" t="s">
        <v>28</v>
      </c>
      <c r="H28" s="4" t="s">
        <v>29</v>
      </c>
      <c r="I28" s="4" t="s">
        <v>16</v>
      </c>
      <c r="J28" s="17">
        <v>63</v>
      </c>
      <c r="K28" s="17">
        <v>70</v>
      </c>
      <c r="L28" s="4"/>
      <c r="M28" s="4"/>
      <c r="N28" s="4"/>
      <c r="O28" s="4" t="s">
        <v>31</v>
      </c>
    </row>
    <row r="29" spans="1:15" x14ac:dyDescent="0.25">
      <c r="A29" s="4" t="s">
        <v>10</v>
      </c>
      <c r="B29" s="4" t="s">
        <v>10</v>
      </c>
      <c r="C29" s="4"/>
      <c r="D29" s="6" t="s">
        <v>66</v>
      </c>
      <c r="E29" s="4" t="s">
        <v>19</v>
      </c>
      <c r="F29" s="4" t="s">
        <v>96</v>
      </c>
      <c r="G29" s="4" t="s">
        <v>28</v>
      </c>
      <c r="H29" s="4" t="s">
        <v>29</v>
      </c>
      <c r="I29" s="4" t="s">
        <v>16</v>
      </c>
      <c r="J29" s="17">
        <v>54</v>
      </c>
      <c r="K29" s="17">
        <v>60</v>
      </c>
      <c r="L29" s="4"/>
      <c r="M29" s="4"/>
      <c r="N29" s="4"/>
      <c r="O29" s="4" t="s">
        <v>31</v>
      </c>
    </row>
    <row r="30" spans="1:15" x14ac:dyDescent="0.25">
      <c r="A30" s="4" t="s">
        <v>10</v>
      </c>
      <c r="B30" s="4" t="s">
        <v>10</v>
      </c>
      <c r="C30" s="4"/>
      <c r="D30" s="4" t="s">
        <v>67</v>
      </c>
      <c r="E30" s="4" t="s">
        <v>27</v>
      </c>
      <c r="F30" s="4" t="s">
        <v>96</v>
      </c>
      <c r="G30" s="4" t="s">
        <v>28</v>
      </c>
      <c r="H30" s="4" t="s">
        <v>29</v>
      </c>
      <c r="I30" s="4" t="s">
        <v>16</v>
      </c>
      <c r="J30" s="17">
        <v>63</v>
      </c>
      <c r="K30" s="17">
        <v>70</v>
      </c>
      <c r="L30" s="4"/>
      <c r="M30" s="4"/>
      <c r="N30" s="4"/>
      <c r="O30" s="4" t="s">
        <v>31</v>
      </c>
    </row>
    <row r="31" spans="1:15" x14ac:dyDescent="0.25">
      <c r="A31" s="4" t="s">
        <v>10</v>
      </c>
      <c r="B31" s="4" t="s">
        <v>10</v>
      </c>
      <c r="C31" s="4"/>
      <c r="D31" s="4" t="s">
        <v>68</v>
      </c>
      <c r="E31" s="4" t="s">
        <v>19</v>
      </c>
      <c r="F31" s="4" t="s">
        <v>96</v>
      </c>
      <c r="G31" s="4" t="s">
        <v>28</v>
      </c>
      <c r="H31" s="4" t="s">
        <v>29</v>
      </c>
      <c r="I31" s="4" t="s">
        <v>16</v>
      </c>
      <c r="J31" s="17">
        <v>54</v>
      </c>
      <c r="K31" s="17">
        <v>60</v>
      </c>
      <c r="L31" s="4"/>
      <c r="M31" s="4"/>
      <c r="N31" s="4"/>
      <c r="O31" s="4" t="s">
        <v>31</v>
      </c>
    </row>
    <row r="32" spans="1:15" x14ac:dyDescent="0.25">
      <c r="A32" s="4" t="s">
        <v>10</v>
      </c>
      <c r="B32" s="4" t="s">
        <v>10</v>
      </c>
      <c r="C32" s="4"/>
      <c r="D32" s="4" t="s">
        <v>69</v>
      </c>
      <c r="E32" s="4" t="s">
        <v>27</v>
      </c>
      <c r="F32" s="4" t="s">
        <v>96</v>
      </c>
      <c r="G32" s="4" t="s">
        <v>35</v>
      </c>
      <c r="H32" s="4" t="s">
        <v>41</v>
      </c>
      <c r="I32" s="4" t="s">
        <v>16</v>
      </c>
      <c r="J32" s="17">
        <v>63</v>
      </c>
      <c r="K32" s="17">
        <v>70</v>
      </c>
      <c r="L32" s="4"/>
      <c r="M32" s="4"/>
      <c r="N32" s="4"/>
      <c r="O32" s="4" t="s">
        <v>37</v>
      </c>
    </row>
    <row r="33" spans="1:15" x14ac:dyDescent="0.25">
      <c r="A33" s="4" t="s">
        <v>10</v>
      </c>
      <c r="B33" s="4" t="s">
        <v>10</v>
      </c>
      <c r="C33" s="4"/>
      <c r="D33" s="4" t="s">
        <v>70</v>
      </c>
      <c r="E33" s="4" t="s">
        <v>19</v>
      </c>
      <c r="F33" s="4" t="s">
        <v>96</v>
      </c>
      <c r="G33" s="4" t="s">
        <v>28</v>
      </c>
      <c r="H33" s="4" t="s">
        <v>29</v>
      </c>
      <c r="I33" s="4" t="s">
        <v>16</v>
      </c>
      <c r="J33" s="17">
        <v>54</v>
      </c>
      <c r="K33" s="17">
        <v>60</v>
      </c>
      <c r="L33" s="4"/>
      <c r="M33" s="4"/>
      <c r="N33" s="4"/>
      <c r="O33" s="4" t="s">
        <v>31</v>
      </c>
    </row>
    <row r="34" spans="1:15" x14ac:dyDescent="0.25">
      <c r="A34" s="4" t="s">
        <v>10</v>
      </c>
      <c r="B34" s="4" t="s">
        <v>10</v>
      </c>
      <c r="C34" s="4"/>
      <c r="D34" s="4" t="s">
        <v>71</v>
      </c>
      <c r="E34" s="4" t="s">
        <v>27</v>
      </c>
      <c r="F34" s="4" t="s">
        <v>96</v>
      </c>
      <c r="G34" s="4" t="s">
        <v>35</v>
      </c>
      <c r="H34" s="4" t="s">
        <v>41</v>
      </c>
      <c r="I34" s="4" t="s">
        <v>16</v>
      </c>
      <c r="J34" s="17">
        <v>63</v>
      </c>
      <c r="K34" s="17">
        <v>70</v>
      </c>
      <c r="L34" s="4"/>
      <c r="M34" s="4"/>
      <c r="N34" s="4"/>
      <c r="O34" s="4" t="s">
        <v>37</v>
      </c>
    </row>
    <row r="35" spans="1:15" x14ac:dyDescent="0.25">
      <c r="A35" s="4" t="s">
        <v>10</v>
      </c>
      <c r="B35" s="4" t="s">
        <v>10</v>
      </c>
      <c r="C35" s="4"/>
      <c r="D35" s="4" t="s">
        <v>72</v>
      </c>
      <c r="E35" s="4" t="s">
        <v>19</v>
      </c>
      <c r="F35" s="4" t="s">
        <v>96</v>
      </c>
      <c r="G35" s="4" t="s">
        <v>28</v>
      </c>
      <c r="H35" s="4" t="s">
        <v>29</v>
      </c>
      <c r="I35" s="4" t="s">
        <v>16</v>
      </c>
      <c r="J35" s="17">
        <v>54</v>
      </c>
      <c r="K35" s="17">
        <v>60</v>
      </c>
      <c r="L35" s="4"/>
      <c r="M35" s="4"/>
      <c r="N35" s="4"/>
      <c r="O35" s="4" t="s">
        <v>31</v>
      </c>
    </row>
    <row r="36" spans="1:15" x14ac:dyDescent="0.25">
      <c r="A36" s="4" t="s">
        <v>10</v>
      </c>
      <c r="B36" s="4" t="s">
        <v>10</v>
      </c>
      <c r="C36" s="4"/>
      <c r="D36" s="4" t="s">
        <v>73</v>
      </c>
      <c r="E36" s="4" t="s">
        <v>27</v>
      </c>
      <c r="F36" s="4" t="s">
        <v>96</v>
      </c>
      <c r="G36" s="4" t="s">
        <v>35</v>
      </c>
      <c r="H36" s="4" t="s">
        <v>41</v>
      </c>
      <c r="I36" s="4" t="s">
        <v>16</v>
      </c>
      <c r="J36" s="17">
        <v>63</v>
      </c>
      <c r="K36" s="17">
        <v>70</v>
      </c>
      <c r="L36" s="4"/>
      <c r="M36" s="4"/>
      <c r="N36" s="4"/>
      <c r="O36" s="4" t="s">
        <v>37</v>
      </c>
    </row>
    <row r="37" spans="1:15" x14ac:dyDescent="0.25">
      <c r="A37" s="4" t="s">
        <v>10</v>
      </c>
      <c r="B37" s="4" t="s">
        <v>10</v>
      </c>
      <c r="C37" s="4"/>
      <c r="D37" s="4" t="s">
        <v>74</v>
      </c>
      <c r="E37" s="4" t="s">
        <v>34</v>
      </c>
      <c r="F37" s="4" t="s">
        <v>96</v>
      </c>
      <c r="G37" s="4" t="s">
        <v>35</v>
      </c>
      <c r="H37" s="4" t="s">
        <v>41</v>
      </c>
      <c r="I37" s="4" t="s">
        <v>16</v>
      </c>
      <c r="J37" s="17">
        <v>27</v>
      </c>
      <c r="K37" s="17">
        <v>40</v>
      </c>
      <c r="L37" s="4"/>
      <c r="M37" s="4"/>
      <c r="N37" s="4"/>
      <c r="O37" s="4" t="s">
        <v>37</v>
      </c>
    </row>
    <row r="38" spans="1:15" x14ac:dyDescent="0.25">
      <c r="A38" s="4" t="s">
        <v>10</v>
      </c>
      <c r="B38" s="4" t="s">
        <v>10</v>
      </c>
      <c r="C38" s="4"/>
      <c r="D38" s="4" t="s">
        <v>75</v>
      </c>
      <c r="E38" s="4" t="s">
        <v>34</v>
      </c>
      <c r="F38" s="4" t="s">
        <v>96</v>
      </c>
      <c r="G38" s="4" t="s">
        <v>35</v>
      </c>
      <c r="H38" s="4" t="s">
        <v>41</v>
      </c>
      <c r="I38" s="4" t="s">
        <v>16</v>
      </c>
      <c r="J38" s="17">
        <v>27</v>
      </c>
      <c r="K38" s="17">
        <v>40</v>
      </c>
      <c r="L38" s="4"/>
      <c r="M38" s="4"/>
      <c r="N38" s="4"/>
      <c r="O38" s="4" t="s">
        <v>37</v>
      </c>
    </row>
    <row r="39" spans="1:15" x14ac:dyDescent="0.25">
      <c r="A39" s="4" t="s">
        <v>10</v>
      </c>
      <c r="B39" s="4" t="s">
        <v>10</v>
      </c>
      <c r="C39" s="4"/>
      <c r="D39" s="4" t="s">
        <v>76</v>
      </c>
      <c r="E39" s="4" t="s">
        <v>34</v>
      </c>
      <c r="F39" s="4" t="s">
        <v>96</v>
      </c>
      <c r="G39" s="4" t="s">
        <v>35</v>
      </c>
      <c r="H39" s="4" t="s">
        <v>41</v>
      </c>
      <c r="I39" s="4" t="s">
        <v>16</v>
      </c>
      <c r="J39" s="17">
        <v>27</v>
      </c>
      <c r="K39" s="17">
        <v>40</v>
      </c>
      <c r="L39" s="4"/>
      <c r="M39" s="4"/>
      <c r="N39" s="4"/>
      <c r="O39" s="4" t="s">
        <v>37</v>
      </c>
    </row>
    <row r="40" spans="1:15" x14ac:dyDescent="0.25">
      <c r="A40" s="4" t="s">
        <v>10</v>
      </c>
      <c r="B40" s="4" t="s">
        <v>10</v>
      </c>
      <c r="C40" s="4"/>
      <c r="D40" s="4" t="s">
        <v>77</v>
      </c>
      <c r="E40" s="4" t="s">
        <v>34</v>
      </c>
      <c r="F40" s="4" t="s">
        <v>96</v>
      </c>
      <c r="G40" s="4" t="s">
        <v>35</v>
      </c>
      <c r="H40" s="4" t="s">
        <v>41</v>
      </c>
      <c r="I40" s="4" t="s">
        <v>16</v>
      </c>
      <c r="J40" s="17">
        <v>36</v>
      </c>
      <c r="K40" s="17">
        <v>40</v>
      </c>
      <c r="L40" s="4"/>
      <c r="M40" s="4"/>
      <c r="N40" s="4"/>
      <c r="O40" s="4" t="s">
        <v>37</v>
      </c>
    </row>
    <row r="41" spans="1:15" x14ac:dyDescent="0.25">
      <c r="A41" s="4" t="s">
        <v>10</v>
      </c>
      <c r="B41" s="4" t="s">
        <v>10</v>
      </c>
      <c r="C41" s="4"/>
      <c r="D41" s="4" t="s">
        <v>78</v>
      </c>
      <c r="E41" s="4" t="s">
        <v>34</v>
      </c>
      <c r="F41" s="4" t="s">
        <v>96</v>
      </c>
      <c r="G41" s="4" t="s">
        <v>35</v>
      </c>
      <c r="H41" s="4" t="s">
        <v>41</v>
      </c>
      <c r="I41" s="4" t="s">
        <v>16</v>
      </c>
      <c r="J41" s="17">
        <v>27</v>
      </c>
      <c r="K41" s="17">
        <v>40</v>
      </c>
      <c r="L41" s="4"/>
      <c r="M41" s="4"/>
      <c r="N41" s="4"/>
      <c r="O41" s="4" t="s">
        <v>37</v>
      </c>
    </row>
    <row r="42" spans="1:15" x14ac:dyDescent="0.25">
      <c r="A42" s="4" t="s">
        <v>11</v>
      </c>
      <c r="B42" s="4" t="s">
        <v>10</v>
      </c>
      <c r="C42" s="4"/>
      <c r="D42" s="4" t="s">
        <v>79</v>
      </c>
      <c r="E42" s="4" t="s">
        <v>34</v>
      </c>
      <c r="F42" s="4" t="s">
        <v>96</v>
      </c>
      <c r="G42" s="4" t="s">
        <v>35</v>
      </c>
      <c r="H42" s="4" t="s">
        <v>41</v>
      </c>
      <c r="I42" s="4" t="s">
        <v>16</v>
      </c>
      <c r="J42" s="17">
        <v>63</v>
      </c>
      <c r="K42" s="17">
        <v>65</v>
      </c>
      <c r="L42" s="4"/>
      <c r="M42" s="4"/>
      <c r="N42" s="4"/>
      <c r="O42" s="4" t="s">
        <v>37</v>
      </c>
    </row>
    <row r="43" spans="1:15" x14ac:dyDescent="0.25">
      <c r="A43" s="4" t="s">
        <v>10</v>
      </c>
      <c r="B43" s="4" t="s">
        <v>11</v>
      </c>
      <c r="C43" s="4"/>
      <c r="D43" s="4" t="s">
        <v>80</v>
      </c>
      <c r="E43" s="4" t="s">
        <v>34</v>
      </c>
      <c r="F43" s="4" t="s">
        <v>96</v>
      </c>
      <c r="G43" s="4" t="s">
        <v>35</v>
      </c>
      <c r="H43" s="4" t="s">
        <v>44</v>
      </c>
      <c r="I43" s="4" t="s">
        <v>16</v>
      </c>
      <c r="J43" s="18" t="s">
        <v>25</v>
      </c>
      <c r="K43" s="20">
        <f>(182*8)*0.75</f>
        <v>1092</v>
      </c>
      <c r="L43" s="4"/>
      <c r="M43" s="4"/>
      <c r="N43" s="6" t="s">
        <v>102</v>
      </c>
      <c r="O43" s="4" t="s">
        <v>23</v>
      </c>
    </row>
    <row r="44" spans="1:15" x14ac:dyDescent="0.25">
      <c r="A44" s="4" t="s">
        <v>10</v>
      </c>
      <c r="B44" s="4" t="s">
        <v>11</v>
      </c>
      <c r="C44" s="4"/>
      <c r="D44" s="4" t="s">
        <v>81</v>
      </c>
      <c r="E44" s="4" t="s">
        <v>34</v>
      </c>
      <c r="F44" s="4" t="s">
        <v>96</v>
      </c>
      <c r="G44" s="4" t="s">
        <v>35</v>
      </c>
      <c r="H44" s="4" t="s">
        <v>36</v>
      </c>
      <c r="I44" s="4" t="s">
        <v>16</v>
      </c>
      <c r="J44" s="18" t="s">
        <v>25</v>
      </c>
      <c r="K44" s="20">
        <f>(182*18)*0.75</f>
        <v>2457</v>
      </c>
      <c r="L44" s="4"/>
      <c r="M44" s="4"/>
      <c r="N44" s="21" t="s">
        <v>102</v>
      </c>
      <c r="O44" s="4" t="s">
        <v>23</v>
      </c>
    </row>
    <row r="45" spans="1:15" x14ac:dyDescent="0.25">
      <c r="A45" s="4" t="s">
        <v>10</v>
      </c>
      <c r="B45" s="4" t="s">
        <v>11</v>
      </c>
      <c r="C45" s="4"/>
      <c r="D45" s="4" t="s">
        <v>82</v>
      </c>
      <c r="E45" s="4" t="s">
        <v>34</v>
      </c>
      <c r="F45" s="4" t="s">
        <v>96</v>
      </c>
      <c r="G45" s="4" t="s">
        <v>35</v>
      </c>
      <c r="H45" s="4" t="s">
        <v>44</v>
      </c>
      <c r="I45" s="4" t="s">
        <v>16</v>
      </c>
      <c r="J45" s="18" t="s">
        <v>25</v>
      </c>
      <c r="K45" s="20">
        <f>(182*12)*0.75</f>
        <v>1638</v>
      </c>
      <c r="L45" s="4"/>
      <c r="M45" s="4"/>
      <c r="N45" s="6" t="s">
        <v>102</v>
      </c>
      <c r="O45" s="4" t="s">
        <v>23</v>
      </c>
    </row>
    <row r="46" spans="1:15" x14ac:dyDescent="0.25">
      <c r="A46" s="4" t="s">
        <v>10</v>
      </c>
      <c r="B46" s="4" t="s">
        <v>10</v>
      </c>
      <c r="C46" s="4"/>
      <c r="D46" s="4" t="s">
        <v>83</v>
      </c>
      <c r="E46" s="4" t="s">
        <v>40</v>
      </c>
      <c r="F46" s="4" t="s">
        <v>96</v>
      </c>
      <c r="G46" s="4" t="s">
        <v>14</v>
      </c>
      <c r="H46" s="4" t="s">
        <v>44</v>
      </c>
      <c r="I46" s="4" t="s">
        <v>16</v>
      </c>
      <c r="J46" s="18" t="s">
        <v>25</v>
      </c>
      <c r="K46" s="20">
        <f>(72*10)</f>
        <v>720</v>
      </c>
      <c r="L46" s="4"/>
      <c r="M46" s="4"/>
      <c r="N46" s="6" t="s">
        <v>103</v>
      </c>
      <c r="O46" s="4" t="s">
        <v>23</v>
      </c>
    </row>
    <row r="47" spans="1:15" x14ac:dyDescent="0.25">
      <c r="A47" s="4" t="s">
        <v>25</v>
      </c>
      <c r="B47" s="4" t="s">
        <v>25</v>
      </c>
      <c r="C47" s="4"/>
      <c r="D47" s="4" t="s">
        <v>84</v>
      </c>
      <c r="E47" s="4" t="s">
        <v>25</v>
      </c>
      <c r="F47" s="4" t="s">
        <v>25</v>
      </c>
      <c r="G47" s="4" t="s">
        <v>25</v>
      </c>
      <c r="H47" s="4" t="s">
        <v>25</v>
      </c>
      <c r="I47" s="4" t="s">
        <v>25</v>
      </c>
      <c r="J47" s="20"/>
      <c r="K47" s="20"/>
      <c r="L47" s="4"/>
      <c r="M47" s="4"/>
      <c r="N47" s="4"/>
      <c r="O47" s="4"/>
    </row>
  </sheetData>
  <autoFilter ref="A1:O47" xr:uid="{E9AE1EFE-7FF9-4599-808A-CF00655066B5}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A6DC-E359-4696-904D-17C19557ADA4}">
  <sheetPr codeName="Sheet5"/>
  <dimension ref="A1:M38"/>
  <sheetViews>
    <sheetView zoomScaleNormal="100" workbookViewId="0">
      <pane ySplit="1" topLeftCell="A2" activePane="bottomLeft" state="frozen"/>
      <selection activeCell="A2" sqref="A2:C47"/>
      <selection pane="bottomLeft" activeCell="A2" sqref="A2:C47"/>
    </sheetView>
  </sheetViews>
  <sheetFormatPr defaultColWidth="9.09765625" defaultRowHeight="13.2" x14ac:dyDescent="0.25"/>
  <cols>
    <col min="1" max="1" width="9.296875" style="7" bestFit="1" customWidth="1"/>
    <col min="2" max="2" width="11.296875" style="7" bestFit="1" customWidth="1"/>
    <col min="3" max="3" width="53.3984375" style="7" bestFit="1" customWidth="1"/>
    <col min="4" max="4" width="8.8984375" style="7" bestFit="1" customWidth="1"/>
    <col min="5" max="5" width="12.3984375" style="7" bestFit="1" customWidth="1"/>
    <col min="6" max="6" width="18.8984375" style="7" bestFit="1" customWidth="1"/>
    <col min="7" max="7" width="16.69921875" style="7" bestFit="1" customWidth="1"/>
    <col min="8" max="8" width="10" style="7" bestFit="1" customWidth="1"/>
    <col min="9" max="9" width="11" style="11" bestFit="1" customWidth="1"/>
    <col min="10" max="10" width="10.59765625" style="7" bestFit="1" customWidth="1"/>
    <col min="11" max="11" width="10.09765625" style="7" bestFit="1" customWidth="1"/>
    <col min="12" max="12" width="30.69921875" style="7" bestFit="1" customWidth="1"/>
    <col min="13" max="13" width="32.3984375" style="7" bestFit="1" customWidth="1"/>
    <col min="14" max="16384" width="9.09765625" style="7"/>
  </cols>
  <sheetData>
    <row r="1" spans="1:13" s="10" customFormat="1" ht="26.4" x14ac:dyDescent="0.25">
      <c r="A1" s="2" t="s">
        <v>2</v>
      </c>
      <c r="B1" s="8" t="s">
        <v>85</v>
      </c>
      <c r="C1" s="2" t="s">
        <v>3</v>
      </c>
      <c r="D1" s="2" t="s">
        <v>4</v>
      </c>
      <c r="E1" s="2" t="s">
        <v>86</v>
      </c>
      <c r="F1" s="2" t="s">
        <v>5</v>
      </c>
      <c r="G1" s="2" t="s">
        <v>6</v>
      </c>
      <c r="H1" s="2" t="s">
        <v>7</v>
      </c>
      <c r="I1" s="9" t="s">
        <v>106</v>
      </c>
      <c r="J1" s="2" t="s">
        <v>94</v>
      </c>
      <c r="K1" s="2" t="s">
        <v>95</v>
      </c>
      <c r="L1" s="2" t="s">
        <v>91</v>
      </c>
      <c r="M1" s="2" t="s">
        <v>8</v>
      </c>
    </row>
    <row r="2" spans="1:13" x14ac:dyDescent="0.25">
      <c r="A2" s="4" t="s">
        <v>10</v>
      </c>
      <c r="B2" s="4"/>
      <c r="C2" s="4" t="s">
        <v>18</v>
      </c>
      <c r="D2" s="4" t="s">
        <v>13</v>
      </c>
      <c r="E2" s="4" t="s">
        <v>96</v>
      </c>
      <c r="F2" s="4" t="s">
        <v>14</v>
      </c>
      <c r="G2" s="4" t="s">
        <v>15</v>
      </c>
      <c r="H2" s="4" t="s">
        <v>16</v>
      </c>
      <c r="I2" s="17">
        <v>200</v>
      </c>
      <c r="J2" s="4"/>
      <c r="K2" s="4"/>
      <c r="L2" s="4"/>
      <c r="M2" s="4" t="s">
        <v>107</v>
      </c>
    </row>
    <row r="3" spans="1:13" x14ac:dyDescent="0.25">
      <c r="A3" s="4" t="s">
        <v>10</v>
      </c>
      <c r="B3" s="4"/>
      <c r="C3" s="6" t="s">
        <v>26</v>
      </c>
      <c r="D3" s="4" t="s">
        <v>13</v>
      </c>
      <c r="E3" s="4" t="s">
        <v>96</v>
      </c>
      <c r="F3" s="4" t="s">
        <v>20</v>
      </c>
      <c r="G3" s="4" t="s">
        <v>21</v>
      </c>
      <c r="H3" s="4" t="s">
        <v>16</v>
      </c>
      <c r="I3" s="17">
        <v>20</v>
      </c>
      <c r="J3" s="4"/>
      <c r="K3" s="4"/>
      <c r="L3" s="4"/>
      <c r="M3" s="4" t="s">
        <v>23</v>
      </c>
    </row>
    <row r="4" spans="1:13" x14ac:dyDescent="0.25">
      <c r="A4" s="4" t="s">
        <v>10</v>
      </c>
      <c r="B4" s="4"/>
      <c r="C4" s="6" t="s">
        <v>33</v>
      </c>
      <c r="D4" s="4" t="s">
        <v>13</v>
      </c>
      <c r="E4" s="4" t="s">
        <v>96</v>
      </c>
      <c r="F4" s="4" t="s">
        <v>20</v>
      </c>
      <c r="G4" s="4" t="s">
        <v>21</v>
      </c>
      <c r="H4" s="4" t="s">
        <v>16</v>
      </c>
      <c r="I4" s="17">
        <v>10</v>
      </c>
      <c r="J4" s="4"/>
      <c r="K4" s="4"/>
      <c r="L4" s="4"/>
      <c r="M4" s="4" t="s">
        <v>23</v>
      </c>
    </row>
    <row r="5" spans="1:13" x14ac:dyDescent="0.25">
      <c r="A5" s="4" t="s">
        <v>10</v>
      </c>
      <c r="B5" s="4"/>
      <c r="C5" s="6" t="s">
        <v>39</v>
      </c>
      <c r="D5" s="4" t="s">
        <v>13</v>
      </c>
      <c r="E5" s="4" t="s">
        <v>96</v>
      </c>
      <c r="F5" s="4" t="s">
        <v>20</v>
      </c>
      <c r="G5" s="4" t="s">
        <v>21</v>
      </c>
      <c r="H5" s="4" t="s">
        <v>16</v>
      </c>
      <c r="I5" s="17">
        <v>20</v>
      </c>
      <c r="J5" s="4"/>
      <c r="K5" s="4"/>
      <c r="L5" s="4"/>
      <c r="M5" s="4" t="s">
        <v>23</v>
      </c>
    </row>
    <row r="6" spans="1:13" x14ac:dyDescent="0.25">
      <c r="A6" s="4" t="s">
        <v>10</v>
      </c>
      <c r="B6" s="4"/>
      <c r="C6" s="6" t="s">
        <v>108</v>
      </c>
      <c r="D6" s="4" t="s">
        <v>13</v>
      </c>
      <c r="E6" s="4" t="s">
        <v>96</v>
      </c>
      <c r="F6" s="4" t="s">
        <v>20</v>
      </c>
      <c r="G6" s="4" t="s">
        <v>21</v>
      </c>
      <c r="H6" s="4" t="s">
        <v>16</v>
      </c>
      <c r="I6" s="17">
        <f>140*12</f>
        <v>1680</v>
      </c>
      <c r="J6" s="4"/>
      <c r="K6" s="4"/>
      <c r="L6" s="6" t="s">
        <v>97</v>
      </c>
      <c r="M6" s="4" t="s">
        <v>23</v>
      </c>
    </row>
    <row r="7" spans="1:13" x14ac:dyDescent="0.25">
      <c r="A7" s="4" t="s">
        <v>10</v>
      </c>
      <c r="B7" s="4"/>
      <c r="C7" s="6" t="s">
        <v>45</v>
      </c>
      <c r="D7" s="4" t="s">
        <v>19</v>
      </c>
      <c r="E7" s="4" t="s">
        <v>96</v>
      </c>
      <c r="F7" s="4" t="s">
        <v>28</v>
      </c>
      <c r="G7" s="4" t="s">
        <v>29</v>
      </c>
      <c r="H7" s="4" t="s">
        <v>16</v>
      </c>
      <c r="I7" s="17">
        <v>60</v>
      </c>
      <c r="J7" s="4"/>
      <c r="K7" s="4"/>
      <c r="L7" s="4"/>
      <c r="M7" s="4" t="s">
        <v>31</v>
      </c>
    </row>
    <row r="8" spans="1:13" x14ac:dyDescent="0.25">
      <c r="A8" s="4" t="s">
        <v>10</v>
      </c>
      <c r="B8" s="4"/>
      <c r="C8" s="6" t="s">
        <v>46</v>
      </c>
      <c r="D8" s="4" t="s">
        <v>19</v>
      </c>
      <c r="E8" s="4" t="s">
        <v>96</v>
      </c>
      <c r="F8" s="4" t="s">
        <v>28</v>
      </c>
      <c r="G8" s="4" t="s">
        <v>29</v>
      </c>
      <c r="H8" s="4" t="s">
        <v>16</v>
      </c>
      <c r="I8" s="17">
        <v>60</v>
      </c>
      <c r="J8" s="4"/>
      <c r="K8" s="4"/>
      <c r="L8" s="4"/>
      <c r="M8" s="4" t="s">
        <v>31</v>
      </c>
    </row>
    <row r="9" spans="1:13" x14ac:dyDescent="0.25">
      <c r="A9" s="4" t="s">
        <v>10</v>
      </c>
      <c r="B9" s="4"/>
      <c r="C9" s="6" t="s">
        <v>47</v>
      </c>
      <c r="D9" s="4" t="s">
        <v>13</v>
      </c>
      <c r="E9" s="4" t="s">
        <v>96</v>
      </c>
      <c r="F9" s="4" t="s">
        <v>20</v>
      </c>
      <c r="G9" s="4" t="s">
        <v>21</v>
      </c>
      <c r="H9" s="4" t="s">
        <v>16</v>
      </c>
      <c r="I9" s="17">
        <v>20</v>
      </c>
      <c r="J9" s="4"/>
      <c r="K9" s="4"/>
      <c r="L9" s="4"/>
      <c r="M9" s="4" t="s">
        <v>23</v>
      </c>
    </row>
    <row r="10" spans="1:13" x14ac:dyDescent="0.25">
      <c r="A10" s="4" t="s">
        <v>10</v>
      </c>
      <c r="B10" s="4"/>
      <c r="C10" s="6" t="s">
        <v>48</v>
      </c>
      <c r="D10" s="4" t="s">
        <v>19</v>
      </c>
      <c r="E10" s="4" t="s">
        <v>96</v>
      </c>
      <c r="F10" s="4" t="s">
        <v>20</v>
      </c>
      <c r="G10" s="4" t="s">
        <v>21</v>
      </c>
      <c r="H10" s="4" t="s">
        <v>16</v>
      </c>
      <c r="I10" s="17">
        <v>120</v>
      </c>
      <c r="J10" s="4"/>
      <c r="K10" s="4"/>
      <c r="L10" s="4"/>
      <c r="M10" s="4" t="s">
        <v>23</v>
      </c>
    </row>
    <row r="11" spans="1:13" x14ac:dyDescent="0.25">
      <c r="A11" s="4" t="s">
        <v>10</v>
      </c>
      <c r="B11" s="4"/>
      <c r="C11" s="6" t="s">
        <v>49</v>
      </c>
      <c r="D11" s="4" t="s">
        <v>27</v>
      </c>
      <c r="E11" s="4" t="s">
        <v>96</v>
      </c>
      <c r="F11" s="4" t="s">
        <v>20</v>
      </c>
      <c r="G11" s="4" t="s">
        <v>21</v>
      </c>
      <c r="H11" s="4" t="s">
        <v>16</v>
      </c>
      <c r="I11" s="17">
        <v>70</v>
      </c>
      <c r="J11" s="4"/>
      <c r="K11" s="4"/>
      <c r="L11" s="4"/>
      <c r="M11" s="4" t="s">
        <v>23</v>
      </c>
    </row>
    <row r="12" spans="1:13" x14ac:dyDescent="0.25">
      <c r="A12" s="4" t="s">
        <v>10</v>
      </c>
      <c r="B12" s="4"/>
      <c r="C12" s="6" t="s">
        <v>50</v>
      </c>
      <c r="D12" s="4" t="s">
        <v>34</v>
      </c>
      <c r="E12" s="4" t="s">
        <v>96</v>
      </c>
      <c r="F12" s="4" t="s">
        <v>20</v>
      </c>
      <c r="G12" s="4" t="s">
        <v>21</v>
      </c>
      <c r="H12" s="4" t="s">
        <v>16</v>
      </c>
      <c r="I12" s="17">
        <v>40</v>
      </c>
      <c r="J12" s="4"/>
      <c r="K12" s="4"/>
      <c r="L12" s="4"/>
      <c r="M12" s="4" t="s">
        <v>23</v>
      </c>
    </row>
    <row r="13" spans="1:13" x14ac:dyDescent="0.25">
      <c r="A13" s="4" t="s">
        <v>10</v>
      </c>
      <c r="B13" s="4"/>
      <c r="C13" s="6" t="s">
        <v>51</v>
      </c>
      <c r="D13" s="4" t="s">
        <v>19</v>
      </c>
      <c r="E13" s="4" t="s">
        <v>96</v>
      </c>
      <c r="F13" s="4" t="s">
        <v>28</v>
      </c>
      <c r="G13" s="4" t="s">
        <v>29</v>
      </c>
      <c r="H13" s="4" t="s">
        <v>16</v>
      </c>
      <c r="I13" s="17">
        <v>2000</v>
      </c>
      <c r="J13" s="4"/>
      <c r="K13" s="4"/>
      <c r="L13" s="4" t="s">
        <v>98</v>
      </c>
      <c r="M13" s="4" t="s">
        <v>31</v>
      </c>
    </row>
    <row r="14" spans="1:13" x14ac:dyDescent="0.25">
      <c r="A14" s="4" t="s">
        <v>10</v>
      </c>
      <c r="B14" s="4"/>
      <c r="C14" s="6" t="s">
        <v>52</v>
      </c>
      <c r="D14" s="4" t="s">
        <v>19</v>
      </c>
      <c r="E14" s="4" t="s">
        <v>96</v>
      </c>
      <c r="F14" s="4" t="s">
        <v>28</v>
      </c>
      <c r="G14" s="4" t="s">
        <v>29</v>
      </c>
      <c r="H14" s="4" t="s">
        <v>16</v>
      </c>
      <c r="I14" s="18">
        <v>800</v>
      </c>
      <c r="J14" s="4"/>
      <c r="K14" s="4"/>
      <c r="L14" s="4" t="s">
        <v>99</v>
      </c>
      <c r="M14" s="4" t="s">
        <v>31</v>
      </c>
    </row>
    <row r="15" spans="1:13" x14ac:dyDescent="0.25">
      <c r="A15" s="4" t="s">
        <v>10</v>
      </c>
      <c r="B15" s="4"/>
      <c r="C15" s="6" t="s">
        <v>54</v>
      </c>
      <c r="D15" s="4" t="s">
        <v>19</v>
      </c>
      <c r="E15" s="4" t="s">
        <v>96</v>
      </c>
      <c r="F15" s="4" t="s">
        <v>14</v>
      </c>
      <c r="G15" s="4" t="s">
        <v>36</v>
      </c>
      <c r="H15" s="4" t="s">
        <v>16</v>
      </c>
      <c r="I15" s="17">
        <f>(180*3)</f>
        <v>540</v>
      </c>
      <c r="J15" s="4"/>
      <c r="K15" s="4"/>
      <c r="L15" s="4"/>
      <c r="M15" s="4" t="s">
        <v>23</v>
      </c>
    </row>
    <row r="16" spans="1:13" x14ac:dyDescent="0.25">
      <c r="A16" s="4" t="s">
        <v>10</v>
      </c>
      <c r="B16" s="4"/>
      <c r="C16" s="6" t="s">
        <v>55</v>
      </c>
      <c r="D16" s="4" t="s">
        <v>19</v>
      </c>
      <c r="E16" s="4" t="s">
        <v>96</v>
      </c>
      <c r="F16" s="4" t="s">
        <v>14</v>
      </c>
      <c r="G16" s="4" t="s">
        <v>36</v>
      </c>
      <c r="H16" s="4" t="s">
        <v>16</v>
      </c>
      <c r="I16" s="17">
        <v>70</v>
      </c>
      <c r="J16" s="4"/>
      <c r="K16" s="4"/>
      <c r="L16" s="4"/>
      <c r="M16" s="4" t="s">
        <v>23</v>
      </c>
    </row>
    <row r="17" spans="1:13" x14ac:dyDescent="0.25">
      <c r="A17" s="4" t="s">
        <v>10</v>
      </c>
      <c r="B17" s="4"/>
      <c r="C17" s="6" t="s">
        <v>56</v>
      </c>
      <c r="D17" s="4" t="s">
        <v>19</v>
      </c>
      <c r="E17" s="4" t="s">
        <v>96</v>
      </c>
      <c r="F17" s="4" t="s">
        <v>28</v>
      </c>
      <c r="G17" s="4" t="s">
        <v>29</v>
      </c>
      <c r="H17" s="4" t="s">
        <v>16</v>
      </c>
      <c r="I17" s="17">
        <v>60</v>
      </c>
      <c r="J17" s="4"/>
      <c r="K17" s="4"/>
      <c r="L17" s="4" t="s">
        <v>101</v>
      </c>
      <c r="M17" s="4" t="s">
        <v>31</v>
      </c>
    </row>
    <row r="18" spans="1:13" x14ac:dyDescent="0.25">
      <c r="A18" s="4" t="s">
        <v>10</v>
      </c>
      <c r="B18" s="4"/>
      <c r="C18" s="6" t="s">
        <v>57</v>
      </c>
      <c r="D18" s="4" t="s">
        <v>27</v>
      </c>
      <c r="E18" s="4" t="s">
        <v>96</v>
      </c>
      <c r="F18" s="4" t="s">
        <v>28</v>
      </c>
      <c r="G18" s="4" t="s">
        <v>29</v>
      </c>
      <c r="H18" s="4" t="s">
        <v>16</v>
      </c>
      <c r="I18" s="17">
        <v>70</v>
      </c>
      <c r="J18" s="4"/>
      <c r="K18" s="4"/>
      <c r="L18" s="4"/>
      <c r="M18" s="4" t="s">
        <v>31</v>
      </c>
    </row>
    <row r="19" spans="1:13" x14ac:dyDescent="0.25">
      <c r="A19" s="4" t="s">
        <v>10</v>
      </c>
      <c r="B19" s="4"/>
      <c r="C19" s="6" t="s">
        <v>58</v>
      </c>
      <c r="D19" s="4" t="s">
        <v>19</v>
      </c>
      <c r="E19" s="4" t="s">
        <v>96</v>
      </c>
      <c r="F19" s="4" t="s">
        <v>28</v>
      </c>
      <c r="G19" s="4" t="s">
        <v>29</v>
      </c>
      <c r="H19" s="4" t="s">
        <v>16</v>
      </c>
      <c r="I19" s="17">
        <v>60</v>
      </c>
      <c r="J19" s="4"/>
      <c r="K19" s="4"/>
      <c r="L19" s="4"/>
      <c r="M19" s="4" t="s">
        <v>31</v>
      </c>
    </row>
    <row r="20" spans="1:13" x14ac:dyDescent="0.25">
      <c r="A20" s="4" t="s">
        <v>10</v>
      </c>
      <c r="B20" s="4"/>
      <c r="C20" s="6" t="s">
        <v>59</v>
      </c>
      <c r="D20" s="4" t="s">
        <v>27</v>
      </c>
      <c r="E20" s="4" t="s">
        <v>96</v>
      </c>
      <c r="F20" s="4" t="s">
        <v>28</v>
      </c>
      <c r="G20" s="4" t="s">
        <v>29</v>
      </c>
      <c r="H20" s="4" t="s">
        <v>16</v>
      </c>
      <c r="I20" s="17">
        <v>70</v>
      </c>
      <c r="J20" s="4"/>
      <c r="K20" s="4"/>
      <c r="L20" s="4"/>
      <c r="M20" s="4" t="s">
        <v>31</v>
      </c>
    </row>
    <row r="21" spans="1:13" x14ac:dyDescent="0.25">
      <c r="A21" s="4" t="s">
        <v>10</v>
      </c>
      <c r="B21" s="4"/>
      <c r="C21" s="6" t="s">
        <v>60</v>
      </c>
      <c r="D21" s="4" t="s">
        <v>19</v>
      </c>
      <c r="E21" s="4" t="s">
        <v>96</v>
      </c>
      <c r="F21" s="4" t="s">
        <v>28</v>
      </c>
      <c r="G21" s="4" t="s">
        <v>29</v>
      </c>
      <c r="H21" s="4" t="s">
        <v>16</v>
      </c>
      <c r="I21" s="17">
        <v>60</v>
      </c>
      <c r="J21" s="4"/>
      <c r="K21" s="4"/>
      <c r="L21" s="4"/>
      <c r="M21" s="4" t="s">
        <v>31</v>
      </c>
    </row>
    <row r="22" spans="1:13" x14ac:dyDescent="0.25">
      <c r="A22" s="4" t="s">
        <v>10</v>
      </c>
      <c r="B22" s="4"/>
      <c r="C22" s="6" t="s">
        <v>61</v>
      </c>
      <c r="D22" s="4" t="s">
        <v>27</v>
      </c>
      <c r="E22" s="4" t="s">
        <v>96</v>
      </c>
      <c r="F22" s="4" t="s">
        <v>28</v>
      </c>
      <c r="G22" s="4" t="s">
        <v>29</v>
      </c>
      <c r="H22" s="4" t="s">
        <v>16</v>
      </c>
      <c r="I22" s="17">
        <v>70</v>
      </c>
      <c r="J22" s="4"/>
      <c r="K22" s="4"/>
      <c r="L22" s="4"/>
      <c r="M22" s="4" t="s">
        <v>31</v>
      </c>
    </row>
    <row r="23" spans="1:13" ht="39.6" x14ac:dyDescent="0.25">
      <c r="A23" s="4" t="s">
        <v>10</v>
      </c>
      <c r="B23" s="4"/>
      <c r="C23" s="21" t="s">
        <v>109</v>
      </c>
      <c r="D23" s="4" t="s">
        <v>19</v>
      </c>
      <c r="E23" s="4" t="s">
        <v>96</v>
      </c>
      <c r="F23" s="4" t="s">
        <v>28</v>
      </c>
      <c r="G23" s="4" t="s">
        <v>29</v>
      </c>
      <c r="H23" s="4" t="s">
        <v>16</v>
      </c>
      <c r="I23" s="18">
        <f>240*19</f>
        <v>4560</v>
      </c>
      <c r="J23" s="4"/>
      <c r="K23" s="4"/>
      <c r="L23" s="4" t="s">
        <v>110</v>
      </c>
      <c r="M23" s="4" t="s">
        <v>31</v>
      </c>
    </row>
    <row r="24" spans="1:13" x14ac:dyDescent="0.25">
      <c r="A24" s="4" t="s">
        <v>10</v>
      </c>
      <c r="B24" s="4"/>
      <c r="C24" s="6" t="s">
        <v>66</v>
      </c>
      <c r="D24" s="4" t="s">
        <v>19</v>
      </c>
      <c r="E24" s="4" t="s">
        <v>96</v>
      </c>
      <c r="F24" s="4" t="s">
        <v>28</v>
      </c>
      <c r="G24" s="4" t="s">
        <v>29</v>
      </c>
      <c r="H24" s="4" t="s">
        <v>16</v>
      </c>
      <c r="I24" s="17">
        <f>(180*3)</f>
        <v>540</v>
      </c>
      <c r="J24" s="4"/>
      <c r="K24" s="4"/>
      <c r="L24" s="4"/>
      <c r="M24" s="4" t="s">
        <v>31</v>
      </c>
    </row>
    <row r="25" spans="1:13" x14ac:dyDescent="0.25">
      <c r="A25" s="4" t="s">
        <v>10</v>
      </c>
      <c r="B25" s="4"/>
      <c r="C25" s="4" t="s">
        <v>67</v>
      </c>
      <c r="D25" s="4" t="s">
        <v>27</v>
      </c>
      <c r="E25" s="4" t="s">
        <v>96</v>
      </c>
      <c r="F25" s="4" t="s">
        <v>28</v>
      </c>
      <c r="G25" s="4" t="s">
        <v>29</v>
      </c>
      <c r="H25" s="4" t="s">
        <v>16</v>
      </c>
      <c r="I25" s="17">
        <v>70</v>
      </c>
      <c r="J25" s="4"/>
      <c r="K25" s="4"/>
      <c r="L25" s="4"/>
      <c r="M25" s="4" t="s">
        <v>31</v>
      </c>
    </row>
    <row r="26" spans="1:13" x14ac:dyDescent="0.25">
      <c r="A26" s="4" t="s">
        <v>10</v>
      </c>
      <c r="B26" s="4"/>
      <c r="C26" s="4" t="s">
        <v>68</v>
      </c>
      <c r="D26" s="4" t="s">
        <v>19</v>
      </c>
      <c r="E26" s="4" t="s">
        <v>96</v>
      </c>
      <c r="F26" s="4" t="s">
        <v>28</v>
      </c>
      <c r="G26" s="4" t="s">
        <v>29</v>
      </c>
      <c r="H26" s="4" t="s">
        <v>16</v>
      </c>
      <c r="I26" s="17">
        <v>60</v>
      </c>
      <c r="J26" s="4"/>
      <c r="K26" s="4"/>
      <c r="L26" s="4"/>
      <c r="M26" s="4" t="s">
        <v>31</v>
      </c>
    </row>
    <row r="27" spans="1:13" x14ac:dyDescent="0.25">
      <c r="A27" s="4" t="s">
        <v>10</v>
      </c>
      <c r="B27" s="4"/>
      <c r="C27" s="4" t="s">
        <v>69</v>
      </c>
      <c r="D27" s="4" t="s">
        <v>27</v>
      </c>
      <c r="E27" s="4" t="s">
        <v>96</v>
      </c>
      <c r="F27" s="4" t="s">
        <v>35</v>
      </c>
      <c r="G27" s="4" t="s">
        <v>41</v>
      </c>
      <c r="H27" s="4" t="s">
        <v>16</v>
      </c>
      <c r="I27" s="17">
        <v>70</v>
      </c>
      <c r="J27" s="4"/>
      <c r="K27" s="4"/>
      <c r="L27" s="4"/>
      <c r="M27" s="4" t="s">
        <v>37</v>
      </c>
    </row>
    <row r="28" spans="1:13" x14ac:dyDescent="0.25">
      <c r="A28" s="4" t="s">
        <v>10</v>
      </c>
      <c r="B28" s="4"/>
      <c r="C28" s="4" t="s">
        <v>70</v>
      </c>
      <c r="D28" s="4" t="s">
        <v>19</v>
      </c>
      <c r="E28" s="4" t="s">
        <v>96</v>
      </c>
      <c r="F28" s="4" t="s">
        <v>28</v>
      </c>
      <c r="G28" s="4" t="s">
        <v>29</v>
      </c>
      <c r="H28" s="4" t="s">
        <v>16</v>
      </c>
      <c r="I28" s="17">
        <v>60</v>
      </c>
      <c r="J28" s="4"/>
      <c r="K28" s="4"/>
      <c r="L28" s="4"/>
      <c r="M28" s="4" t="s">
        <v>31</v>
      </c>
    </row>
    <row r="29" spans="1:13" x14ac:dyDescent="0.25">
      <c r="A29" s="4" t="s">
        <v>10</v>
      </c>
      <c r="B29" s="4"/>
      <c r="C29" s="4" t="s">
        <v>71</v>
      </c>
      <c r="D29" s="4" t="s">
        <v>27</v>
      </c>
      <c r="E29" s="4" t="s">
        <v>96</v>
      </c>
      <c r="F29" s="4" t="s">
        <v>35</v>
      </c>
      <c r="G29" s="4" t="s">
        <v>41</v>
      </c>
      <c r="H29" s="4" t="s">
        <v>16</v>
      </c>
      <c r="I29" s="17">
        <v>70</v>
      </c>
      <c r="J29" s="4"/>
      <c r="K29" s="4"/>
      <c r="L29" s="4"/>
      <c r="M29" s="4" t="s">
        <v>37</v>
      </c>
    </row>
    <row r="30" spans="1:13" x14ac:dyDescent="0.25">
      <c r="A30" s="4" t="s">
        <v>10</v>
      </c>
      <c r="B30" s="4"/>
      <c r="C30" s="4" t="s">
        <v>72</v>
      </c>
      <c r="D30" s="4" t="s">
        <v>19</v>
      </c>
      <c r="E30" s="4" t="s">
        <v>96</v>
      </c>
      <c r="F30" s="4" t="s">
        <v>28</v>
      </c>
      <c r="G30" s="4" t="s">
        <v>29</v>
      </c>
      <c r="H30" s="4" t="s">
        <v>16</v>
      </c>
      <c r="I30" s="17">
        <v>60</v>
      </c>
      <c r="J30" s="4"/>
      <c r="K30" s="4"/>
      <c r="L30" s="4"/>
      <c r="M30" s="4" t="s">
        <v>31</v>
      </c>
    </row>
    <row r="31" spans="1:13" x14ac:dyDescent="0.25">
      <c r="A31" s="4" t="s">
        <v>10</v>
      </c>
      <c r="B31" s="4"/>
      <c r="C31" s="4" t="s">
        <v>73</v>
      </c>
      <c r="D31" s="4" t="s">
        <v>27</v>
      </c>
      <c r="E31" s="4" t="s">
        <v>96</v>
      </c>
      <c r="F31" s="4" t="s">
        <v>35</v>
      </c>
      <c r="G31" s="4" t="s">
        <v>41</v>
      </c>
      <c r="H31" s="4" t="s">
        <v>16</v>
      </c>
      <c r="I31" s="17">
        <v>70</v>
      </c>
      <c r="J31" s="4"/>
      <c r="K31" s="4"/>
      <c r="L31" s="4"/>
      <c r="M31" s="4" t="s">
        <v>37</v>
      </c>
    </row>
    <row r="32" spans="1:13" x14ac:dyDescent="0.25">
      <c r="A32" s="4" t="s">
        <v>10</v>
      </c>
      <c r="B32" s="4"/>
      <c r="C32" s="4" t="s">
        <v>74</v>
      </c>
      <c r="D32" s="4" t="s">
        <v>34</v>
      </c>
      <c r="E32" s="4" t="s">
        <v>96</v>
      </c>
      <c r="F32" s="4" t="s">
        <v>35</v>
      </c>
      <c r="G32" s="4" t="s">
        <v>41</v>
      </c>
      <c r="H32" s="4" t="s">
        <v>16</v>
      </c>
      <c r="I32" s="17">
        <v>40</v>
      </c>
      <c r="J32" s="4"/>
      <c r="K32" s="4"/>
      <c r="L32" s="4"/>
      <c r="M32" s="4" t="s">
        <v>37</v>
      </c>
    </row>
    <row r="33" spans="1:13" x14ac:dyDescent="0.25">
      <c r="A33" s="4" t="s">
        <v>10</v>
      </c>
      <c r="B33" s="4"/>
      <c r="C33" s="4" t="s">
        <v>75</v>
      </c>
      <c r="D33" s="4" t="s">
        <v>34</v>
      </c>
      <c r="E33" s="4" t="s">
        <v>96</v>
      </c>
      <c r="F33" s="4" t="s">
        <v>35</v>
      </c>
      <c r="G33" s="4" t="s">
        <v>41</v>
      </c>
      <c r="H33" s="4" t="s">
        <v>16</v>
      </c>
      <c r="I33" s="17">
        <v>40</v>
      </c>
      <c r="J33" s="4"/>
      <c r="K33" s="4"/>
      <c r="L33" s="4"/>
      <c r="M33" s="4" t="s">
        <v>37</v>
      </c>
    </row>
    <row r="34" spans="1:13" x14ac:dyDescent="0.25">
      <c r="A34" s="4" t="s">
        <v>10</v>
      </c>
      <c r="B34" s="4"/>
      <c r="C34" s="4" t="s">
        <v>76</v>
      </c>
      <c r="D34" s="4" t="s">
        <v>34</v>
      </c>
      <c r="E34" s="4" t="s">
        <v>96</v>
      </c>
      <c r="F34" s="4" t="s">
        <v>35</v>
      </c>
      <c r="G34" s="4" t="s">
        <v>41</v>
      </c>
      <c r="H34" s="4" t="s">
        <v>16</v>
      </c>
      <c r="I34" s="17">
        <v>40</v>
      </c>
      <c r="J34" s="4"/>
      <c r="K34" s="4"/>
      <c r="L34" s="4"/>
      <c r="M34" s="4" t="s">
        <v>37</v>
      </c>
    </row>
    <row r="35" spans="1:13" x14ac:dyDescent="0.25">
      <c r="A35" s="4" t="s">
        <v>10</v>
      </c>
      <c r="B35" s="4"/>
      <c r="C35" s="4" t="s">
        <v>77</v>
      </c>
      <c r="D35" s="4" t="s">
        <v>34</v>
      </c>
      <c r="E35" s="4" t="s">
        <v>96</v>
      </c>
      <c r="F35" s="4" t="s">
        <v>35</v>
      </c>
      <c r="G35" s="4" t="s">
        <v>41</v>
      </c>
      <c r="H35" s="4" t="s">
        <v>16</v>
      </c>
      <c r="I35" s="17">
        <v>40</v>
      </c>
      <c r="J35" s="4"/>
      <c r="K35" s="4"/>
      <c r="L35" s="4"/>
      <c r="M35" s="4" t="s">
        <v>37</v>
      </c>
    </row>
    <row r="36" spans="1:13" x14ac:dyDescent="0.25">
      <c r="A36" s="4" t="s">
        <v>10</v>
      </c>
      <c r="B36" s="4"/>
      <c r="C36" s="4" t="s">
        <v>78</v>
      </c>
      <c r="D36" s="4" t="s">
        <v>34</v>
      </c>
      <c r="E36" s="4" t="s">
        <v>96</v>
      </c>
      <c r="F36" s="4" t="s">
        <v>35</v>
      </c>
      <c r="G36" s="4" t="s">
        <v>41</v>
      </c>
      <c r="H36" s="4" t="s">
        <v>16</v>
      </c>
      <c r="I36" s="17">
        <v>40</v>
      </c>
      <c r="J36" s="4"/>
      <c r="K36" s="4"/>
      <c r="L36" s="4"/>
      <c r="M36" s="4" t="s">
        <v>37</v>
      </c>
    </row>
    <row r="37" spans="1:13" x14ac:dyDescent="0.25">
      <c r="A37" s="4" t="s">
        <v>10</v>
      </c>
      <c r="B37" s="4"/>
      <c r="C37" s="4" t="s">
        <v>79</v>
      </c>
      <c r="D37" s="4" t="s">
        <v>34</v>
      </c>
      <c r="E37" s="4" t="s">
        <v>96</v>
      </c>
      <c r="F37" s="4" t="s">
        <v>35</v>
      </c>
      <c r="G37" s="4" t="s">
        <v>41</v>
      </c>
      <c r="H37" s="4" t="s">
        <v>16</v>
      </c>
      <c r="I37" s="17">
        <v>65</v>
      </c>
      <c r="J37" s="4"/>
      <c r="K37" s="4"/>
      <c r="L37" s="4"/>
      <c r="M37" s="4" t="s">
        <v>37</v>
      </c>
    </row>
    <row r="38" spans="1:13" x14ac:dyDescent="0.25">
      <c r="I38" s="12">
        <f>SUM(I2:I37)</f>
        <v>11925</v>
      </c>
    </row>
  </sheetData>
  <autoFilter ref="A1:M37" xr:uid="{E9AE1EFE-7FF9-4599-808A-CF00655066B5}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C0A5E-ECAF-45FA-BEC3-E1F96DC5E78B}">
  <sheetPr codeName="Sheet6"/>
  <dimension ref="A1:M46"/>
  <sheetViews>
    <sheetView zoomScaleNormal="100" workbookViewId="0">
      <pane ySplit="1" topLeftCell="A2" activePane="bottomLeft" state="frozen"/>
      <selection activeCell="A2" sqref="A2:C47"/>
      <selection pane="bottomLeft" activeCell="A2" sqref="A2:C47"/>
    </sheetView>
  </sheetViews>
  <sheetFormatPr defaultColWidth="9.09765625" defaultRowHeight="13.2" x14ac:dyDescent="0.25"/>
  <cols>
    <col min="1" max="1" width="8.296875" style="7" bestFit="1" customWidth="1"/>
    <col min="2" max="2" width="11.8984375" style="7" bestFit="1" customWidth="1"/>
    <col min="3" max="3" width="65.3984375" style="7" bestFit="1" customWidth="1"/>
    <col min="4" max="4" width="9.09765625" style="7" bestFit="1" customWidth="1"/>
    <col min="5" max="5" width="13.09765625" style="7" bestFit="1" customWidth="1"/>
    <col min="6" max="6" width="19.59765625" style="7" bestFit="1" customWidth="1"/>
    <col min="7" max="7" width="17.69921875" style="7" bestFit="1" customWidth="1"/>
    <col min="8" max="8" width="10.69921875" style="7" bestFit="1" customWidth="1"/>
    <col min="9" max="9" width="11.69921875" style="11" bestFit="1" customWidth="1"/>
    <col min="10" max="10" width="11.296875" style="7" bestFit="1" customWidth="1"/>
    <col min="11" max="11" width="10.59765625" style="7" bestFit="1" customWidth="1"/>
    <col min="12" max="12" width="41.296875" style="7" bestFit="1" customWidth="1"/>
    <col min="13" max="13" width="33" style="7" bestFit="1" customWidth="1"/>
    <col min="14" max="16384" width="9.09765625" style="7"/>
  </cols>
  <sheetData>
    <row r="1" spans="1:13" s="10" customFormat="1" ht="39.6" x14ac:dyDescent="0.25">
      <c r="A1" s="2" t="s">
        <v>1</v>
      </c>
      <c r="B1" s="8" t="s">
        <v>85</v>
      </c>
      <c r="C1" s="2" t="s">
        <v>3</v>
      </c>
      <c r="D1" s="2" t="s">
        <v>4</v>
      </c>
      <c r="E1" s="2" t="s">
        <v>86</v>
      </c>
      <c r="F1" s="2" t="s">
        <v>5</v>
      </c>
      <c r="G1" s="2" t="s">
        <v>6</v>
      </c>
      <c r="H1" s="2" t="s">
        <v>7</v>
      </c>
      <c r="I1" s="9" t="s">
        <v>93</v>
      </c>
      <c r="J1" s="2" t="s">
        <v>94</v>
      </c>
      <c r="K1" s="2" t="s">
        <v>95</v>
      </c>
      <c r="L1" s="2" t="s">
        <v>91</v>
      </c>
      <c r="M1" s="2" t="s">
        <v>8</v>
      </c>
    </row>
    <row r="2" spans="1:13" x14ac:dyDescent="0.25">
      <c r="A2" s="4" t="s">
        <v>10</v>
      </c>
      <c r="B2" s="4"/>
      <c r="C2" s="4" t="s">
        <v>12</v>
      </c>
      <c r="D2" s="4" t="s">
        <v>13</v>
      </c>
      <c r="E2" s="4" t="s">
        <v>96</v>
      </c>
      <c r="F2" s="4" t="s">
        <v>14</v>
      </c>
      <c r="G2" s="4" t="s">
        <v>15</v>
      </c>
      <c r="H2" s="4" t="s">
        <v>16</v>
      </c>
      <c r="I2" s="17">
        <v>200</v>
      </c>
      <c r="J2" s="4"/>
      <c r="K2" s="4"/>
      <c r="L2" s="4"/>
      <c r="M2" s="4" t="s">
        <v>17</v>
      </c>
    </row>
    <row r="3" spans="1:13" x14ac:dyDescent="0.25">
      <c r="A3" s="4" t="s">
        <v>10</v>
      </c>
      <c r="B3" s="4"/>
      <c r="C3" s="6" t="s">
        <v>26</v>
      </c>
      <c r="D3" s="4" t="s">
        <v>13</v>
      </c>
      <c r="E3" s="4" t="s">
        <v>96</v>
      </c>
      <c r="F3" s="4" t="s">
        <v>20</v>
      </c>
      <c r="G3" s="4" t="s">
        <v>21</v>
      </c>
      <c r="H3" s="4" t="s">
        <v>16</v>
      </c>
      <c r="I3" s="17">
        <v>20</v>
      </c>
      <c r="J3" s="4"/>
      <c r="K3" s="4"/>
      <c r="L3" s="4"/>
      <c r="M3" s="4" t="s">
        <v>23</v>
      </c>
    </row>
    <row r="4" spans="1:13" x14ac:dyDescent="0.25">
      <c r="A4" s="4" t="s">
        <v>10</v>
      </c>
      <c r="B4" s="4"/>
      <c r="C4" s="6" t="s">
        <v>33</v>
      </c>
      <c r="D4" s="4" t="s">
        <v>13</v>
      </c>
      <c r="E4" s="4" t="s">
        <v>96</v>
      </c>
      <c r="F4" s="4" t="s">
        <v>20</v>
      </c>
      <c r="G4" s="4" t="s">
        <v>21</v>
      </c>
      <c r="H4" s="4" t="s">
        <v>16</v>
      </c>
      <c r="I4" s="17">
        <v>10</v>
      </c>
      <c r="J4" s="4"/>
      <c r="K4" s="4"/>
      <c r="L4" s="4"/>
      <c r="M4" s="4" t="s">
        <v>23</v>
      </c>
    </row>
    <row r="5" spans="1:13" x14ac:dyDescent="0.25">
      <c r="A5" s="4" t="s">
        <v>10</v>
      </c>
      <c r="B5" s="4"/>
      <c r="C5" s="6" t="s">
        <v>39</v>
      </c>
      <c r="D5" s="4" t="s">
        <v>13</v>
      </c>
      <c r="E5" s="4" t="s">
        <v>96</v>
      </c>
      <c r="F5" s="4" t="s">
        <v>20</v>
      </c>
      <c r="G5" s="4" t="s">
        <v>21</v>
      </c>
      <c r="H5" s="4" t="s">
        <v>16</v>
      </c>
      <c r="I5" s="17">
        <v>20</v>
      </c>
      <c r="J5" s="4"/>
      <c r="K5" s="4"/>
      <c r="L5" s="4"/>
      <c r="M5" s="4" t="s">
        <v>23</v>
      </c>
    </row>
    <row r="6" spans="1:13" x14ac:dyDescent="0.25">
      <c r="A6" s="4" t="s">
        <v>10</v>
      </c>
      <c r="B6" s="4"/>
      <c r="C6" s="6" t="s">
        <v>43</v>
      </c>
      <c r="D6" s="4" t="s">
        <v>13</v>
      </c>
      <c r="E6" s="4" t="s">
        <v>96</v>
      </c>
      <c r="F6" s="4" t="s">
        <v>20</v>
      </c>
      <c r="G6" s="4" t="s">
        <v>21</v>
      </c>
      <c r="H6" s="4" t="s">
        <v>16</v>
      </c>
      <c r="I6" s="17">
        <f>(175*6)*0.8</f>
        <v>840</v>
      </c>
      <c r="J6" s="4"/>
      <c r="K6" s="4"/>
      <c r="L6" s="6" t="s">
        <v>97</v>
      </c>
      <c r="M6" s="4" t="s">
        <v>23</v>
      </c>
    </row>
    <row r="7" spans="1:13" x14ac:dyDescent="0.25">
      <c r="A7" s="4" t="s">
        <v>10</v>
      </c>
      <c r="B7" s="4"/>
      <c r="C7" s="6" t="s">
        <v>45</v>
      </c>
      <c r="D7" s="4" t="s">
        <v>19</v>
      </c>
      <c r="E7" s="4" t="s">
        <v>96</v>
      </c>
      <c r="F7" s="4" t="s">
        <v>28</v>
      </c>
      <c r="G7" s="4" t="s">
        <v>29</v>
      </c>
      <c r="H7" s="4" t="s">
        <v>16</v>
      </c>
      <c r="I7" s="17">
        <v>60</v>
      </c>
      <c r="J7" s="4"/>
      <c r="K7" s="4"/>
      <c r="L7" s="4"/>
      <c r="M7" s="4" t="s">
        <v>31</v>
      </c>
    </row>
    <row r="8" spans="1:13" x14ac:dyDescent="0.25">
      <c r="A8" s="4" t="s">
        <v>10</v>
      </c>
      <c r="B8" s="4"/>
      <c r="C8" s="6" t="s">
        <v>46</v>
      </c>
      <c r="D8" s="4" t="s">
        <v>19</v>
      </c>
      <c r="E8" s="4" t="s">
        <v>96</v>
      </c>
      <c r="F8" s="4" t="s">
        <v>28</v>
      </c>
      <c r="G8" s="4" t="s">
        <v>29</v>
      </c>
      <c r="H8" s="4" t="s">
        <v>16</v>
      </c>
      <c r="I8" s="17">
        <v>60</v>
      </c>
      <c r="J8" s="4"/>
      <c r="K8" s="4"/>
      <c r="L8" s="4"/>
      <c r="M8" s="4" t="s">
        <v>31</v>
      </c>
    </row>
    <row r="9" spans="1:13" x14ac:dyDescent="0.25">
      <c r="A9" s="4" t="s">
        <v>10</v>
      </c>
      <c r="B9" s="4"/>
      <c r="C9" s="6" t="s">
        <v>47</v>
      </c>
      <c r="D9" s="4" t="s">
        <v>13</v>
      </c>
      <c r="E9" s="4" t="s">
        <v>96</v>
      </c>
      <c r="F9" s="4" t="s">
        <v>20</v>
      </c>
      <c r="G9" s="4" t="s">
        <v>21</v>
      </c>
      <c r="H9" s="4" t="s">
        <v>16</v>
      </c>
      <c r="I9" s="17">
        <v>20</v>
      </c>
      <c r="J9" s="4"/>
      <c r="K9" s="4"/>
      <c r="L9" s="4"/>
      <c r="M9" s="4" t="s">
        <v>23</v>
      </c>
    </row>
    <row r="10" spans="1:13" x14ac:dyDescent="0.25">
      <c r="A10" s="4" t="s">
        <v>10</v>
      </c>
      <c r="B10" s="4"/>
      <c r="C10" s="6" t="s">
        <v>48</v>
      </c>
      <c r="D10" s="4" t="s">
        <v>19</v>
      </c>
      <c r="E10" s="4" t="s">
        <v>96</v>
      </c>
      <c r="F10" s="4" t="s">
        <v>20</v>
      </c>
      <c r="G10" s="4" t="s">
        <v>21</v>
      </c>
      <c r="H10" s="4" t="s">
        <v>16</v>
      </c>
      <c r="I10" s="17">
        <v>120</v>
      </c>
      <c r="J10" s="4"/>
      <c r="K10" s="4"/>
      <c r="L10" s="4"/>
      <c r="M10" s="4" t="s">
        <v>23</v>
      </c>
    </row>
    <row r="11" spans="1:13" x14ac:dyDescent="0.25">
      <c r="A11" s="4" t="s">
        <v>10</v>
      </c>
      <c r="B11" s="4"/>
      <c r="C11" s="6" t="s">
        <v>49</v>
      </c>
      <c r="D11" s="4" t="s">
        <v>27</v>
      </c>
      <c r="E11" s="4" t="s">
        <v>96</v>
      </c>
      <c r="F11" s="4" t="s">
        <v>20</v>
      </c>
      <c r="G11" s="4" t="s">
        <v>21</v>
      </c>
      <c r="H11" s="4" t="s">
        <v>16</v>
      </c>
      <c r="I11" s="17">
        <v>70</v>
      </c>
      <c r="J11" s="4"/>
      <c r="K11" s="4"/>
      <c r="L11" s="4"/>
      <c r="M11" s="4" t="s">
        <v>23</v>
      </c>
    </row>
    <row r="12" spans="1:13" x14ac:dyDescent="0.25">
      <c r="A12" s="4" t="s">
        <v>10</v>
      </c>
      <c r="B12" s="4"/>
      <c r="C12" s="6" t="s">
        <v>50</v>
      </c>
      <c r="D12" s="4" t="s">
        <v>34</v>
      </c>
      <c r="E12" s="4" t="s">
        <v>96</v>
      </c>
      <c r="F12" s="4" t="s">
        <v>20</v>
      </c>
      <c r="G12" s="4" t="s">
        <v>21</v>
      </c>
      <c r="H12" s="4" t="s">
        <v>16</v>
      </c>
      <c r="I12" s="17">
        <v>40</v>
      </c>
      <c r="J12" s="4"/>
      <c r="K12" s="4"/>
      <c r="L12" s="4"/>
      <c r="M12" s="4" t="s">
        <v>23</v>
      </c>
    </row>
    <row r="13" spans="1:13" x14ac:dyDescent="0.25">
      <c r="A13" s="4" t="s">
        <v>10</v>
      </c>
      <c r="B13" s="4"/>
      <c r="C13" s="6" t="s">
        <v>51</v>
      </c>
      <c r="D13" s="4" t="s">
        <v>19</v>
      </c>
      <c r="E13" s="4" t="s">
        <v>96</v>
      </c>
      <c r="F13" s="4" t="s">
        <v>28</v>
      </c>
      <c r="G13" s="4" t="s">
        <v>29</v>
      </c>
      <c r="H13" s="4" t="s">
        <v>16</v>
      </c>
      <c r="I13" s="17">
        <v>2000</v>
      </c>
      <c r="J13" s="4"/>
      <c r="K13" s="4"/>
      <c r="L13" s="4" t="s">
        <v>98</v>
      </c>
      <c r="M13" s="4" t="s">
        <v>31</v>
      </c>
    </row>
    <row r="14" spans="1:13" x14ac:dyDescent="0.25">
      <c r="A14" s="4" t="s">
        <v>10</v>
      </c>
      <c r="B14" s="4"/>
      <c r="C14" s="6" t="s">
        <v>52</v>
      </c>
      <c r="D14" s="4" t="s">
        <v>19</v>
      </c>
      <c r="E14" s="4" t="s">
        <v>96</v>
      </c>
      <c r="F14" s="4" t="s">
        <v>28</v>
      </c>
      <c r="G14" s="4" t="s">
        <v>29</v>
      </c>
      <c r="H14" s="4" t="s">
        <v>16</v>
      </c>
      <c r="I14" s="19" t="s">
        <v>100</v>
      </c>
      <c r="J14" s="4"/>
      <c r="K14" s="4"/>
      <c r="L14" s="4" t="s">
        <v>99</v>
      </c>
      <c r="M14" s="4" t="s">
        <v>31</v>
      </c>
    </row>
    <row r="15" spans="1:13" x14ac:dyDescent="0.25">
      <c r="A15" s="4" t="s">
        <v>10</v>
      </c>
      <c r="B15" s="4"/>
      <c r="C15" s="6" t="s">
        <v>53</v>
      </c>
      <c r="D15" s="4" t="s">
        <v>19</v>
      </c>
      <c r="E15" s="4" t="s">
        <v>96</v>
      </c>
      <c r="F15" s="4" t="s">
        <v>28</v>
      </c>
      <c r="G15" s="4" t="s">
        <v>29</v>
      </c>
      <c r="H15" s="4" t="s">
        <v>16</v>
      </c>
      <c r="I15" s="19" t="s">
        <v>100</v>
      </c>
      <c r="J15" s="4"/>
      <c r="K15" s="4"/>
      <c r="L15" s="4" t="s">
        <v>99</v>
      </c>
      <c r="M15" s="4" t="s">
        <v>31</v>
      </c>
    </row>
    <row r="16" spans="1:13" x14ac:dyDescent="0.25">
      <c r="A16" s="4" t="s">
        <v>10</v>
      </c>
      <c r="B16" s="4"/>
      <c r="C16" s="6" t="s">
        <v>54</v>
      </c>
      <c r="D16" s="4" t="s">
        <v>19</v>
      </c>
      <c r="E16" s="4" t="s">
        <v>96</v>
      </c>
      <c r="F16" s="4" t="s">
        <v>14</v>
      </c>
      <c r="G16" s="4" t="s">
        <v>36</v>
      </c>
      <c r="H16" s="4" t="s">
        <v>16</v>
      </c>
      <c r="I16" s="17">
        <v>60</v>
      </c>
      <c r="J16" s="4"/>
      <c r="K16" s="4"/>
      <c r="L16" s="4"/>
      <c r="M16" s="4" t="s">
        <v>23</v>
      </c>
    </row>
    <row r="17" spans="1:13" x14ac:dyDescent="0.25">
      <c r="A17" s="4" t="s">
        <v>10</v>
      </c>
      <c r="B17" s="4"/>
      <c r="C17" s="6" t="s">
        <v>55</v>
      </c>
      <c r="D17" s="4" t="s">
        <v>19</v>
      </c>
      <c r="E17" s="4" t="s">
        <v>96</v>
      </c>
      <c r="F17" s="4" t="s">
        <v>14</v>
      </c>
      <c r="G17" s="4" t="s">
        <v>36</v>
      </c>
      <c r="H17" s="4" t="s">
        <v>16</v>
      </c>
      <c r="I17" s="17">
        <v>70</v>
      </c>
      <c r="J17" s="4"/>
      <c r="K17" s="4"/>
      <c r="L17" s="4"/>
      <c r="M17" s="4" t="s">
        <v>23</v>
      </c>
    </row>
    <row r="18" spans="1:13" x14ac:dyDescent="0.25">
      <c r="A18" s="4" t="s">
        <v>10</v>
      </c>
      <c r="B18" s="4"/>
      <c r="C18" s="6" t="s">
        <v>56</v>
      </c>
      <c r="D18" s="4" t="s">
        <v>19</v>
      </c>
      <c r="E18" s="4" t="s">
        <v>96</v>
      </c>
      <c r="F18" s="4" t="s">
        <v>28</v>
      </c>
      <c r="G18" s="4" t="s">
        <v>29</v>
      </c>
      <c r="H18" s="4" t="s">
        <v>16</v>
      </c>
      <c r="I18" s="17">
        <v>60</v>
      </c>
      <c r="J18" s="4"/>
      <c r="K18" s="4"/>
      <c r="L18" s="4" t="s">
        <v>101</v>
      </c>
      <c r="M18" s="4" t="s">
        <v>31</v>
      </c>
    </row>
    <row r="19" spans="1:13" x14ac:dyDescent="0.25">
      <c r="A19" s="4" t="s">
        <v>10</v>
      </c>
      <c r="B19" s="4"/>
      <c r="C19" s="6" t="s">
        <v>57</v>
      </c>
      <c r="D19" s="4" t="s">
        <v>27</v>
      </c>
      <c r="E19" s="4" t="s">
        <v>96</v>
      </c>
      <c r="F19" s="4" t="s">
        <v>28</v>
      </c>
      <c r="G19" s="4" t="s">
        <v>29</v>
      </c>
      <c r="H19" s="4" t="s">
        <v>16</v>
      </c>
      <c r="I19" s="17">
        <v>70</v>
      </c>
      <c r="J19" s="4"/>
      <c r="K19" s="4"/>
      <c r="L19" s="4"/>
      <c r="M19" s="4" t="s">
        <v>31</v>
      </c>
    </row>
    <row r="20" spans="1:13" x14ac:dyDescent="0.25">
      <c r="A20" s="4" t="s">
        <v>10</v>
      </c>
      <c r="B20" s="4"/>
      <c r="C20" s="6" t="s">
        <v>58</v>
      </c>
      <c r="D20" s="4" t="s">
        <v>19</v>
      </c>
      <c r="E20" s="4" t="s">
        <v>96</v>
      </c>
      <c r="F20" s="4" t="s">
        <v>28</v>
      </c>
      <c r="G20" s="4" t="s">
        <v>29</v>
      </c>
      <c r="H20" s="4" t="s">
        <v>16</v>
      </c>
      <c r="I20" s="17">
        <v>60</v>
      </c>
      <c r="J20" s="4"/>
      <c r="K20" s="4"/>
      <c r="L20" s="4"/>
      <c r="M20" s="4" t="s">
        <v>31</v>
      </c>
    </row>
    <row r="21" spans="1:13" x14ac:dyDescent="0.25">
      <c r="A21" s="4" t="s">
        <v>10</v>
      </c>
      <c r="B21" s="4"/>
      <c r="C21" s="6" t="s">
        <v>59</v>
      </c>
      <c r="D21" s="4" t="s">
        <v>27</v>
      </c>
      <c r="E21" s="4" t="s">
        <v>96</v>
      </c>
      <c r="F21" s="4" t="s">
        <v>28</v>
      </c>
      <c r="G21" s="4" t="s">
        <v>29</v>
      </c>
      <c r="H21" s="4" t="s">
        <v>16</v>
      </c>
      <c r="I21" s="17">
        <v>70</v>
      </c>
      <c r="J21" s="4"/>
      <c r="K21" s="4"/>
      <c r="L21" s="4"/>
      <c r="M21" s="4" t="s">
        <v>31</v>
      </c>
    </row>
    <row r="22" spans="1:13" x14ac:dyDescent="0.25">
      <c r="A22" s="4" t="s">
        <v>10</v>
      </c>
      <c r="B22" s="4"/>
      <c r="C22" s="6" t="s">
        <v>60</v>
      </c>
      <c r="D22" s="4" t="s">
        <v>19</v>
      </c>
      <c r="E22" s="4" t="s">
        <v>96</v>
      </c>
      <c r="F22" s="4" t="s">
        <v>28</v>
      </c>
      <c r="G22" s="4" t="s">
        <v>29</v>
      </c>
      <c r="H22" s="4" t="s">
        <v>16</v>
      </c>
      <c r="I22" s="17">
        <v>60</v>
      </c>
      <c r="J22" s="4"/>
      <c r="K22" s="4"/>
      <c r="L22" s="4"/>
      <c r="M22" s="4" t="s">
        <v>31</v>
      </c>
    </row>
    <row r="23" spans="1:13" x14ac:dyDescent="0.25">
      <c r="A23" s="4" t="s">
        <v>10</v>
      </c>
      <c r="B23" s="4"/>
      <c r="C23" s="6" t="s">
        <v>61</v>
      </c>
      <c r="D23" s="4" t="s">
        <v>27</v>
      </c>
      <c r="E23" s="4" t="s">
        <v>96</v>
      </c>
      <c r="F23" s="4" t="s">
        <v>28</v>
      </c>
      <c r="G23" s="4" t="s">
        <v>29</v>
      </c>
      <c r="H23" s="4" t="s">
        <v>16</v>
      </c>
      <c r="I23" s="17">
        <v>70</v>
      </c>
      <c r="J23" s="4"/>
      <c r="K23" s="4"/>
      <c r="L23" s="4"/>
      <c r="M23" s="4" t="s">
        <v>31</v>
      </c>
    </row>
    <row r="24" spans="1:13" x14ac:dyDescent="0.25">
      <c r="A24" s="4" t="s">
        <v>10</v>
      </c>
      <c r="B24" s="4"/>
      <c r="C24" s="6" t="s">
        <v>62</v>
      </c>
      <c r="D24" s="4" t="s">
        <v>19</v>
      </c>
      <c r="E24" s="4" t="s">
        <v>96</v>
      </c>
      <c r="F24" s="4" t="s">
        <v>28</v>
      </c>
      <c r="G24" s="4" t="s">
        <v>29</v>
      </c>
      <c r="H24" s="4" t="s">
        <v>16</v>
      </c>
      <c r="I24" s="18">
        <v>120</v>
      </c>
      <c r="J24" s="4"/>
      <c r="K24" s="4"/>
      <c r="L24" s="4"/>
      <c r="M24" s="4" t="s">
        <v>31</v>
      </c>
    </row>
    <row r="25" spans="1:13" x14ac:dyDescent="0.25">
      <c r="A25" s="4" t="s">
        <v>10</v>
      </c>
      <c r="B25" s="4"/>
      <c r="C25" s="6" t="s">
        <v>63</v>
      </c>
      <c r="D25" s="4" t="s">
        <v>27</v>
      </c>
      <c r="E25" s="4" t="s">
        <v>96</v>
      </c>
      <c r="F25" s="4" t="s">
        <v>28</v>
      </c>
      <c r="G25" s="4" t="s">
        <v>29</v>
      </c>
      <c r="H25" s="4" t="s">
        <v>16</v>
      </c>
      <c r="I25" s="17">
        <v>70</v>
      </c>
      <c r="J25" s="4"/>
      <c r="K25" s="4"/>
      <c r="L25" s="4"/>
      <c r="M25" s="4" t="s">
        <v>31</v>
      </c>
    </row>
    <row r="26" spans="1:13" x14ac:dyDescent="0.25">
      <c r="A26" s="4" t="s">
        <v>10</v>
      </c>
      <c r="B26" s="4"/>
      <c r="C26" s="6" t="s">
        <v>64</v>
      </c>
      <c r="D26" s="4" t="s">
        <v>19</v>
      </c>
      <c r="E26" s="4" t="s">
        <v>96</v>
      </c>
      <c r="F26" s="4" t="s">
        <v>28</v>
      </c>
      <c r="G26" s="4" t="s">
        <v>29</v>
      </c>
      <c r="H26" s="4" t="s">
        <v>16</v>
      </c>
      <c r="I26" s="17">
        <v>60</v>
      </c>
      <c r="J26" s="4"/>
      <c r="K26" s="4"/>
      <c r="L26" s="4" t="s">
        <v>101</v>
      </c>
      <c r="M26" s="4" t="s">
        <v>31</v>
      </c>
    </row>
    <row r="27" spans="1:13" x14ac:dyDescent="0.25">
      <c r="A27" s="4" t="s">
        <v>10</v>
      </c>
      <c r="B27" s="4"/>
      <c r="C27" s="6" t="s">
        <v>65</v>
      </c>
      <c r="D27" s="4" t="s">
        <v>27</v>
      </c>
      <c r="E27" s="4" t="s">
        <v>96</v>
      </c>
      <c r="F27" s="4" t="s">
        <v>28</v>
      </c>
      <c r="G27" s="4" t="s">
        <v>29</v>
      </c>
      <c r="H27" s="4" t="s">
        <v>16</v>
      </c>
      <c r="I27" s="17">
        <v>70</v>
      </c>
      <c r="J27" s="4"/>
      <c r="K27" s="4"/>
      <c r="L27" s="4"/>
      <c r="M27" s="4" t="s">
        <v>31</v>
      </c>
    </row>
    <row r="28" spans="1:13" x14ac:dyDescent="0.25">
      <c r="A28" s="4" t="s">
        <v>10</v>
      </c>
      <c r="B28" s="4"/>
      <c r="C28" s="6" t="s">
        <v>66</v>
      </c>
      <c r="D28" s="4" t="s">
        <v>19</v>
      </c>
      <c r="E28" s="4" t="s">
        <v>96</v>
      </c>
      <c r="F28" s="4" t="s">
        <v>28</v>
      </c>
      <c r="G28" s="4" t="s">
        <v>29</v>
      </c>
      <c r="H28" s="4" t="s">
        <v>16</v>
      </c>
      <c r="I28" s="17">
        <v>60</v>
      </c>
      <c r="J28" s="4"/>
      <c r="K28" s="4"/>
      <c r="L28" s="4"/>
      <c r="M28" s="4" t="s">
        <v>31</v>
      </c>
    </row>
    <row r="29" spans="1:13" x14ac:dyDescent="0.25">
      <c r="A29" s="4" t="s">
        <v>10</v>
      </c>
      <c r="B29" s="4"/>
      <c r="C29" s="4" t="s">
        <v>67</v>
      </c>
      <c r="D29" s="4" t="s">
        <v>27</v>
      </c>
      <c r="E29" s="4" t="s">
        <v>96</v>
      </c>
      <c r="F29" s="4" t="s">
        <v>28</v>
      </c>
      <c r="G29" s="4" t="s">
        <v>29</v>
      </c>
      <c r="H29" s="4" t="s">
        <v>16</v>
      </c>
      <c r="I29" s="17">
        <v>70</v>
      </c>
      <c r="J29" s="4"/>
      <c r="K29" s="4"/>
      <c r="L29" s="4"/>
      <c r="M29" s="4" t="s">
        <v>31</v>
      </c>
    </row>
    <row r="30" spans="1:13" x14ac:dyDescent="0.25">
      <c r="A30" s="4" t="s">
        <v>10</v>
      </c>
      <c r="B30" s="4"/>
      <c r="C30" s="4" t="s">
        <v>68</v>
      </c>
      <c r="D30" s="4" t="s">
        <v>19</v>
      </c>
      <c r="E30" s="4" t="s">
        <v>96</v>
      </c>
      <c r="F30" s="4" t="s">
        <v>28</v>
      </c>
      <c r="G30" s="4" t="s">
        <v>29</v>
      </c>
      <c r="H30" s="4" t="s">
        <v>16</v>
      </c>
      <c r="I30" s="17">
        <v>60</v>
      </c>
      <c r="J30" s="4"/>
      <c r="K30" s="4"/>
      <c r="L30" s="4"/>
      <c r="M30" s="4" t="s">
        <v>31</v>
      </c>
    </row>
    <row r="31" spans="1:13" x14ac:dyDescent="0.25">
      <c r="A31" s="4" t="s">
        <v>10</v>
      </c>
      <c r="B31" s="4"/>
      <c r="C31" s="4" t="s">
        <v>69</v>
      </c>
      <c r="D31" s="4" t="s">
        <v>27</v>
      </c>
      <c r="E31" s="4" t="s">
        <v>96</v>
      </c>
      <c r="F31" s="4" t="s">
        <v>35</v>
      </c>
      <c r="G31" s="4" t="s">
        <v>41</v>
      </c>
      <c r="H31" s="4" t="s">
        <v>16</v>
      </c>
      <c r="I31" s="17">
        <v>70</v>
      </c>
      <c r="J31" s="4"/>
      <c r="K31" s="4"/>
      <c r="L31" s="4"/>
      <c r="M31" s="4" t="s">
        <v>37</v>
      </c>
    </row>
    <row r="32" spans="1:13" x14ac:dyDescent="0.25">
      <c r="A32" s="4" t="s">
        <v>10</v>
      </c>
      <c r="B32" s="4"/>
      <c r="C32" s="4" t="s">
        <v>70</v>
      </c>
      <c r="D32" s="4" t="s">
        <v>19</v>
      </c>
      <c r="E32" s="4" t="s">
        <v>96</v>
      </c>
      <c r="F32" s="4" t="s">
        <v>28</v>
      </c>
      <c r="G32" s="4" t="s">
        <v>29</v>
      </c>
      <c r="H32" s="4" t="s">
        <v>16</v>
      </c>
      <c r="I32" s="17">
        <v>60</v>
      </c>
      <c r="J32" s="4"/>
      <c r="K32" s="4"/>
      <c r="L32" s="4"/>
      <c r="M32" s="4" t="s">
        <v>31</v>
      </c>
    </row>
    <row r="33" spans="1:13" x14ac:dyDescent="0.25">
      <c r="A33" s="4" t="s">
        <v>10</v>
      </c>
      <c r="B33" s="4"/>
      <c r="C33" s="4" t="s">
        <v>71</v>
      </c>
      <c r="D33" s="4" t="s">
        <v>27</v>
      </c>
      <c r="E33" s="4" t="s">
        <v>96</v>
      </c>
      <c r="F33" s="4" t="s">
        <v>35</v>
      </c>
      <c r="G33" s="4" t="s">
        <v>41</v>
      </c>
      <c r="H33" s="4" t="s">
        <v>16</v>
      </c>
      <c r="I33" s="17">
        <v>70</v>
      </c>
      <c r="J33" s="4"/>
      <c r="K33" s="4"/>
      <c r="L33" s="4"/>
      <c r="M33" s="4" t="s">
        <v>37</v>
      </c>
    </row>
    <row r="34" spans="1:13" x14ac:dyDescent="0.25">
      <c r="A34" s="4" t="s">
        <v>10</v>
      </c>
      <c r="B34" s="4"/>
      <c r="C34" s="4" t="s">
        <v>72</v>
      </c>
      <c r="D34" s="4" t="s">
        <v>19</v>
      </c>
      <c r="E34" s="4" t="s">
        <v>96</v>
      </c>
      <c r="F34" s="4" t="s">
        <v>28</v>
      </c>
      <c r="G34" s="4" t="s">
        <v>29</v>
      </c>
      <c r="H34" s="4" t="s">
        <v>16</v>
      </c>
      <c r="I34" s="17">
        <v>60</v>
      </c>
      <c r="J34" s="4"/>
      <c r="K34" s="4"/>
      <c r="L34" s="4"/>
      <c r="M34" s="4" t="s">
        <v>31</v>
      </c>
    </row>
    <row r="35" spans="1:13" x14ac:dyDescent="0.25">
      <c r="A35" s="4" t="s">
        <v>10</v>
      </c>
      <c r="B35" s="4"/>
      <c r="C35" s="4" t="s">
        <v>73</v>
      </c>
      <c r="D35" s="4" t="s">
        <v>27</v>
      </c>
      <c r="E35" s="4" t="s">
        <v>96</v>
      </c>
      <c r="F35" s="4" t="s">
        <v>35</v>
      </c>
      <c r="G35" s="4" t="s">
        <v>41</v>
      </c>
      <c r="H35" s="4" t="s">
        <v>16</v>
      </c>
      <c r="I35" s="17">
        <v>70</v>
      </c>
      <c r="J35" s="4"/>
      <c r="K35" s="4"/>
      <c r="L35" s="4"/>
      <c r="M35" s="4" t="s">
        <v>37</v>
      </c>
    </row>
    <row r="36" spans="1:13" x14ac:dyDescent="0.25">
      <c r="A36" s="4" t="s">
        <v>10</v>
      </c>
      <c r="B36" s="4"/>
      <c r="C36" s="4" t="s">
        <v>74</v>
      </c>
      <c r="D36" s="4" t="s">
        <v>34</v>
      </c>
      <c r="E36" s="4" t="s">
        <v>96</v>
      </c>
      <c r="F36" s="4" t="s">
        <v>35</v>
      </c>
      <c r="G36" s="4" t="s">
        <v>41</v>
      </c>
      <c r="H36" s="4" t="s">
        <v>16</v>
      </c>
      <c r="I36" s="17">
        <v>40</v>
      </c>
      <c r="J36" s="4"/>
      <c r="K36" s="4"/>
      <c r="L36" s="4"/>
      <c r="M36" s="4" t="s">
        <v>37</v>
      </c>
    </row>
    <row r="37" spans="1:13" x14ac:dyDescent="0.25">
      <c r="A37" s="4" t="s">
        <v>10</v>
      </c>
      <c r="B37" s="4"/>
      <c r="C37" s="4" t="s">
        <v>75</v>
      </c>
      <c r="D37" s="4" t="s">
        <v>34</v>
      </c>
      <c r="E37" s="4" t="s">
        <v>96</v>
      </c>
      <c r="F37" s="4" t="s">
        <v>35</v>
      </c>
      <c r="G37" s="4" t="s">
        <v>41</v>
      </c>
      <c r="H37" s="4" t="s">
        <v>16</v>
      </c>
      <c r="I37" s="17">
        <v>40</v>
      </c>
      <c r="J37" s="4"/>
      <c r="K37" s="4"/>
      <c r="L37" s="4"/>
      <c r="M37" s="4" t="s">
        <v>37</v>
      </c>
    </row>
    <row r="38" spans="1:13" x14ac:dyDescent="0.25">
      <c r="A38" s="4" t="s">
        <v>10</v>
      </c>
      <c r="B38" s="4"/>
      <c r="C38" s="4" t="s">
        <v>76</v>
      </c>
      <c r="D38" s="4" t="s">
        <v>34</v>
      </c>
      <c r="E38" s="4" t="s">
        <v>96</v>
      </c>
      <c r="F38" s="4" t="s">
        <v>35</v>
      </c>
      <c r="G38" s="4" t="s">
        <v>41</v>
      </c>
      <c r="H38" s="4" t="s">
        <v>16</v>
      </c>
      <c r="I38" s="17">
        <v>40</v>
      </c>
      <c r="J38" s="4"/>
      <c r="K38" s="4"/>
      <c r="L38" s="4"/>
      <c r="M38" s="4" t="s">
        <v>37</v>
      </c>
    </row>
    <row r="39" spans="1:13" x14ac:dyDescent="0.25">
      <c r="A39" s="4" t="s">
        <v>10</v>
      </c>
      <c r="B39" s="4"/>
      <c r="C39" s="4" t="s">
        <v>77</v>
      </c>
      <c r="D39" s="4" t="s">
        <v>34</v>
      </c>
      <c r="E39" s="4" t="s">
        <v>96</v>
      </c>
      <c r="F39" s="4" t="s">
        <v>35</v>
      </c>
      <c r="G39" s="4" t="s">
        <v>41</v>
      </c>
      <c r="H39" s="4" t="s">
        <v>16</v>
      </c>
      <c r="I39" s="17">
        <v>40</v>
      </c>
      <c r="J39" s="4"/>
      <c r="K39" s="4"/>
      <c r="L39" s="4"/>
      <c r="M39" s="4" t="s">
        <v>37</v>
      </c>
    </row>
    <row r="40" spans="1:13" x14ac:dyDescent="0.25">
      <c r="A40" s="4" t="s">
        <v>10</v>
      </c>
      <c r="B40" s="4"/>
      <c r="C40" s="4" t="s">
        <v>78</v>
      </c>
      <c r="D40" s="4" t="s">
        <v>34</v>
      </c>
      <c r="E40" s="4" t="s">
        <v>96</v>
      </c>
      <c r="F40" s="4" t="s">
        <v>35</v>
      </c>
      <c r="G40" s="4" t="s">
        <v>41</v>
      </c>
      <c r="H40" s="4" t="s">
        <v>16</v>
      </c>
      <c r="I40" s="17">
        <v>40</v>
      </c>
      <c r="J40" s="4"/>
      <c r="K40" s="4"/>
      <c r="L40" s="4"/>
      <c r="M40" s="4" t="s">
        <v>37</v>
      </c>
    </row>
    <row r="41" spans="1:13" x14ac:dyDescent="0.25">
      <c r="A41" s="4" t="s">
        <v>10</v>
      </c>
      <c r="B41" s="4"/>
      <c r="C41" s="4" t="s">
        <v>80</v>
      </c>
      <c r="D41" s="4" t="s">
        <v>34</v>
      </c>
      <c r="E41" s="4" t="s">
        <v>96</v>
      </c>
      <c r="F41" s="4" t="s">
        <v>35</v>
      </c>
      <c r="G41" s="4" t="s">
        <v>44</v>
      </c>
      <c r="H41" s="4" t="s">
        <v>16</v>
      </c>
      <c r="I41" s="20">
        <f>(182*8)*0.75</f>
        <v>1092</v>
      </c>
      <c r="J41" s="4"/>
      <c r="K41" s="4"/>
      <c r="L41" s="6" t="s">
        <v>102</v>
      </c>
      <c r="M41" s="4" t="s">
        <v>23</v>
      </c>
    </row>
    <row r="42" spans="1:13" x14ac:dyDescent="0.25">
      <c r="A42" s="4" t="s">
        <v>10</v>
      </c>
      <c r="B42" s="4"/>
      <c r="C42" s="4" t="s">
        <v>81</v>
      </c>
      <c r="D42" s="4" t="s">
        <v>34</v>
      </c>
      <c r="E42" s="4" t="s">
        <v>96</v>
      </c>
      <c r="F42" s="4" t="s">
        <v>35</v>
      </c>
      <c r="G42" s="4" t="s">
        <v>36</v>
      </c>
      <c r="H42" s="4" t="s">
        <v>16</v>
      </c>
      <c r="I42" s="20">
        <f>(182*18)*0.75</f>
        <v>2457</v>
      </c>
      <c r="J42" s="4"/>
      <c r="K42" s="4"/>
      <c r="L42" s="21" t="s">
        <v>102</v>
      </c>
      <c r="M42" s="4" t="s">
        <v>23</v>
      </c>
    </row>
    <row r="43" spans="1:13" x14ac:dyDescent="0.25">
      <c r="A43" s="4" t="s">
        <v>10</v>
      </c>
      <c r="B43" s="4"/>
      <c r="C43" s="4" t="s">
        <v>82</v>
      </c>
      <c r="D43" s="4" t="s">
        <v>34</v>
      </c>
      <c r="E43" s="4" t="s">
        <v>96</v>
      </c>
      <c r="F43" s="4" t="s">
        <v>35</v>
      </c>
      <c r="G43" s="4" t="s">
        <v>44</v>
      </c>
      <c r="H43" s="4" t="s">
        <v>16</v>
      </c>
      <c r="I43" s="20">
        <f>(182*12)*0.75</f>
        <v>1638</v>
      </c>
      <c r="J43" s="4"/>
      <c r="K43" s="4"/>
      <c r="L43" s="6" t="s">
        <v>102</v>
      </c>
      <c r="M43" s="4" t="s">
        <v>23</v>
      </c>
    </row>
    <row r="44" spans="1:13" x14ac:dyDescent="0.25">
      <c r="A44" s="4" t="s">
        <v>10</v>
      </c>
      <c r="B44" s="4"/>
      <c r="C44" s="4" t="s">
        <v>83</v>
      </c>
      <c r="D44" s="4" t="s">
        <v>34</v>
      </c>
      <c r="E44" s="4" t="s">
        <v>96</v>
      </c>
      <c r="F44" s="4" t="s">
        <v>35</v>
      </c>
      <c r="G44" s="4" t="s">
        <v>44</v>
      </c>
      <c r="H44" s="4" t="s">
        <v>16</v>
      </c>
      <c r="I44" s="20">
        <f>(72*10)</f>
        <v>720</v>
      </c>
      <c r="J44" s="4"/>
      <c r="K44" s="4"/>
      <c r="L44" s="6" t="s">
        <v>103</v>
      </c>
      <c r="M44" s="4" t="s">
        <v>23</v>
      </c>
    </row>
    <row r="45" spans="1:13" x14ac:dyDescent="0.25">
      <c r="A45" s="4" t="s">
        <v>25</v>
      </c>
      <c r="B45" s="4"/>
      <c r="C45" s="4" t="s">
        <v>84</v>
      </c>
      <c r="D45" s="4" t="s">
        <v>25</v>
      </c>
      <c r="E45" s="4" t="s">
        <v>25</v>
      </c>
      <c r="F45" s="4" t="s">
        <v>25</v>
      </c>
      <c r="G45" s="4" t="s">
        <v>25</v>
      </c>
      <c r="H45" s="4" t="s">
        <v>25</v>
      </c>
      <c r="I45" s="20" t="s">
        <v>25</v>
      </c>
      <c r="J45" s="4"/>
      <c r="K45" s="4"/>
      <c r="L45" s="4"/>
      <c r="M45" s="4"/>
    </row>
    <row r="46" spans="1:13" x14ac:dyDescent="0.25">
      <c r="I46" s="12">
        <f>SUM(I2:I45)</f>
        <v>10927</v>
      </c>
    </row>
  </sheetData>
  <autoFilter ref="A1:M46" xr:uid="{E9AE1EFE-7FF9-4599-808A-CF00655066B5}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AD84A-0BD7-4600-AB89-B779011F3629}">
  <sheetPr codeName="Sheet7" filterMode="1"/>
  <dimension ref="A1:N47"/>
  <sheetViews>
    <sheetView zoomScaleNormal="100" workbookViewId="0">
      <pane ySplit="1" topLeftCell="A3" activePane="bottomLeft" state="frozen"/>
      <selection activeCell="A2" sqref="A2:C47"/>
      <selection pane="bottomLeft" activeCell="A2" sqref="A2:C47"/>
    </sheetView>
  </sheetViews>
  <sheetFormatPr defaultColWidth="9.09765625" defaultRowHeight="13.2" x14ac:dyDescent="0.25"/>
  <cols>
    <col min="1" max="1" width="7" style="7" customWidth="1"/>
    <col min="2" max="2" width="9.296875" style="7" hidden="1" customWidth="1"/>
    <col min="3" max="3" width="11.296875" style="7" hidden="1" customWidth="1"/>
    <col min="4" max="4" width="48" style="7" customWidth="1"/>
    <col min="5" max="5" width="8.8984375" style="7" customWidth="1"/>
    <col min="6" max="6" width="13.59765625" style="7" bestFit="1" customWidth="1"/>
    <col min="7" max="7" width="18.8984375" style="7" customWidth="1"/>
    <col min="8" max="8" width="20.296875" style="7" customWidth="1"/>
    <col min="9" max="9" width="10" style="7" customWidth="1"/>
    <col min="10" max="10" width="11" style="14" bestFit="1" customWidth="1"/>
    <col min="11" max="11" width="10.59765625" style="7" customWidth="1"/>
    <col min="12" max="12" width="10.09765625" style="7" customWidth="1"/>
    <col min="13" max="13" width="30.69921875" style="7" customWidth="1"/>
    <col min="14" max="14" width="32.3984375" style="7" bestFit="1" customWidth="1"/>
    <col min="15" max="16384" width="9.09765625" style="7"/>
  </cols>
  <sheetData>
    <row r="1" spans="1:14" s="10" customFormat="1" ht="39.6" x14ac:dyDescent="0.25">
      <c r="A1" s="2" t="s">
        <v>111</v>
      </c>
      <c r="B1" s="2" t="s">
        <v>2</v>
      </c>
      <c r="C1" s="8" t="s">
        <v>85</v>
      </c>
      <c r="D1" s="2" t="s">
        <v>3</v>
      </c>
      <c r="E1" s="2" t="s">
        <v>4</v>
      </c>
      <c r="F1" s="2" t="s">
        <v>86</v>
      </c>
      <c r="G1" s="2" t="s">
        <v>5</v>
      </c>
      <c r="H1" s="2" t="s">
        <v>6</v>
      </c>
      <c r="I1" s="2" t="s">
        <v>7</v>
      </c>
      <c r="J1" s="2" t="s">
        <v>112</v>
      </c>
      <c r="K1" s="2" t="s">
        <v>94</v>
      </c>
      <c r="L1" s="2" t="s">
        <v>95</v>
      </c>
      <c r="M1" s="2" t="s">
        <v>91</v>
      </c>
      <c r="N1" s="2" t="s">
        <v>8</v>
      </c>
    </row>
    <row r="2" spans="1:14" hidden="1" x14ac:dyDescent="0.25">
      <c r="A2" s="4"/>
      <c r="B2" s="4"/>
      <c r="C2" s="4"/>
      <c r="D2" s="4" t="s">
        <v>84</v>
      </c>
      <c r="E2" s="4" t="s">
        <v>34</v>
      </c>
      <c r="F2" s="4" t="s">
        <v>96</v>
      </c>
      <c r="G2" s="4"/>
      <c r="H2" s="4"/>
      <c r="I2" s="4" t="s">
        <v>16</v>
      </c>
      <c r="J2" s="13">
        <v>40</v>
      </c>
      <c r="K2" s="4"/>
      <c r="L2" s="4"/>
      <c r="M2" s="4"/>
      <c r="N2" s="4"/>
    </row>
    <row r="3" spans="1:14" x14ac:dyDescent="0.25">
      <c r="A3" s="4" t="s">
        <v>10</v>
      </c>
      <c r="B3" s="4" t="s">
        <v>11</v>
      </c>
      <c r="C3" s="4"/>
      <c r="D3" s="4" t="s">
        <v>12</v>
      </c>
      <c r="E3" s="4" t="s">
        <v>13</v>
      </c>
      <c r="F3" s="4" t="s">
        <v>96</v>
      </c>
      <c r="G3" s="4" t="s">
        <v>14</v>
      </c>
      <c r="H3" s="4" t="s">
        <v>15</v>
      </c>
      <c r="I3" s="4" t="s">
        <v>16</v>
      </c>
      <c r="J3" s="22">
        <v>100</v>
      </c>
      <c r="K3" s="4"/>
      <c r="L3" s="4"/>
      <c r="M3" s="4"/>
      <c r="N3" s="4" t="s">
        <v>107</v>
      </c>
    </row>
    <row r="4" spans="1:14" hidden="1" x14ac:dyDescent="0.25">
      <c r="A4" s="4" t="s">
        <v>11</v>
      </c>
      <c r="B4" s="4" t="s">
        <v>10</v>
      </c>
      <c r="C4" s="4"/>
      <c r="D4" s="4" t="s">
        <v>18</v>
      </c>
      <c r="E4" s="4" t="s">
        <v>13</v>
      </c>
      <c r="F4" s="4" t="s">
        <v>96</v>
      </c>
      <c r="G4" s="4" t="s">
        <v>14</v>
      </c>
      <c r="H4" s="4" t="s">
        <v>15</v>
      </c>
      <c r="I4" s="4" t="s">
        <v>16</v>
      </c>
      <c r="J4" s="13">
        <v>200</v>
      </c>
      <c r="K4" s="4"/>
      <c r="L4" s="4"/>
      <c r="M4" s="4"/>
      <c r="N4" s="4" t="s">
        <v>107</v>
      </c>
    </row>
    <row r="5" spans="1:14" hidden="1" x14ac:dyDescent="0.25">
      <c r="A5" s="4" t="s">
        <v>10</v>
      </c>
      <c r="B5" s="4" t="s">
        <v>10</v>
      </c>
      <c r="C5" s="4"/>
      <c r="D5" s="4" t="s">
        <v>26</v>
      </c>
      <c r="E5" s="4" t="s">
        <v>13</v>
      </c>
      <c r="F5" s="4" t="s">
        <v>96</v>
      </c>
      <c r="G5" s="4" t="s">
        <v>20</v>
      </c>
      <c r="H5" s="4" t="s">
        <v>21</v>
      </c>
      <c r="I5" s="4" t="s">
        <v>16</v>
      </c>
      <c r="J5" s="22" t="s">
        <v>25</v>
      </c>
      <c r="K5" s="4"/>
      <c r="L5" s="4"/>
      <c r="M5" s="4"/>
      <c r="N5" s="4" t="s">
        <v>23</v>
      </c>
    </row>
    <row r="6" spans="1:14" hidden="1" x14ac:dyDescent="0.25">
      <c r="A6" s="4" t="s">
        <v>10</v>
      </c>
      <c r="B6" s="4" t="s">
        <v>10</v>
      </c>
      <c r="C6" s="4"/>
      <c r="D6" s="4" t="s">
        <v>33</v>
      </c>
      <c r="E6" s="4" t="s">
        <v>13</v>
      </c>
      <c r="F6" s="4" t="s">
        <v>96</v>
      </c>
      <c r="G6" s="4" t="s">
        <v>20</v>
      </c>
      <c r="H6" s="4" t="s">
        <v>21</v>
      </c>
      <c r="I6" s="4" t="s">
        <v>16</v>
      </c>
      <c r="J6" s="22" t="s">
        <v>25</v>
      </c>
      <c r="K6" s="4"/>
      <c r="L6" s="4"/>
      <c r="M6" s="4"/>
      <c r="N6" s="4" t="s">
        <v>23</v>
      </c>
    </row>
    <row r="7" spans="1:14" x14ac:dyDescent="0.25">
      <c r="A7" s="4" t="s">
        <v>10</v>
      </c>
      <c r="B7" s="4" t="s">
        <v>10</v>
      </c>
      <c r="C7" s="4"/>
      <c r="D7" s="4" t="s">
        <v>45</v>
      </c>
      <c r="E7" s="4" t="s">
        <v>19</v>
      </c>
      <c r="F7" s="4" t="s">
        <v>96</v>
      </c>
      <c r="G7" s="4" t="s">
        <v>28</v>
      </c>
      <c r="H7" s="4" t="s">
        <v>29</v>
      </c>
      <c r="I7" s="4" t="s">
        <v>16</v>
      </c>
      <c r="J7" s="13">
        <v>60</v>
      </c>
      <c r="K7" s="4"/>
      <c r="L7" s="4"/>
      <c r="M7" s="4"/>
      <c r="N7" s="4" t="s">
        <v>31</v>
      </c>
    </row>
    <row r="8" spans="1:14" x14ac:dyDescent="0.25">
      <c r="A8" s="4" t="s">
        <v>10</v>
      </c>
      <c r="B8" s="4" t="s">
        <v>10</v>
      </c>
      <c r="C8" s="4"/>
      <c r="D8" s="4" t="s">
        <v>47</v>
      </c>
      <c r="E8" s="4" t="s">
        <v>13</v>
      </c>
      <c r="F8" s="4" t="s">
        <v>96</v>
      </c>
      <c r="G8" s="4" t="s">
        <v>20</v>
      </c>
      <c r="H8" s="4" t="s">
        <v>21</v>
      </c>
      <c r="I8" s="4" t="s">
        <v>16</v>
      </c>
      <c r="J8" s="13">
        <v>20</v>
      </c>
      <c r="K8" s="4"/>
      <c r="L8" s="4"/>
      <c r="M8" s="4"/>
      <c r="N8" s="4" t="s">
        <v>23</v>
      </c>
    </row>
    <row r="9" spans="1:14" x14ac:dyDescent="0.25">
      <c r="A9" s="4" t="s">
        <v>10</v>
      </c>
      <c r="B9" s="4" t="s">
        <v>10</v>
      </c>
      <c r="C9" s="4"/>
      <c r="D9" s="4" t="s">
        <v>48</v>
      </c>
      <c r="E9" s="4" t="s">
        <v>19</v>
      </c>
      <c r="F9" s="4" t="s">
        <v>96</v>
      </c>
      <c r="G9" s="4" t="s">
        <v>20</v>
      </c>
      <c r="H9" s="4" t="s">
        <v>21</v>
      </c>
      <c r="I9" s="4" t="s">
        <v>16</v>
      </c>
      <c r="J9" s="13">
        <v>120</v>
      </c>
      <c r="K9" s="4"/>
      <c r="L9" s="4"/>
      <c r="M9" s="4"/>
      <c r="N9" s="4" t="s">
        <v>23</v>
      </c>
    </row>
    <row r="10" spans="1:14" hidden="1" x14ac:dyDescent="0.25">
      <c r="A10" s="4" t="s">
        <v>10</v>
      </c>
      <c r="B10" s="4" t="s">
        <v>10</v>
      </c>
      <c r="C10" s="4"/>
      <c r="D10" s="4" t="s">
        <v>49</v>
      </c>
      <c r="E10" s="4" t="s">
        <v>27</v>
      </c>
      <c r="F10" s="4" t="s">
        <v>96</v>
      </c>
      <c r="G10" s="4" t="s">
        <v>20</v>
      </c>
      <c r="H10" s="4" t="s">
        <v>21</v>
      </c>
      <c r="I10" s="4" t="s">
        <v>16</v>
      </c>
      <c r="J10" s="22" t="s">
        <v>25</v>
      </c>
      <c r="K10" s="4"/>
      <c r="L10" s="4"/>
      <c r="M10" s="4"/>
      <c r="N10" s="4" t="s">
        <v>23</v>
      </c>
    </row>
    <row r="11" spans="1:14" hidden="1" x14ac:dyDescent="0.25">
      <c r="A11" s="4" t="s">
        <v>10</v>
      </c>
      <c r="B11" s="4" t="s">
        <v>10</v>
      </c>
      <c r="C11" s="4"/>
      <c r="D11" s="4" t="s">
        <v>51</v>
      </c>
      <c r="E11" s="4" t="s">
        <v>19</v>
      </c>
      <c r="F11" s="4" t="s">
        <v>96</v>
      </c>
      <c r="G11" s="4" t="s">
        <v>28</v>
      </c>
      <c r="H11" s="4" t="s">
        <v>29</v>
      </c>
      <c r="I11" s="4" t="s">
        <v>16</v>
      </c>
      <c r="J11" s="22" t="s">
        <v>25</v>
      </c>
      <c r="K11" s="4"/>
      <c r="L11" s="4"/>
      <c r="M11" s="4" t="s">
        <v>98</v>
      </c>
      <c r="N11" s="4" t="s">
        <v>31</v>
      </c>
    </row>
    <row r="12" spans="1:14" hidden="1" x14ac:dyDescent="0.25">
      <c r="A12" s="4" t="s">
        <v>10</v>
      </c>
      <c r="B12" s="4" t="s">
        <v>10</v>
      </c>
      <c r="C12" s="4"/>
      <c r="D12" s="4" t="s">
        <v>52</v>
      </c>
      <c r="E12" s="4" t="s">
        <v>19</v>
      </c>
      <c r="F12" s="4" t="s">
        <v>96</v>
      </c>
      <c r="G12" s="4" t="s">
        <v>28</v>
      </c>
      <c r="H12" s="4" t="s">
        <v>29</v>
      </c>
      <c r="I12" s="4" t="s">
        <v>16</v>
      </c>
      <c r="J12" s="22" t="s">
        <v>25</v>
      </c>
      <c r="K12" s="4"/>
      <c r="L12" s="4"/>
      <c r="M12" s="4"/>
      <c r="N12" s="4" t="s">
        <v>31</v>
      </c>
    </row>
    <row r="13" spans="1:14" hidden="1" x14ac:dyDescent="0.25">
      <c r="A13" s="4" t="s">
        <v>10</v>
      </c>
      <c r="B13" s="4" t="s">
        <v>10</v>
      </c>
      <c r="C13" s="4"/>
      <c r="D13" s="4" t="s">
        <v>53</v>
      </c>
      <c r="E13" s="4" t="s">
        <v>19</v>
      </c>
      <c r="F13" s="4" t="s">
        <v>96</v>
      </c>
      <c r="G13" s="4" t="s">
        <v>28</v>
      </c>
      <c r="H13" s="4" t="s">
        <v>29</v>
      </c>
      <c r="I13" s="4" t="s">
        <v>16</v>
      </c>
      <c r="J13" s="22" t="s">
        <v>25</v>
      </c>
      <c r="K13" s="4"/>
      <c r="L13" s="4"/>
      <c r="M13" s="4"/>
      <c r="N13" s="4" t="s">
        <v>31</v>
      </c>
    </row>
    <row r="14" spans="1:14" x14ac:dyDescent="0.25">
      <c r="A14" s="4" t="s">
        <v>10</v>
      </c>
      <c r="B14" s="4" t="s">
        <v>10</v>
      </c>
      <c r="C14" s="4"/>
      <c r="D14" s="4" t="s">
        <v>54</v>
      </c>
      <c r="E14" s="4" t="s">
        <v>19</v>
      </c>
      <c r="F14" s="4" t="s">
        <v>96</v>
      </c>
      <c r="G14" s="4" t="s">
        <v>14</v>
      </c>
      <c r="H14" s="4" t="s">
        <v>36</v>
      </c>
      <c r="I14" s="4" t="s">
        <v>16</v>
      </c>
      <c r="J14" s="13">
        <v>60</v>
      </c>
      <c r="K14" s="4"/>
      <c r="L14" s="4"/>
      <c r="M14" s="4"/>
      <c r="N14" s="4" t="s">
        <v>23</v>
      </c>
    </row>
    <row r="15" spans="1:14" x14ac:dyDescent="0.25">
      <c r="A15" s="4" t="s">
        <v>10</v>
      </c>
      <c r="B15" s="4" t="s">
        <v>10</v>
      </c>
      <c r="C15" s="4"/>
      <c r="D15" s="4" t="s">
        <v>55</v>
      </c>
      <c r="E15" s="4" t="s">
        <v>19</v>
      </c>
      <c r="F15" s="4" t="s">
        <v>96</v>
      </c>
      <c r="G15" s="4" t="s">
        <v>14</v>
      </c>
      <c r="H15" s="4" t="s">
        <v>36</v>
      </c>
      <c r="I15" s="4" t="s">
        <v>16</v>
      </c>
      <c r="J15" s="13">
        <v>70</v>
      </c>
      <c r="K15" s="4"/>
      <c r="L15" s="4"/>
      <c r="M15" s="4"/>
      <c r="N15" s="4" t="s">
        <v>23</v>
      </c>
    </row>
    <row r="16" spans="1:14" x14ac:dyDescent="0.25">
      <c r="A16" s="4" t="s">
        <v>10</v>
      </c>
      <c r="B16" s="4" t="s">
        <v>10</v>
      </c>
      <c r="C16" s="4"/>
      <c r="D16" s="4" t="s">
        <v>56</v>
      </c>
      <c r="E16" s="4" t="s">
        <v>19</v>
      </c>
      <c r="F16" s="4" t="s">
        <v>96</v>
      </c>
      <c r="G16" s="4" t="s">
        <v>28</v>
      </c>
      <c r="H16" s="4" t="s">
        <v>29</v>
      </c>
      <c r="I16" s="4" t="s">
        <v>16</v>
      </c>
      <c r="J16" s="13">
        <v>60</v>
      </c>
      <c r="K16" s="4"/>
      <c r="L16" s="4"/>
      <c r="M16" s="4"/>
      <c r="N16" s="4" t="s">
        <v>31</v>
      </c>
    </row>
    <row r="17" spans="1:14" hidden="1" x14ac:dyDescent="0.25">
      <c r="A17" s="4" t="s">
        <v>10</v>
      </c>
      <c r="B17" s="4" t="s">
        <v>10</v>
      </c>
      <c r="C17" s="4"/>
      <c r="D17" s="4" t="s">
        <v>57</v>
      </c>
      <c r="E17" s="4" t="s">
        <v>27</v>
      </c>
      <c r="F17" s="4" t="s">
        <v>96</v>
      </c>
      <c r="G17" s="4" t="s">
        <v>28</v>
      </c>
      <c r="H17" s="4" t="s">
        <v>29</v>
      </c>
      <c r="I17" s="4" t="s">
        <v>16</v>
      </c>
      <c r="J17" s="22" t="s">
        <v>25</v>
      </c>
      <c r="K17" s="4"/>
      <c r="L17" s="4"/>
      <c r="M17" s="4"/>
      <c r="N17" s="4" t="s">
        <v>31</v>
      </c>
    </row>
    <row r="18" spans="1:14" x14ac:dyDescent="0.25">
      <c r="A18" s="4" t="s">
        <v>10</v>
      </c>
      <c r="B18" s="4" t="s">
        <v>10</v>
      </c>
      <c r="C18" s="4"/>
      <c r="D18" s="4" t="s">
        <v>58</v>
      </c>
      <c r="E18" s="4" t="s">
        <v>19</v>
      </c>
      <c r="F18" s="4" t="s">
        <v>96</v>
      </c>
      <c r="G18" s="4" t="s">
        <v>28</v>
      </c>
      <c r="H18" s="4" t="s">
        <v>29</v>
      </c>
      <c r="I18" s="4" t="s">
        <v>16</v>
      </c>
      <c r="J18" s="13">
        <v>60</v>
      </c>
      <c r="K18" s="4"/>
      <c r="L18" s="4"/>
      <c r="M18" s="4"/>
      <c r="N18" s="4" t="s">
        <v>31</v>
      </c>
    </row>
    <row r="19" spans="1:14" x14ac:dyDescent="0.25">
      <c r="A19" s="4" t="s">
        <v>10</v>
      </c>
      <c r="B19" s="4" t="s">
        <v>10</v>
      </c>
      <c r="C19" s="4"/>
      <c r="D19" s="4" t="s">
        <v>59</v>
      </c>
      <c r="E19" s="4" t="s">
        <v>27</v>
      </c>
      <c r="F19" s="4" t="s">
        <v>96</v>
      </c>
      <c r="G19" s="4" t="s">
        <v>28</v>
      </c>
      <c r="H19" s="4" t="s">
        <v>29</v>
      </c>
      <c r="I19" s="4" t="s">
        <v>16</v>
      </c>
      <c r="J19" s="13">
        <v>70</v>
      </c>
      <c r="K19" s="4"/>
      <c r="L19" s="4"/>
      <c r="M19" s="4"/>
      <c r="N19" s="4" t="s">
        <v>31</v>
      </c>
    </row>
    <row r="20" spans="1:14" x14ac:dyDescent="0.25">
      <c r="A20" s="4" t="s">
        <v>10</v>
      </c>
      <c r="B20" s="4" t="s">
        <v>10</v>
      </c>
      <c r="C20" s="4"/>
      <c r="D20" s="4" t="s">
        <v>60</v>
      </c>
      <c r="E20" s="4" t="s">
        <v>19</v>
      </c>
      <c r="F20" s="4" t="s">
        <v>96</v>
      </c>
      <c r="G20" s="4" t="s">
        <v>28</v>
      </c>
      <c r="H20" s="4" t="s">
        <v>29</v>
      </c>
      <c r="I20" s="4" t="s">
        <v>16</v>
      </c>
      <c r="J20" s="13">
        <v>60</v>
      </c>
      <c r="K20" s="4"/>
      <c r="L20" s="4"/>
      <c r="M20" s="4"/>
      <c r="N20" s="4" t="s">
        <v>31</v>
      </c>
    </row>
    <row r="21" spans="1:14" x14ac:dyDescent="0.25">
      <c r="A21" s="4" t="s">
        <v>10</v>
      </c>
      <c r="B21" s="4" t="s">
        <v>10</v>
      </c>
      <c r="C21" s="4"/>
      <c r="D21" s="4" t="s">
        <v>61</v>
      </c>
      <c r="E21" s="4" t="s">
        <v>27</v>
      </c>
      <c r="F21" s="4" t="s">
        <v>96</v>
      </c>
      <c r="G21" s="4" t="s">
        <v>28</v>
      </c>
      <c r="H21" s="4" t="s">
        <v>29</v>
      </c>
      <c r="I21" s="4" t="s">
        <v>16</v>
      </c>
      <c r="J21" s="13">
        <v>70</v>
      </c>
      <c r="K21" s="4"/>
      <c r="L21" s="4"/>
      <c r="M21" s="4"/>
      <c r="N21" s="4" t="s">
        <v>31</v>
      </c>
    </row>
    <row r="22" spans="1:14" hidden="1" x14ac:dyDescent="0.25">
      <c r="A22" s="4" t="s">
        <v>10</v>
      </c>
      <c r="B22" s="4" t="s">
        <v>10</v>
      </c>
      <c r="C22" s="4"/>
      <c r="D22" s="4" t="s">
        <v>113</v>
      </c>
      <c r="E22" s="4" t="s">
        <v>19</v>
      </c>
      <c r="F22" s="4" t="s">
        <v>96</v>
      </c>
      <c r="G22" s="4" t="s">
        <v>28</v>
      </c>
      <c r="H22" s="4" t="s">
        <v>29</v>
      </c>
      <c r="I22" s="4" t="s">
        <v>16</v>
      </c>
      <c r="J22" s="22" t="s">
        <v>25</v>
      </c>
      <c r="K22" s="4"/>
      <c r="L22" s="4"/>
      <c r="M22" s="4"/>
      <c r="N22" s="4" t="s">
        <v>31</v>
      </c>
    </row>
    <row r="23" spans="1:14" hidden="1" x14ac:dyDescent="0.25">
      <c r="A23" s="4" t="s">
        <v>10</v>
      </c>
      <c r="B23" s="4" t="s">
        <v>10</v>
      </c>
      <c r="C23" s="4"/>
      <c r="D23" s="4" t="s">
        <v>114</v>
      </c>
      <c r="E23" s="4" t="s">
        <v>27</v>
      </c>
      <c r="F23" s="4" t="s">
        <v>96</v>
      </c>
      <c r="G23" s="4" t="s">
        <v>28</v>
      </c>
      <c r="H23" s="4" t="s">
        <v>29</v>
      </c>
      <c r="I23" s="4" t="s">
        <v>16</v>
      </c>
      <c r="J23" s="22" t="s">
        <v>25</v>
      </c>
      <c r="K23" s="4"/>
      <c r="L23" s="4"/>
      <c r="M23" s="4"/>
      <c r="N23" s="4" t="s">
        <v>31</v>
      </c>
    </row>
    <row r="24" spans="1:14" x14ac:dyDescent="0.25">
      <c r="A24" s="4" t="s">
        <v>10</v>
      </c>
      <c r="B24" s="4" t="s">
        <v>10</v>
      </c>
      <c r="C24" s="4"/>
      <c r="D24" s="4" t="s">
        <v>62</v>
      </c>
      <c r="E24" s="4" t="s">
        <v>19</v>
      </c>
      <c r="F24" s="4" t="s">
        <v>96</v>
      </c>
      <c r="G24" s="4" t="s">
        <v>28</v>
      </c>
      <c r="H24" s="4" t="s">
        <v>29</v>
      </c>
      <c r="I24" s="4" t="s">
        <v>16</v>
      </c>
      <c r="J24" s="13">
        <v>120</v>
      </c>
      <c r="K24" s="4"/>
      <c r="L24" s="4"/>
      <c r="M24" s="4"/>
      <c r="N24" s="4" t="s">
        <v>31</v>
      </c>
    </row>
    <row r="25" spans="1:14" x14ac:dyDescent="0.25">
      <c r="A25" s="4" t="s">
        <v>10</v>
      </c>
      <c r="B25" s="4" t="s">
        <v>10</v>
      </c>
      <c r="C25" s="4"/>
      <c r="D25" s="4" t="s">
        <v>63</v>
      </c>
      <c r="E25" s="4" t="s">
        <v>27</v>
      </c>
      <c r="F25" s="4" t="s">
        <v>96</v>
      </c>
      <c r="G25" s="4" t="s">
        <v>28</v>
      </c>
      <c r="H25" s="4" t="s">
        <v>29</v>
      </c>
      <c r="I25" s="4" t="s">
        <v>16</v>
      </c>
      <c r="J25" s="13">
        <v>70</v>
      </c>
      <c r="K25" s="4"/>
      <c r="L25" s="4"/>
      <c r="M25" s="4"/>
      <c r="N25" s="4" t="s">
        <v>31</v>
      </c>
    </row>
    <row r="26" spans="1:14" x14ac:dyDescent="0.25">
      <c r="A26" s="4" t="s">
        <v>10</v>
      </c>
      <c r="B26" s="4" t="s">
        <v>10</v>
      </c>
      <c r="C26" s="4"/>
      <c r="D26" s="4" t="s">
        <v>64</v>
      </c>
      <c r="E26" s="4" t="s">
        <v>19</v>
      </c>
      <c r="F26" s="4" t="s">
        <v>96</v>
      </c>
      <c r="G26" s="4" t="s">
        <v>28</v>
      </c>
      <c r="H26" s="4" t="s">
        <v>29</v>
      </c>
      <c r="I26" s="4" t="s">
        <v>16</v>
      </c>
      <c r="J26" s="13">
        <v>60</v>
      </c>
      <c r="K26" s="4"/>
      <c r="L26" s="4"/>
      <c r="M26" s="4"/>
      <c r="N26" s="4" t="s">
        <v>31</v>
      </c>
    </row>
    <row r="27" spans="1:14" x14ac:dyDescent="0.25">
      <c r="A27" s="4" t="s">
        <v>10</v>
      </c>
      <c r="B27" s="4" t="s">
        <v>10</v>
      </c>
      <c r="C27" s="4"/>
      <c r="D27" s="4" t="s">
        <v>65</v>
      </c>
      <c r="E27" s="4" t="s">
        <v>27</v>
      </c>
      <c r="F27" s="4" t="s">
        <v>96</v>
      </c>
      <c r="G27" s="4" t="s">
        <v>28</v>
      </c>
      <c r="H27" s="4" t="s">
        <v>29</v>
      </c>
      <c r="I27" s="4" t="s">
        <v>16</v>
      </c>
      <c r="J27" s="13">
        <v>70</v>
      </c>
      <c r="K27" s="4"/>
      <c r="L27" s="4"/>
      <c r="M27" s="4"/>
      <c r="N27" s="4" t="s">
        <v>31</v>
      </c>
    </row>
    <row r="28" spans="1:14" x14ac:dyDescent="0.25">
      <c r="A28" s="4" t="s">
        <v>10</v>
      </c>
      <c r="B28" s="4" t="s">
        <v>10</v>
      </c>
      <c r="C28" s="4"/>
      <c r="D28" s="4" t="s">
        <v>66</v>
      </c>
      <c r="E28" s="4" t="s">
        <v>19</v>
      </c>
      <c r="F28" s="4" t="s">
        <v>96</v>
      </c>
      <c r="G28" s="4" t="s">
        <v>28</v>
      </c>
      <c r="H28" s="4" t="s">
        <v>29</v>
      </c>
      <c r="I28" s="4" t="s">
        <v>16</v>
      </c>
      <c r="J28" s="13">
        <v>60</v>
      </c>
      <c r="K28" s="4"/>
      <c r="L28" s="4"/>
      <c r="M28" s="4"/>
      <c r="N28" s="4" t="s">
        <v>31</v>
      </c>
    </row>
    <row r="29" spans="1:14" x14ac:dyDescent="0.25">
      <c r="A29" s="4" t="s">
        <v>10</v>
      </c>
      <c r="B29" s="4" t="s">
        <v>10</v>
      </c>
      <c r="C29" s="4"/>
      <c r="D29" s="4" t="s">
        <v>67</v>
      </c>
      <c r="E29" s="4" t="s">
        <v>27</v>
      </c>
      <c r="F29" s="4" t="s">
        <v>96</v>
      </c>
      <c r="G29" s="4" t="s">
        <v>28</v>
      </c>
      <c r="H29" s="4" t="s">
        <v>29</v>
      </c>
      <c r="I29" s="4" t="s">
        <v>16</v>
      </c>
      <c r="J29" s="13">
        <v>70</v>
      </c>
      <c r="K29" s="4"/>
      <c r="L29" s="4"/>
      <c r="M29" s="4"/>
      <c r="N29" s="4" t="s">
        <v>31</v>
      </c>
    </row>
    <row r="30" spans="1:14" x14ac:dyDescent="0.25">
      <c r="A30" s="4" t="s">
        <v>10</v>
      </c>
      <c r="B30" s="4" t="s">
        <v>10</v>
      </c>
      <c r="C30" s="4"/>
      <c r="D30" s="4" t="s">
        <v>68</v>
      </c>
      <c r="E30" s="4" t="s">
        <v>19</v>
      </c>
      <c r="F30" s="4" t="s">
        <v>96</v>
      </c>
      <c r="G30" s="4" t="s">
        <v>28</v>
      </c>
      <c r="H30" s="4" t="s">
        <v>29</v>
      </c>
      <c r="I30" s="4" t="s">
        <v>16</v>
      </c>
      <c r="J30" s="13">
        <v>60</v>
      </c>
      <c r="K30" s="4"/>
      <c r="L30" s="4"/>
      <c r="M30" s="4"/>
      <c r="N30" s="4" t="s">
        <v>31</v>
      </c>
    </row>
    <row r="31" spans="1:14" x14ac:dyDescent="0.25">
      <c r="A31" s="4" t="s">
        <v>10</v>
      </c>
      <c r="B31" s="4" t="s">
        <v>10</v>
      </c>
      <c r="C31" s="4"/>
      <c r="D31" s="4" t="s">
        <v>69</v>
      </c>
      <c r="E31" s="4" t="s">
        <v>27</v>
      </c>
      <c r="F31" s="4" t="s">
        <v>96</v>
      </c>
      <c r="G31" s="4" t="s">
        <v>35</v>
      </c>
      <c r="H31" s="4" t="s">
        <v>41</v>
      </c>
      <c r="I31" s="4" t="s">
        <v>16</v>
      </c>
      <c r="J31" s="13">
        <v>70</v>
      </c>
      <c r="K31" s="4"/>
      <c r="L31" s="4"/>
      <c r="M31" s="4"/>
      <c r="N31" s="4" t="s">
        <v>37</v>
      </c>
    </row>
    <row r="32" spans="1:14" hidden="1" x14ac:dyDescent="0.25">
      <c r="A32" s="4" t="s">
        <v>10</v>
      </c>
      <c r="B32" s="4" t="s">
        <v>10</v>
      </c>
      <c r="C32" s="4"/>
      <c r="D32" s="4" t="s">
        <v>70</v>
      </c>
      <c r="E32" s="4" t="s">
        <v>19</v>
      </c>
      <c r="F32" s="4" t="s">
        <v>96</v>
      </c>
      <c r="G32" s="4" t="s">
        <v>28</v>
      </c>
      <c r="H32" s="4" t="s">
        <v>29</v>
      </c>
      <c r="I32" s="4" t="s">
        <v>16</v>
      </c>
      <c r="J32" s="22" t="s">
        <v>25</v>
      </c>
      <c r="K32" s="4"/>
      <c r="L32" s="4"/>
      <c r="M32" s="4"/>
      <c r="N32" s="4" t="s">
        <v>31</v>
      </c>
    </row>
    <row r="33" spans="1:14" hidden="1" x14ac:dyDescent="0.25">
      <c r="A33" s="4" t="s">
        <v>10</v>
      </c>
      <c r="B33" s="4" t="s">
        <v>10</v>
      </c>
      <c r="C33" s="4"/>
      <c r="D33" s="4" t="s">
        <v>71</v>
      </c>
      <c r="E33" s="4" t="s">
        <v>27</v>
      </c>
      <c r="F33" s="4" t="s">
        <v>96</v>
      </c>
      <c r="G33" s="4" t="s">
        <v>35</v>
      </c>
      <c r="H33" s="4" t="s">
        <v>41</v>
      </c>
      <c r="I33" s="4" t="s">
        <v>16</v>
      </c>
      <c r="J33" s="22" t="s">
        <v>25</v>
      </c>
      <c r="K33" s="4"/>
      <c r="L33" s="4"/>
      <c r="M33" s="4"/>
      <c r="N33" s="4" t="s">
        <v>37</v>
      </c>
    </row>
    <row r="34" spans="1:14" x14ac:dyDescent="0.25">
      <c r="A34" s="4" t="s">
        <v>10</v>
      </c>
      <c r="B34" s="4" t="s">
        <v>10</v>
      </c>
      <c r="C34" s="4"/>
      <c r="D34" s="4" t="s">
        <v>72</v>
      </c>
      <c r="E34" s="4" t="s">
        <v>19</v>
      </c>
      <c r="F34" s="4" t="s">
        <v>96</v>
      </c>
      <c r="G34" s="4" t="s">
        <v>28</v>
      </c>
      <c r="H34" s="4" t="s">
        <v>29</v>
      </c>
      <c r="I34" s="4" t="s">
        <v>16</v>
      </c>
      <c r="J34" s="13">
        <v>60</v>
      </c>
      <c r="K34" s="4"/>
      <c r="L34" s="4"/>
      <c r="M34" s="4"/>
      <c r="N34" s="4" t="s">
        <v>31</v>
      </c>
    </row>
    <row r="35" spans="1:14" x14ac:dyDescent="0.25">
      <c r="A35" s="4" t="s">
        <v>10</v>
      </c>
      <c r="B35" s="4" t="s">
        <v>10</v>
      </c>
      <c r="C35" s="4"/>
      <c r="D35" s="4" t="s">
        <v>73</v>
      </c>
      <c r="E35" s="4" t="s">
        <v>27</v>
      </c>
      <c r="F35" s="4" t="s">
        <v>96</v>
      </c>
      <c r="G35" s="4" t="s">
        <v>35</v>
      </c>
      <c r="H35" s="4" t="s">
        <v>41</v>
      </c>
      <c r="I35" s="4" t="s">
        <v>16</v>
      </c>
      <c r="J35" s="13">
        <v>70</v>
      </c>
      <c r="K35" s="4"/>
      <c r="L35" s="4"/>
      <c r="M35" s="4"/>
      <c r="N35" s="4" t="s">
        <v>37</v>
      </c>
    </row>
    <row r="36" spans="1:14" x14ac:dyDescent="0.25">
      <c r="A36" s="4" t="s">
        <v>10</v>
      </c>
      <c r="B36" s="4" t="s">
        <v>10</v>
      </c>
      <c r="C36" s="4"/>
      <c r="D36" s="4" t="s">
        <v>74</v>
      </c>
      <c r="E36" s="4" t="s">
        <v>34</v>
      </c>
      <c r="F36" s="4" t="s">
        <v>96</v>
      </c>
      <c r="G36" s="4" t="s">
        <v>35</v>
      </c>
      <c r="H36" s="4" t="s">
        <v>41</v>
      </c>
      <c r="I36" s="4" t="s">
        <v>16</v>
      </c>
      <c r="J36" s="13">
        <v>40</v>
      </c>
      <c r="K36" s="4"/>
      <c r="L36" s="4"/>
      <c r="M36" s="4"/>
      <c r="N36" s="4" t="s">
        <v>37</v>
      </c>
    </row>
    <row r="37" spans="1:14" x14ac:dyDescent="0.25">
      <c r="A37" s="4" t="s">
        <v>10</v>
      </c>
      <c r="B37" s="4" t="s">
        <v>10</v>
      </c>
      <c r="C37" s="4"/>
      <c r="D37" s="4" t="s">
        <v>75</v>
      </c>
      <c r="E37" s="4" t="s">
        <v>34</v>
      </c>
      <c r="F37" s="4" t="s">
        <v>96</v>
      </c>
      <c r="G37" s="4" t="s">
        <v>35</v>
      </c>
      <c r="H37" s="4" t="s">
        <v>41</v>
      </c>
      <c r="I37" s="4" t="s">
        <v>16</v>
      </c>
      <c r="J37" s="13">
        <v>40</v>
      </c>
      <c r="K37" s="4"/>
      <c r="L37" s="4"/>
      <c r="M37" s="4"/>
      <c r="N37" s="4" t="s">
        <v>37</v>
      </c>
    </row>
    <row r="38" spans="1:14" x14ac:dyDescent="0.25">
      <c r="A38" s="4" t="s">
        <v>10</v>
      </c>
      <c r="B38" s="4" t="s">
        <v>10</v>
      </c>
      <c r="C38" s="4"/>
      <c r="D38" s="4" t="s">
        <v>76</v>
      </c>
      <c r="E38" s="4" t="s">
        <v>34</v>
      </c>
      <c r="F38" s="4" t="s">
        <v>96</v>
      </c>
      <c r="G38" s="4" t="s">
        <v>35</v>
      </c>
      <c r="H38" s="4" t="s">
        <v>41</v>
      </c>
      <c r="I38" s="4" t="s">
        <v>16</v>
      </c>
      <c r="J38" s="13">
        <v>40</v>
      </c>
      <c r="K38" s="4"/>
      <c r="L38" s="4"/>
      <c r="M38" s="4"/>
      <c r="N38" s="4" t="s">
        <v>37</v>
      </c>
    </row>
    <row r="39" spans="1:14" x14ac:dyDescent="0.25">
      <c r="A39" s="4" t="s">
        <v>10</v>
      </c>
      <c r="B39" s="4" t="s">
        <v>10</v>
      </c>
      <c r="C39" s="4"/>
      <c r="D39" s="4" t="s">
        <v>77</v>
      </c>
      <c r="E39" s="4" t="s">
        <v>34</v>
      </c>
      <c r="F39" s="4" t="s">
        <v>96</v>
      </c>
      <c r="G39" s="4" t="s">
        <v>35</v>
      </c>
      <c r="H39" s="4" t="s">
        <v>41</v>
      </c>
      <c r="I39" s="4" t="s">
        <v>16</v>
      </c>
      <c r="J39" s="13">
        <v>40</v>
      </c>
      <c r="K39" s="4"/>
      <c r="L39" s="4"/>
      <c r="M39" s="4"/>
      <c r="N39" s="4" t="s">
        <v>37</v>
      </c>
    </row>
    <row r="40" spans="1:14" x14ac:dyDescent="0.25">
      <c r="A40" s="4" t="s">
        <v>10</v>
      </c>
      <c r="B40" s="4" t="s">
        <v>10</v>
      </c>
      <c r="C40" s="4"/>
      <c r="D40" s="4" t="s">
        <v>78</v>
      </c>
      <c r="E40" s="4" t="s">
        <v>34</v>
      </c>
      <c r="F40" s="4" t="s">
        <v>96</v>
      </c>
      <c r="G40" s="4" t="s">
        <v>35</v>
      </c>
      <c r="H40" s="4" t="s">
        <v>41</v>
      </c>
      <c r="I40" s="4" t="s">
        <v>16</v>
      </c>
      <c r="J40" s="13">
        <v>40</v>
      </c>
      <c r="K40" s="4"/>
      <c r="L40" s="4"/>
      <c r="M40" s="4"/>
      <c r="N40" s="4" t="s">
        <v>37</v>
      </c>
    </row>
    <row r="41" spans="1:14" hidden="1" x14ac:dyDescent="0.25">
      <c r="A41" s="4" t="s">
        <v>11</v>
      </c>
      <c r="B41" s="4" t="s">
        <v>10</v>
      </c>
      <c r="C41" s="4"/>
      <c r="D41" s="4" t="s">
        <v>79</v>
      </c>
      <c r="E41" s="4" t="s">
        <v>34</v>
      </c>
      <c r="F41" s="4" t="s">
        <v>96</v>
      </c>
      <c r="G41" s="4" t="s">
        <v>35</v>
      </c>
      <c r="H41" s="4" t="s">
        <v>41</v>
      </c>
      <c r="I41" s="4" t="s">
        <v>16</v>
      </c>
      <c r="J41" s="13">
        <v>65</v>
      </c>
      <c r="K41" s="4"/>
      <c r="L41" s="4"/>
      <c r="M41" s="4"/>
      <c r="N41" s="4" t="s">
        <v>37</v>
      </c>
    </row>
    <row r="42" spans="1:14" x14ac:dyDescent="0.25">
      <c r="A42" s="4" t="s">
        <v>10</v>
      </c>
      <c r="B42" s="4" t="s">
        <v>10</v>
      </c>
      <c r="C42" s="4"/>
      <c r="D42" s="4" t="s">
        <v>115</v>
      </c>
      <c r="E42" s="4" t="s">
        <v>116</v>
      </c>
      <c r="F42" s="4" t="s">
        <v>117</v>
      </c>
      <c r="G42" s="4" t="s">
        <v>118</v>
      </c>
      <c r="H42" s="4" t="s">
        <v>119</v>
      </c>
      <c r="I42" s="4" t="s">
        <v>16</v>
      </c>
      <c r="J42" s="13">
        <v>50</v>
      </c>
      <c r="K42" s="4"/>
      <c r="L42" s="4"/>
      <c r="M42" s="4"/>
      <c r="N42" s="4" t="s">
        <v>120</v>
      </c>
    </row>
    <row r="43" spans="1:14" x14ac:dyDescent="0.25">
      <c r="A43" s="4" t="s">
        <v>10</v>
      </c>
      <c r="B43" s="4" t="s">
        <v>10</v>
      </c>
      <c r="C43" s="4"/>
      <c r="D43" s="4" t="s">
        <v>121</v>
      </c>
      <c r="E43" s="4" t="s">
        <v>116</v>
      </c>
      <c r="F43" s="4" t="s">
        <v>117</v>
      </c>
      <c r="G43" s="4" t="s">
        <v>118</v>
      </c>
      <c r="H43" s="4" t="s">
        <v>119</v>
      </c>
      <c r="I43" s="4" t="s">
        <v>16</v>
      </c>
      <c r="J43" s="13">
        <v>100</v>
      </c>
      <c r="K43" s="4"/>
      <c r="L43" s="4"/>
      <c r="M43" s="4"/>
      <c r="N43" s="4" t="s">
        <v>120</v>
      </c>
    </row>
    <row r="44" spans="1:14" hidden="1" x14ac:dyDescent="0.25">
      <c r="A44" s="4" t="s">
        <v>11</v>
      </c>
      <c r="B44" s="4" t="s">
        <v>10</v>
      </c>
      <c r="C44" s="4"/>
      <c r="D44" s="4" t="s">
        <v>122</v>
      </c>
      <c r="E44" s="4" t="s">
        <v>116</v>
      </c>
      <c r="F44" s="4" t="s">
        <v>117</v>
      </c>
      <c r="G44" s="4" t="s">
        <v>118</v>
      </c>
      <c r="H44" s="4" t="s">
        <v>119</v>
      </c>
      <c r="I44" s="4" t="s">
        <v>16</v>
      </c>
      <c r="J44" s="13"/>
      <c r="K44" s="4"/>
      <c r="L44" s="4"/>
      <c r="M44" s="4"/>
      <c r="N44" s="4" t="s">
        <v>120</v>
      </c>
    </row>
    <row r="45" spans="1:14" hidden="1" x14ac:dyDescent="0.25">
      <c r="A45" s="4" t="s">
        <v>11</v>
      </c>
      <c r="B45" s="4" t="s">
        <v>10</v>
      </c>
      <c r="C45" s="4"/>
      <c r="D45" s="4" t="s">
        <v>123</v>
      </c>
      <c r="E45" s="4" t="s">
        <v>116</v>
      </c>
      <c r="F45" s="4" t="s">
        <v>117</v>
      </c>
      <c r="G45" s="4" t="s">
        <v>118</v>
      </c>
      <c r="H45" s="4" t="s">
        <v>119</v>
      </c>
      <c r="I45" s="4" t="s">
        <v>16</v>
      </c>
      <c r="J45" s="13">
        <v>200</v>
      </c>
      <c r="K45" s="4"/>
      <c r="L45" s="4"/>
      <c r="M45" s="4"/>
      <c r="N45" s="4" t="s">
        <v>120</v>
      </c>
    </row>
    <row r="46" spans="1:14" x14ac:dyDescent="0.25">
      <c r="A46" s="4" t="s">
        <v>10</v>
      </c>
      <c r="B46" s="4" t="s">
        <v>10</v>
      </c>
      <c r="C46" s="4"/>
      <c r="D46" s="4" t="s">
        <v>124</v>
      </c>
      <c r="E46" s="4" t="s">
        <v>19</v>
      </c>
      <c r="F46" s="4" t="s">
        <v>117</v>
      </c>
      <c r="G46" s="4" t="s">
        <v>118</v>
      </c>
      <c r="H46" s="4" t="s">
        <v>119</v>
      </c>
      <c r="I46" s="4" t="s">
        <v>16</v>
      </c>
      <c r="J46" s="13">
        <v>140</v>
      </c>
      <c r="K46" s="4"/>
      <c r="L46" s="4"/>
      <c r="M46" s="4" t="s">
        <v>125</v>
      </c>
      <c r="N46" s="4" t="s">
        <v>120</v>
      </c>
    </row>
    <row r="47" spans="1:14" hidden="1" x14ac:dyDescent="0.25">
      <c r="A47" s="4" t="s">
        <v>11</v>
      </c>
      <c r="B47" s="4" t="s">
        <v>10</v>
      </c>
      <c r="C47" s="4"/>
      <c r="D47" s="4" t="s">
        <v>126</v>
      </c>
      <c r="E47" s="4" t="s">
        <v>19</v>
      </c>
      <c r="F47" s="4" t="s">
        <v>117</v>
      </c>
      <c r="G47" s="4" t="s">
        <v>118</v>
      </c>
      <c r="H47" s="4" t="s">
        <v>119</v>
      </c>
      <c r="I47" s="4" t="s">
        <v>16</v>
      </c>
      <c r="J47" s="13">
        <v>140</v>
      </c>
      <c r="K47" s="4"/>
      <c r="L47" s="4"/>
      <c r="M47" s="4" t="s">
        <v>125</v>
      </c>
      <c r="N47" s="4" t="s">
        <v>120</v>
      </c>
    </row>
  </sheetData>
  <autoFilter ref="A1:N47" xr:uid="{E9AE1EFE-7FF9-4599-808A-CF00655066B5}">
    <filterColumn colId="0">
      <filters>
        <filter val="Yes"/>
      </filters>
    </filterColumn>
    <filterColumn colId="9">
      <filters>
        <filter val="100"/>
        <filter val="120"/>
        <filter val="140"/>
        <filter val="20"/>
        <filter val="40"/>
        <filter val="50"/>
        <filter val="60"/>
        <filter val="70"/>
      </filters>
    </filterColumn>
  </autoFilter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A9ACB-9DB9-4D08-894A-E3F65B665A7C}">
  <sheetPr codeName="Sheet15"/>
  <dimension ref="A1:O47"/>
  <sheetViews>
    <sheetView workbookViewId="0"/>
  </sheetViews>
  <sheetFormatPr defaultRowHeight="13.8" x14ac:dyDescent="0.25"/>
  <cols>
    <col min="1" max="1" width="14.8984375" bestFit="1" customWidth="1"/>
    <col min="2" max="2" width="12.296875" bestFit="1" customWidth="1"/>
    <col min="3" max="3" width="23" bestFit="1" customWidth="1"/>
    <col min="4" max="4" width="63.09765625" bestFit="1" customWidth="1"/>
    <col min="5" max="5" width="11.296875" bestFit="1" customWidth="1"/>
    <col min="6" max="6" width="16.3984375" bestFit="1" customWidth="1"/>
    <col min="7" max="7" width="22.296875" bestFit="1" customWidth="1"/>
    <col min="8" max="8" width="17.59765625" bestFit="1" customWidth="1"/>
    <col min="9" max="9" width="13.3984375" bestFit="1" customWidth="1"/>
    <col min="10" max="10" width="29.59765625" bestFit="1" customWidth="1"/>
    <col min="11" max="11" width="30.09765625" bestFit="1" customWidth="1"/>
    <col min="12" max="12" width="14.296875" bestFit="1" customWidth="1"/>
    <col min="13" max="13" width="13.69921875" bestFit="1" customWidth="1"/>
    <col min="14" max="14" width="47" bestFit="1" customWidth="1"/>
    <col min="15" max="15" width="36.3984375" bestFit="1" customWidth="1"/>
  </cols>
  <sheetData>
    <row r="1" spans="1:15" x14ac:dyDescent="0.25">
      <c r="A1" s="27" t="s">
        <v>1</v>
      </c>
      <c r="B1" s="27" t="s">
        <v>2</v>
      </c>
      <c r="C1" s="27" t="s">
        <v>85</v>
      </c>
      <c r="D1" s="27" t="s">
        <v>3</v>
      </c>
      <c r="E1" s="27" t="s">
        <v>4</v>
      </c>
      <c r="F1" s="27" t="s">
        <v>86</v>
      </c>
      <c r="G1" s="27" t="s">
        <v>5</v>
      </c>
      <c r="H1" s="27" t="s">
        <v>6</v>
      </c>
      <c r="I1" s="27" t="s">
        <v>7</v>
      </c>
      <c r="J1" s="27" t="s">
        <v>92</v>
      </c>
      <c r="K1" s="27" t="s">
        <v>93</v>
      </c>
      <c r="L1" s="27" t="s">
        <v>94</v>
      </c>
      <c r="M1" s="27" t="s">
        <v>95</v>
      </c>
      <c r="N1" s="27" t="s">
        <v>91</v>
      </c>
      <c r="O1" s="27" t="s">
        <v>8</v>
      </c>
    </row>
    <row r="2" spans="1:15" x14ac:dyDescent="0.25">
      <c r="A2" t="s">
        <v>10</v>
      </c>
      <c r="B2" t="s">
        <v>11</v>
      </c>
      <c r="D2" t="s">
        <v>12</v>
      </c>
      <c r="E2" t="s">
        <v>13</v>
      </c>
      <c r="F2" t="s">
        <v>96</v>
      </c>
      <c r="G2" t="s">
        <v>14</v>
      </c>
      <c r="H2" t="s">
        <v>15</v>
      </c>
      <c r="I2" t="s">
        <v>16</v>
      </c>
      <c r="J2">
        <v>180</v>
      </c>
      <c r="K2">
        <v>200</v>
      </c>
      <c r="O2" t="s">
        <v>17</v>
      </c>
    </row>
    <row r="3" spans="1:15" x14ac:dyDescent="0.25">
      <c r="A3" t="s">
        <v>11</v>
      </c>
      <c r="B3" t="s">
        <v>10</v>
      </c>
      <c r="D3" t="s">
        <v>18</v>
      </c>
      <c r="E3" t="s">
        <v>13</v>
      </c>
      <c r="F3" t="s">
        <v>96</v>
      </c>
      <c r="G3" t="s">
        <v>14</v>
      </c>
      <c r="H3" t="s">
        <v>15</v>
      </c>
      <c r="I3" t="s">
        <v>16</v>
      </c>
      <c r="J3">
        <v>180</v>
      </c>
      <c r="K3">
        <v>200</v>
      </c>
      <c r="O3" t="s">
        <v>17</v>
      </c>
    </row>
    <row r="4" spans="1:15" x14ac:dyDescent="0.25">
      <c r="A4" t="s">
        <v>10</v>
      </c>
      <c r="B4" t="s">
        <v>11</v>
      </c>
      <c r="D4" t="s">
        <v>26</v>
      </c>
      <c r="E4" t="s">
        <v>13</v>
      </c>
      <c r="F4" t="s">
        <v>96</v>
      </c>
      <c r="G4" t="s">
        <v>20</v>
      </c>
      <c r="H4" t="s">
        <v>127</v>
      </c>
      <c r="I4" t="s">
        <v>16</v>
      </c>
      <c r="J4">
        <v>18</v>
      </c>
      <c r="K4">
        <v>20</v>
      </c>
      <c r="O4" t="s">
        <v>23</v>
      </c>
    </row>
    <row r="5" spans="1:15" x14ac:dyDescent="0.25">
      <c r="A5" t="s">
        <v>10</v>
      </c>
      <c r="B5" t="s">
        <v>10</v>
      </c>
      <c r="D5" t="s">
        <v>33</v>
      </c>
      <c r="E5" t="s">
        <v>13</v>
      </c>
      <c r="F5" t="s">
        <v>96</v>
      </c>
      <c r="G5" t="s">
        <v>20</v>
      </c>
      <c r="H5" t="s">
        <v>127</v>
      </c>
      <c r="I5" t="s">
        <v>16</v>
      </c>
      <c r="J5">
        <v>9</v>
      </c>
      <c r="K5">
        <v>10</v>
      </c>
      <c r="O5" t="s">
        <v>23</v>
      </c>
    </row>
    <row r="6" spans="1:15" x14ac:dyDescent="0.25">
      <c r="A6" t="s">
        <v>10</v>
      </c>
      <c r="B6" t="s">
        <v>11</v>
      </c>
      <c r="D6" t="s">
        <v>39</v>
      </c>
      <c r="E6" t="s">
        <v>13</v>
      </c>
      <c r="F6" t="s">
        <v>96</v>
      </c>
      <c r="G6" t="s">
        <v>20</v>
      </c>
      <c r="H6" t="s">
        <v>127</v>
      </c>
      <c r="I6" t="s">
        <v>16</v>
      </c>
      <c r="J6">
        <v>18</v>
      </c>
      <c r="K6">
        <v>20</v>
      </c>
      <c r="O6" t="s">
        <v>23</v>
      </c>
    </row>
    <row r="7" spans="1:15" x14ac:dyDescent="0.25">
      <c r="A7" t="s">
        <v>10</v>
      </c>
      <c r="B7" t="s">
        <v>10</v>
      </c>
      <c r="D7" t="s">
        <v>43</v>
      </c>
      <c r="E7" t="s">
        <v>13</v>
      </c>
      <c r="F7" t="s">
        <v>96</v>
      </c>
      <c r="G7" t="s">
        <v>20</v>
      </c>
      <c r="H7" t="s">
        <v>127</v>
      </c>
      <c r="I7" t="s">
        <v>16</v>
      </c>
      <c r="J7" t="s">
        <v>25</v>
      </c>
      <c r="K7">
        <v>840</v>
      </c>
      <c r="N7" t="s">
        <v>97</v>
      </c>
      <c r="O7" t="s">
        <v>23</v>
      </c>
    </row>
    <row r="8" spans="1:15" x14ac:dyDescent="0.25">
      <c r="A8" t="s">
        <v>10</v>
      </c>
      <c r="B8" t="s">
        <v>10</v>
      </c>
      <c r="D8" t="s">
        <v>45</v>
      </c>
      <c r="E8" t="s">
        <v>19</v>
      </c>
      <c r="F8" t="s">
        <v>96</v>
      </c>
      <c r="G8" t="s">
        <v>28</v>
      </c>
      <c r="H8" t="s">
        <v>29</v>
      </c>
      <c r="I8" t="s">
        <v>16</v>
      </c>
      <c r="J8">
        <v>54</v>
      </c>
      <c r="K8">
        <v>60</v>
      </c>
      <c r="O8" t="s">
        <v>31</v>
      </c>
    </row>
    <row r="9" spans="1:15" x14ac:dyDescent="0.25">
      <c r="A9" t="s">
        <v>10</v>
      </c>
      <c r="B9" t="s">
        <v>10</v>
      </c>
      <c r="D9" t="s">
        <v>46</v>
      </c>
      <c r="E9" t="s">
        <v>19</v>
      </c>
      <c r="F9" t="s">
        <v>96</v>
      </c>
      <c r="G9" t="s">
        <v>28</v>
      </c>
      <c r="H9" t="s">
        <v>29</v>
      </c>
      <c r="I9" t="s">
        <v>16</v>
      </c>
      <c r="J9">
        <v>54</v>
      </c>
      <c r="K9">
        <v>60</v>
      </c>
      <c r="O9" t="s">
        <v>31</v>
      </c>
    </row>
    <row r="10" spans="1:15" x14ac:dyDescent="0.25">
      <c r="A10" t="s">
        <v>10</v>
      </c>
      <c r="B10" t="s">
        <v>10</v>
      </c>
      <c r="D10" t="s">
        <v>47</v>
      </c>
      <c r="E10" t="s">
        <v>13</v>
      </c>
      <c r="F10" t="s">
        <v>96</v>
      </c>
      <c r="G10" t="s">
        <v>20</v>
      </c>
      <c r="H10" t="s">
        <v>127</v>
      </c>
      <c r="I10" t="s">
        <v>16</v>
      </c>
      <c r="J10">
        <v>18</v>
      </c>
      <c r="K10">
        <v>20</v>
      </c>
      <c r="O10" t="s">
        <v>23</v>
      </c>
    </row>
    <row r="11" spans="1:15" x14ac:dyDescent="0.25">
      <c r="A11" t="s">
        <v>10</v>
      </c>
      <c r="B11" t="s">
        <v>10</v>
      </c>
      <c r="D11" t="s">
        <v>48</v>
      </c>
      <c r="E11" t="s">
        <v>19</v>
      </c>
      <c r="F11" t="s">
        <v>96</v>
      </c>
      <c r="G11" t="s">
        <v>20</v>
      </c>
      <c r="H11" t="s">
        <v>127</v>
      </c>
      <c r="I11" t="s">
        <v>16</v>
      </c>
      <c r="J11">
        <v>108</v>
      </c>
      <c r="K11">
        <v>120</v>
      </c>
      <c r="O11" t="s">
        <v>23</v>
      </c>
    </row>
    <row r="12" spans="1:15" x14ac:dyDescent="0.25">
      <c r="A12" t="s">
        <v>10</v>
      </c>
      <c r="B12" t="s">
        <v>10</v>
      </c>
      <c r="D12" t="s">
        <v>49</v>
      </c>
      <c r="E12" t="s">
        <v>27</v>
      </c>
      <c r="F12" t="s">
        <v>96</v>
      </c>
      <c r="G12" t="s">
        <v>20</v>
      </c>
      <c r="H12" t="s">
        <v>127</v>
      </c>
      <c r="I12" t="s">
        <v>16</v>
      </c>
      <c r="J12">
        <v>63</v>
      </c>
      <c r="K12">
        <v>70</v>
      </c>
      <c r="O12" t="s">
        <v>23</v>
      </c>
    </row>
    <row r="13" spans="1:15" x14ac:dyDescent="0.25">
      <c r="A13" t="s">
        <v>10</v>
      </c>
      <c r="B13" t="s">
        <v>10</v>
      </c>
      <c r="D13" t="s">
        <v>50</v>
      </c>
      <c r="E13" t="s">
        <v>34</v>
      </c>
      <c r="F13" t="s">
        <v>96</v>
      </c>
      <c r="G13" t="s">
        <v>20</v>
      </c>
      <c r="H13" t="s">
        <v>127</v>
      </c>
      <c r="I13" t="s">
        <v>16</v>
      </c>
      <c r="J13">
        <v>27</v>
      </c>
      <c r="K13">
        <v>40</v>
      </c>
      <c r="O13" t="s">
        <v>23</v>
      </c>
    </row>
    <row r="14" spans="1:15" x14ac:dyDescent="0.25">
      <c r="A14" t="s">
        <v>10</v>
      </c>
      <c r="B14" t="s">
        <v>10</v>
      </c>
      <c r="D14" t="s">
        <v>51</v>
      </c>
      <c r="E14" t="s">
        <v>19</v>
      </c>
      <c r="F14" t="s">
        <v>96</v>
      </c>
      <c r="G14" t="s">
        <v>28</v>
      </c>
      <c r="H14" t="s">
        <v>29</v>
      </c>
      <c r="I14" t="s">
        <v>16</v>
      </c>
      <c r="J14">
        <v>945</v>
      </c>
      <c r="K14">
        <v>2500</v>
      </c>
      <c r="N14" t="s">
        <v>98</v>
      </c>
      <c r="O14" t="s">
        <v>31</v>
      </c>
    </row>
    <row r="15" spans="1:15" x14ac:dyDescent="0.25">
      <c r="A15" t="s">
        <v>10</v>
      </c>
      <c r="B15" t="s">
        <v>10</v>
      </c>
      <c r="D15" t="s">
        <v>52</v>
      </c>
      <c r="E15" t="s">
        <v>19</v>
      </c>
      <c r="F15" t="s">
        <v>96</v>
      </c>
      <c r="G15" t="s">
        <v>28</v>
      </c>
      <c r="H15" t="s">
        <v>29</v>
      </c>
      <c r="I15" t="s">
        <v>16</v>
      </c>
      <c r="J15" t="s">
        <v>25</v>
      </c>
      <c r="K15">
        <v>400</v>
      </c>
      <c r="N15" t="s">
        <v>99</v>
      </c>
      <c r="O15" t="s">
        <v>31</v>
      </c>
    </row>
    <row r="16" spans="1:15" x14ac:dyDescent="0.25">
      <c r="A16" t="s">
        <v>10</v>
      </c>
      <c r="B16" t="s">
        <v>10</v>
      </c>
      <c r="D16" t="s">
        <v>53</v>
      </c>
      <c r="E16" t="s">
        <v>19</v>
      </c>
      <c r="F16" t="s">
        <v>96</v>
      </c>
      <c r="G16" t="s">
        <v>28</v>
      </c>
      <c r="H16" t="s">
        <v>29</v>
      </c>
      <c r="I16" t="s">
        <v>16</v>
      </c>
      <c r="J16" t="s">
        <v>100</v>
      </c>
      <c r="K16" t="s">
        <v>100</v>
      </c>
      <c r="N16" t="s">
        <v>99</v>
      </c>
      <c r="O16" t="s">
        <v>31</v>
      </c>
    </row>
    <row r="17" spans="1:15" x14ac:dyDescent="0.25">
      <c r="A17" t="s">
        <v>10</v>
      </c>
      <c r="B17" t="s">
        <v>10</v>
      </c>
      <c r="D17" t="s">
        <v>54</v>
      </c>
      <c r="E17" t="s">
        <v>19</v>
      </c>
      <c r="F17" t="s">
        <v>96</v>
      </c>
      <c r="G17" t="s">
        <v>14</v>
      </c>
      <c r="H17" t="s">
        <v>36</v>
      </c>
      <c r="I17" t="s">
        <v>16</v>
      </c>
      <c r="J17">
        <v>54</v>
      </c>
      <c r="K17">
        <v>60</v>
      </c>
      <c r="O17" t="s">
        <v>23</v>
      </c>
    </row>
    <row r="18" spans="1:15" x14ac:dyDescent="0.25">
      <c r="A18" t="s">
        <v>10</v>
      </c>
      <c r="B18" t="s">
        <v>10</v>
      </c>
      <c r="D18" t="s">
        <v>55</v>
      </c>
      <c r="E18" t="s">
        <v>19</v>
      </c>
      <c r="F18" t="s">
        <v>96</v>
      </c>
      <c r="G18" t="s">
        <v>14</v>
      </c>
      <c r="H18" t="s">
        <v>36</v>
      </c>
      <c r="I18" t="s">
        <v>16</v>
      </c>
      <c r="J18">
        <v>63</v>
      </c>
      <c r="K18">
        <v>70</v>
      </c>
      <c r="O18" t="s">
        <v>23</v>
      </c>
    </row>
    <row r="19" spans="1:15" x14ac:dyDescent="0.25">
      <c r="A19" t="s">
        <v>10</v>
      </c>
      <c r="B19" t="s">
        <v>10</v>
      </c>
      <c r="D19" t="s">
        <v>56</v>
      </c>
      <c r="E19" t="s">
        <v>19</v>
      </c>
      <c r="F19" t="s">
        <v>96</v>
      </c>
      <c r="G19" t="s">
        <v>28</v>
      </c>
      <c r="H19" t="s">
        <v>29</v>
      </c>
      <c r="I19" t="s">
        <v>16</v>
      </c>
      <c r="J19">
        <v>54</v>
      </c>
      <c r="K19">
        <v>60</v>
      </c>
      <c r="N19" t="s">
        <v>101</v>
      </c>
      <c r="O19" t="s">
        <v>31</v>
      </c>
    </row>
    <row r="20" spans="1:15" x14ac:dyDescent="0.25">
      <c r="A20" t="s">
        <v>10</v>
      </c>
      <c r="B20" t="s">
        <v>10</v>
      </c>
      <c r="D20" t="s">
        <v>57</v>
      </c>
      <c r="E20" t="s">
        <v>27</v>
      </c>
      <c r="F20" t="s">
        <v>96</v>
      </c>
      <c r="G20" t="s">
        <v>28</v>
      </c>
      <c r="H20" t="s">
        <v>29</v>
      </c>
      <c r="I20" t="s">
        <v>16</v>
      </c>
      <c r="J20">
        <v>63</v>
      </c>
      <c r="K20">
        <v>70</v>
      </c>
      <c r="O20" t="s">
        <v>31</v>
      </c>
    </row>
    <row r="21" spans="1:15" x14ac:dyDescent="0.25">
      <c r="A21" t="s">
        <v>10</v>
      </c>
      <c r="B21" t="s">
        <v>10</v>
      </c>
      <c r="D21" t="s">
        <v>58</v>
      </c>
      <c r="E21" t="s">
        <v>19</v>
      </c>
      <c r="F21" t="s">
        <v>96</v>
      </c>
      <c r="G21" t="s">
        <v>28</v>
      </c>
      <c r="H21" t="s">
        <v>29</v>
      </c>
      <c r="I21" t="s">
        <v>16</v>
      </c>
      <c r="J21">
        <v>54</v>
      </c>
      <c r="K21">
        <v>60</v>
      </c>
      <c r="O21" t="s">
        <v>31</v>
      </c>
    </row>
    <row r="22" spans="1:15" x14ac:dyDescent="0.25">
      <c r="A22" t="s">
        <v>10</v>
      </c>
      <c r="B22" t="s">
        <v>10</v>
      </c>
      <c r="D22" t="s">
        <v>59</v>
      </c>
      <c r="E22" t="s">
        <v>27</v>
      </c>
      <c r="F22" t="s">
        <v>96</v>
      </c>
      <c r="G22" t="s">
        <v>28</v>
      </c>
      <c r="H22" t="s">
        <v>29</v>
      </c>
      <c r="I22" t="s">
        <v>16</v>
      </c>
      <c r="J22">
        <v>63</v>
      </c>
      <c r="K22">
        <v>70</v>
      </c>
      <c r="O22" t="s">
        <v>31</v>
      </c>
    </row>
    <row r="23" spans="1:15" x14ac:dyDescent="0.25">
      <c r="A23" t="s">
        <v>10</v>
      </c>
      <c r="B23" t="s">
        <v>10</v>
      </c>
      <c r="D23" t="s">
        <v>60</v>
      </c>
      <c r="E23" t="s">
        <v>19</v>
      </c>
      <c r="F23" t="s">
        <v>96</v>
      </c>
      <c r="G23" t="s">
        <v>28</v>
      </c>
      <c r="H23" t="s">
        <v>29</v>
      </c>
      <c r="I23" t="s">
        <v>16</v>
      </c>
      <c r="J23">
        <v>54</v>
      </c>
      <c r="K23">
        <v>60</v>
      </c>
      <c r="O23" t="s">
        <v>31</v>
      </c>
    </row>
    <row r="24" spans="1:15" x14ac:dyDescent="0.25">
      <c r="A24" t="s">
        <v>10</v>
      </c>
      <c r="B24" t="s">
        <v>10</v>
      </c>
      <c r="D24" t="s">
        <v>61</v>
      </c>
      <c r="E24" t="s">
        <v>27</v>
      </c>
      <c r="F24" t="s">
        <v>96</v>
      </c>
      <c r="G24" t="s">
        <v>28</v>
      </c>
      <c r="H24" t="s">
        <v>29</v>
      </c>
      <c r="I24" t="s">
        <v>16</v>
      </c>
      <c r="J24">
        <v>63</v>
      </c>
      <c r="K24">
        <v>70</v>
      </c>
      <c r="O24" t="s">
        <v>31</v>
      </c>
    </row>
    <row r="25" spans="1:15" x14ac:dyDescent="0.25">
      <c r="A25" t="s">
        <v>10</v>
      </c>
      <c r="B25" t="s">
        <v>10</v>
      </c>
      <c r="D25" t="s">
        <v>62</v>
      </c>
      <c r="E25" t="s">
        <v>19</v>
      </c>
      <c r="F25" t="s">
        <v>96</v>
      </c>
      <c r="G25" t="s">
        <v>28</v>
      </c>
      <c r="H25" t="s">
        <v>29</v>
      </c>
      <c r="I25" t="s">
        <v>16</v>
      </c>
      <c r="J25">
        <v>54</v>
      </c>
      <c r="K25">
        <v>120</v>
      </c>
      <c r="O25" t="s">
        <v>31</v>
      </c>
    </row>
    <row r="26" spans="1:15" x14ac:dyDescent="0.25">
      <c r="A26" t="s">
        <v>10</v>
      </c>
      <c r="B26" t="s">
        <v>10</v>
      </c>
      <c r="D26" t="s">
        <v>63</v>
      </c>
      <c r="E26" t="s">
        <v>27</v>
      </c>
      <c r="F26" t="s">
        <v>96</v>
      </c>
      <c r="G26" t="s">
        <v>28</v>
      </c>
      <c r="H26" t="s">
        <v>29</v>
      </c>
      <c r="I26" t="s">
        <v>16</v>
      </c>
      <c r="J26">
        <v>63</v>
      </c>
      <c r="K26">
        <v>70</v>
      </c>
      <c r="O26" t="s">
        <v>31</v>
      </c>
    </row>
    <row r="27" spans="1:15" x14ac:dyDescent="0.25">
      <c r="A27" t="s">
        <v>10</v>
      </c>
      <c r="B27" t="s">
        <v>10</v>
      </c>
      <c r="D27" t="s">
        <v>64</v>
      </c>
      <c r="E27" t="s">
        <v>19</v>
      </c>
      <c r="F27" t="s">
        <v>96</v>
      </c>
      <c r="G27" t="s">
        <v>28</v>
      </c>
      <c r="H27" t="s">
        <v>29</v>
      </c>
      <c r="I27" t="s">
        <v>16</v>
      </c>
      <c r="J27">
        <v>54</v>
      </c>
      <c r="K27">
        <v>60</v>
      </c>
      <c r="N27" t="s">
        <v>101</v>
      </c>
      <c r="O27" t="s">
        <v>31</v>
      </c>
    </row>
    <row r="28" spans="1:15" x14ac:dyDescent="0.25">
      <c r="A28" t="s">
        <v>10</v>
      </c>
      <c r="B28" t="s">
        <v>10</v>
      </c>
      <c r="D28" t="s">
        <v>65</v>
      </c>
      <c r="E28" t="s">
        <v>27</v>
      </c>
      <c r="F28" t="s">
        <v>96</v>
      </c>
      <c r="G28" t="s">
        <v>28</v>
      </c>
      <c r="H28" t="s">
        <v>29</v>
      </c>
      <c r="I28" t="s">
        <v>16</v>
      </c>
      <c r="J28">
        <v>63</v>
      </c>
      <c r="K28">
        <v>70</v>
      </c>
      <c r="O28" t="s">
        <v>31</v>
      </c>
    </row>
    <row r="29" spans="1:15" x14ac:dyDescent="0.25">
      <c r="A29" t="s">
        <v>10</v>
      </c>
      <c r="B29" t="s">
        <v>10</v>
      </c>
      <c r="D29" t="s">
        <v>66</v>
      </c>
      <c r="E29" t="s">
        <v>19</v>
      </c>
      <c r="F29" t="s">
        <v>96</v>
      </c>
      <c r="G29" t="s">
        <v>28</v>
      </c>
      <c r="H29" t="s">
        <v>29</v>
      </c>
      <c r="I29" t="s">
        <v>16</v>
      </c>
      <c r="J29">
        <v>54</v>
      </c>
      <c r="K29">
        <v>60</v>
      </c>
      <c r="O29" t="s">
        <v>31</v>
      </c>
    </row>
    <row r="30" spans="1:15" x14ac:dyDescent="0.25">
      <c r="A30" t="s">
        <v>10</v>
      </c>
      <c r="B30" t="s">
        <v>10</v>
      </c>
      <c r="D30" t="s">
        <v>67</v>
      </c>
      <c r="E30" t="s">
        <v>27</v>
      </c>
      <c r="F30" t="s">
        <v>96</v>
      </c>
      <c r="G30" t="s">
        <v>28</v>
      </c>
      <c r="H30" t="s">
        <v>29</v>
      </c>
      <c r="I30" t="s">
        <v>16</v>
      </c>
      <c r="J30">
        <v>63</v>
      </c>
      <c r="K30">
        <v>70</v>
      </c>
      <c r="O30" t="s">
        <v>31</v>
      </c>
    </row>
    <row r="31" spans="1:15" x14ac:dyDescent="0.25">
      <c r="A31" t="s">
        <v>10</v>
      </c>
      <c r="B31" t="s">
        <v>10</v>
      </c>
      <c r="D31" t="s">
        <v>68</v>
      </c>
      <c r="E31" t="s">
        <v>19</v>
      </c>
      <c r="F31" t="s">
        <v>96</v>
      </c>
      <c r="G31" t="s">
        <v>28</v>
      </c>
      <c r="H31" t="s">
        <v>29</v>
      </c>
      <c r="I31" t="s">
        <v>16</v>
      </c>
      <c r="J31">
        <v>54</v>
      </c>
      <c r="K31">
        <v>60</v>
      </c>
      <c r="O31" t="s">
        <v>31</v>
      </c>
    </row>
    <row r="32" spans="1:15" x14ac:dyDescent="0.25">
      <c r="A32" t="s">
        <v>10</v>
      </c>
      <c r="B32" t="s">
        <v>10</v>
      </c>
      <c r="D32" t="s">
        <v>69</v>
      </c>
      <c r="E32" t="s">
        <v>27</v>
      </c>
      <c r="F32" t="s">
        <v>96</v>
      </c>
      <c r="G32" t="s">
        <v>35</v>
      </c>
      <c r="H32" t="s">
        <v>41</v>
      </c>
      <c r="I32" t="s">
        <v>16</v>
      </c>
      <c r="J32">
        <v>63</v>
      </c>
      <c r="K32">
        <v>70</v>
      </c>
      <c r="O32" t="s">
        <v>37</v>
      </c>
    </row>
    <row r="33" spans="1:15" x14ac:dyDescent="0.25">
      <c r="A33" t="s">
        <v>10</v>
      </c>
      <c r="B33" t="s">
        <v>10</v>
      </c>
      <c r="D33" t="s">
        <v>70</v>
      </c>
      <c r="E33" t="s">
        <v>19</v>
      </c>
      <c r="F33" t="s">
        <v>96</v>
      </c>
      <c r="G33" t="s">
        <v>28</v>
      </c>
      <c r="H33" t="s">
        <v>29</v>
      </c>
      <c r="I33" t="s">
        <v>16</v>
      </c>
      <c r="J33">
        <v>54</v>
      </c>
      <c r="K33">
        <v>60</v>
      </c>
      <c r="O33" t="s">
        <v>31</v>
      </c>
    </row>
    <row r="34" spans="1:15" x14ac:dyDescent="0.25">
      <c r="A34" t="s">
        <v>10</v>
      </c>
      <c r="B34" t="s">
        <v>10</v>
      </c>
      <c r="D34" t="s">
        <v>71</v>
      </c>
      <c r="E34" t="s">
        <v>27</v>
      </c>
      <c r="F34" t="s">
        <v>96</v>
      </c>
      <c r="G34" t="s">
        <v>35</v>
      </c>
      <c r="H34" t="s">
        <v>41</v>
      </c>
      <c r="I34" t="s">
        <v>16</v>
      </c>
      <c r="J34">
        <v>63</v>
      </c>
      <c r="K34">
        <v>70</v>
      </c>
      <c r="O34" t="s">
        <v>37</v>
      </c>
    </row>
    <row r="35" spans="1:15" x14ac:dyDescent="0.25">
      <c r="A35" t="s">
        <v>10</v>
      </c>
      <c r="B35" t="s">
        <v>10</v>
      </c>
      <c r="D35" t="s">
        <v>72</v>
      </c>
      <c r="E35" t="s">
        <v>19</v>
      </c>
      <c r="F35" t="s">
        <v>96</v>
      </c>
      <c r="G35" t="s">
        <v>28</v>
      </c>
      <c r="H35" t="s">
        <v>29</v>
      </c>
      <c r="I35" t="s">
        <v>16</v>
      </c>
      <c r="J35">
        <v>54</v>
      </c>
      <c r="K35">
        <v>60</v>
      </c>
      <c r="O35" t="s">
        <v>31</v>
      </c>
    </row>
    <row r="36" spans="1:15" x14ac:dyDescent="0.25">
      <c r="A36" t="s">
        <v>10</v>
      </c>
      <c r="B36" t="s">
        <v>10</v>
      </c>
      <c r="D36" t="s">
        <v>73</v>
      </c>
      <c r="E36" t="s">
        <v>27</v>
      </c>
      <c r="F36" t="s">
        <v>96</v>
      </c>
      <c r="G36" t="s">
        <v>35</v>
      </c>
      <c r="H36" t="s">
        <v>41</v>
      </c>
      <c r="I36" t="s">
        <v>16</v>
      </c>
      <c r="J36">
        <v>63</v>
      </c>
      <c r="K36">
        <v>70</v>
      </c>
      <c r="O36" t="s">
        <v>37</v>
      </c>
    </row>
    <row r="37" spans="1:15" x14ac:dyDescent="0.25">
      <c r="A37" t="s">
        <v>10</v>
      </c>
      <c r="B37" t="s">
        <v>10</v>
      </c>
      <c r="D37" t="s">
        <v>74</v>
      </c>
      <c r="E37" t="s">
        <v>34</v>
      </c>
      <c r="F37" t="s">
        <v>96</v>
      </c>
      <c r="G37" t="s">
        <v>35</v>
      </c>
      <c r="H37" t="s">
        <v>41</v>
      </c>
      <c r="I37" t="s">
        <v>16</v>
      </c>
      <c r="J37">
        <v>27</v>
      </c>
      <c r="K37">
        <v>40</v>
      </c>
      <c r="O37" t="s">
        <v>37</v>
      </c>
    </row>
    <row r="38" spans="1:15" x14ac:dyDescent="0.25">
      <c r="A38" t="s">
        <v>10</v>
      </c>
      <c r="B38" t="s">
        <v>10</v>
      </c>
      <c r="D38" t="s">
        <v>75</v>
      </c>
      <c r="E38" t="s">
        <v>34</v>
      </c>
      <c r="F38" t="s">
        <v>96</v>
      </c>
      <c r="G38" t="s">
        <v>35</v>
      </c>
      <c r="H38" t="s">
        <v>41</v>
      </c>
      <c r="I38" t="s">
        <v>16</v>
      </c>
      <c r="J38">
        <v>27</v>
      </c>
      <c r="K38">
        <v>40</v>
      </c>
      <c r="O38" t="s">
        <v>37</v>
      </c>
    </row>
    <row r="39" spans="1:15" x14ac:dyDescent="0.25">
      <c r="A39" t="s">
        <v>10</v>
      </c>
      <c r="B39" t="s">
        <v>10</v>
      </c>
      <c r="D39" t="s">
        <v>76</v>
      </c>
      <c r="E39" t="s">
        <v>34</v>
      </c>
      <c r="F39" t="s">
        <v>96</v>
      </c>
      <c r="G39" t="s">
        <v>35</v>
      </c>
      <c r="H39" t="s">
        <v>41</v>
      </c>
      <c r="I39" t="s">
        <v>16</v>
      </c>
      <c r="J39">
        <v>27</v>
      </c>
      <c r="K39">
        <v>40</v>
      </c>
      <c r="O39" t="s">
        <v>37</v>
      </c>
    </row>
    <row r="40" spans="1:15" x14ac:dyDescent="0.25">
      <c r="A40" t="s">
        <v>10</v>
      </c>
      <c r="B40" t="s">
        <v>10</v>
      </c>
      <c r="D40" t="s">
        <v>77</v>
      </c>
      <c r="E40" t="s">
        <v>34</v>
      </c>
      <c r="F40" t="s">
        <v>96</v>
      </c>
      <c r="G40" t="s">
        <v>35</v>
      </c>
      <c r="H40" t="s">
        <v>41</v>
      </c>
      <c r="I40" t="s">
        <v>16</v>
      </c>
      <c r="J40">
        <v>36</v>
      </c>
      <c r="K40">
        <v>40</v>
      </c>
      <c r="O40" t="s">
        <v>37</v>
      </c>
    </row>
    <row r="41" spans="1:15" x14ac:dyDescent="0.25">
      <c r="A41" t="s">
        <v>10</v>
      </c>
      <c r="B41" t="s">
        <v>10</v>
      </c>
      <c r="D41" t="s">
        <v>78</v>
      </c>
      <c r="E41" t="s">
        <v>34</v>
      </c>
      <c r="F41" t="s">
        <v>96</v>
      </c>
      <c r="G41" t="s">
        <v>35</v>
      </c>
      <c r="H41" t="s">
        <v>41</v>
      </c>
      <c r="I41" t="s">
        <v>16</v>
      </c>
      <c r="J41">
        <v>27</v>
      </c>
      <c r="K41">
        <v>40</v>
      </c>
      <c r="O41" t="s">
        <v>37</v>
      </c>
    </row>
    <row r="42" spans="1:15" x14ac:dyDescent="0.25">
      <c r="A42" t="s">
        <v>11</v>
      </c>
      <c r="B42" t="s">
        <v>10</v>
      </c>
      <c r="D42" t="s">
        <v>79</v>
      </c>
      <c r="E42" t="s">
        <v>34</v>
      </c>
      <c r="F42" t="s">
        <v>96</v>
      </c>
      <c r="G42" t="s">
        <v>35</v>
      </c>
      <c r="H42" t="s">
        <v>41</v>
      </c>
      <c r="I42" t="s">
        <v>16</v>
      </c>
      <c r="J42">
        <v>63</v>
      </c>
      <c r="K42">
        <v>65</v>
      </c>
      <c r="O42" t="s">
        <v>37</v>
      </c>
    </row>
    <row r="43" spans="1:15" x14ac:dyDescent="0.25">
      <c r="A43" t="s">
        <v>10</v>
      </c>
      <c r="B43" t="s">
        <v>11</v>
      </c>
      <c r="D43" t="s">
        <v>80</v>
      </c>
      <c r="E43" t="s">
        <v>34</v>
      </c>
      <c r="F43" t="s">
        <v>96</v>
      </c>
      <c r="G43" t="s">
        <v>35</v>
      </c>
      <c r="H43" t="s">
        <v>44</v>
      </c>
      <c r="I43" t="s">
        <v>16</v>
      </c>
      <c r="J43" t="s">
        <v>25</v>
      </c>
      <c r="K43">
        <v>1092</v>
      </c>
      <c r="N43" t="s">
        <v>102</v>
      </c>
      <c r="O43" t="s">
        <v>23</v>
      </c>
    </row>
    <row r="44" spans="1:15" x14ac:dyDescent="0.25">
      <c r="A44" t="s">
        <v>10</v>
      </c>
      <c r="B44" t="s">
        <v>11</v>
      </c>
      <c r="D44" t="s">
        <v>81</v>
      </c>
      <c r="E44" t="s">
        <v>34</v>
      </c>
      <c r="F44" t="s">
        <v>96</v>
      </c>
      <c r="G44" t="s">
        <v>35</v>
      </c>
      <c r="H44" t="s">
        <v>36</v>
      </c>
      <c r="I44" t="s">
        <v>16</v>
      </c>
      <c r="J44" t="s">
        <v>25</v>
      </c>
      <c r="K44">
        <v>2457</v>
      </c>
      <c r="N44" t="s">
        <v>102</v>
      </c>
      <c r="O44" t="s">
        <v>23</v>
      </c>
    </row>
    <row r="45" spans="1:15" x14ac:dyDescent="0.25">
      <c r="A45" t="s">
        <v>10</v>
      </c>
      <c r="B45" t="s">
        <v>11</v>
      </c>
      <c r="D45" t="s">
        <v>82</v>
      </c>
      <c r="E45" t="s">
        <v>34</v>
      </c>
      <c r="F45" t="s">
        <v>96</v>
      </c>
      <c r="G45" t="s">
        <v>35</v>
      </c>
      <c r="H45" t="s">
        <v>44</v>
      </c>
      <c r="I45" t="s">
        <v>16</v>
      </c>
      <c r="J45" t="s">
        <v>25</v>
      </c>
      <c r="K45">
        <v>1638</v>
      </c>
      <c r="N45" t="s">
        <v>102</v>
      </c>
      <c r="O45" t="s">
        <v>23</v>
      </c>
    </row>
    <row r="46" spans="1:15" x14ac:dyDescent="0.25">
      <c r="A46" t="s">
        <v>10</v>
      </c>
      <c r="B46" t="s">
        <v>10</v>
      </c>
      <c r="D46" t="s">
        <v>83</v>
      </c>
      <c r="E46" t="s">
        <v>40</v>
      </c>
      <c r="F46" t="s">
        <v>96</v>
      </c>
      <c r="G46" t="s">
        <v>14</v>
      </c>
      <c r="H46" t="s">
        <v>44</v>
      </c>
      <c r="I46" t="s">
        <v>16</v>
      </c>
      <c r="J46" t="s">
        <v>25</v>
      </c>
      <c r="K46">
        <v>720</v>
      </c>
      <c r="N46" t="s">
        <v>103</v>
      </c>
      <c r="O46" t="s">
        <v>23</v>
      </c>
    </row>
    <row r="47" spans="1:15" x14ac:dyDescent="0.25">
      <c r="A47" t="s">
        <v>25</v>
      </c>
      <c r="B47" t="s">
        <v>25</v>
      </c>
      <c r="D47" t="s">
        <v>84</v>
      </c>
      <c r="E47" t="s">
        <v>25</v>
      </c>
      <c r="F47" t="s">
        <v>25</v>
      </c>
      <c r="G47" t="s">
        <v>25</v>
      </c>
      <c r="H47" t="s">
        <v>25</v>
      </c>
      <c r="I47" t="s">
        <v>25</v>
      </c>
    </row>
  </sheetData>
  <autoFilter ref="A1:O1" xr:uid="{2DDA9ACB-9DB9-4D08-894A-E3F65B665A7C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DB6AF-D00C-4565-B28D-808BD760AC36}">
  <sheetPr codeName="Sheet9"/>
  <dimension ref="A1:AA47"/>
  <sheetViews>
    <sheetView zoomScale="55" zoomScaleNormal="55" workbookViewId="0">
      <selection activeCell="D25" sqref="D25:L25"/>
    </sheetView>
  </sheetViews>
  <sheetFormatPr defaultRowHeight="13.8" x14ac:dyDescent="0.25"/>
  <cols>
    <col min="1" max="1" width="14.8984375" bestFit="1" customWidth="1"/>
    <col min="2" max="2" width="12.296875" bestFit="1" customWidth="1"/>
    <col min="3" max="3" width="23" bestFit="1" customWidth="1"/>
    <col min="4" max="4" width="63.09765625" bestFit="1" customWidth="1"/>
    <col min="5" max="5" width="11.296875" bestFit="1" customWidth="1"/>
    <col min="6" max="6" width="16.3984375" bestFit="1" customWidth="1"/>
    <col min="7" max="7" width="22.296875" bestFit="1" customWidth="1"/>
    <col min="8" max="8" width="17.59765625" bestFit="1" customWidth="1"/>
    <col min="9" max="9" width="13.3984375" bestFit="1" customWidth="1"/>
    <col min="10" max="10" width="29.59765625" bestFit="1" customWidth="1"/>
    <col min="11" max="11" width="30.09765625" bestFit="1" customWidth="1"/>
    <col min="12" max="12" width="14.296875" bestFit="1" customWidth="1"/>
    <col min="13" max="13" width="13.69921875" bestFit="1" customWidth="1"/>
    <col min="14" max="14" width="47" bestFit="1" customWidth="1"/>
    <col min="15" max="15" width="36.3984375" bestFit="1" customWidth="1"/>
    <col min="27" max="27" width="51.8984375" bestFit="1" customWidth="1"/>
  </cols>
  <sheetData>
    <row r="1" spans="1:27" ht="126" x14ac:dyDescent="0.25">
      <c r="A1" s="15" t="s">
        <v>1</v>
      </c>
      <c r="B1" s="15" t="s">
        <v>2</v>
      </c>
      <c r="C1" s="16" t="s">
        <v>85</v>
      </c>
      <c r="D1" s="225" t="s">
        <v>3</v>
      </c>
      <c r="E1" s="225"/>
      <c r="F1" s="225"/>
      <c r="G1" s="225"/>
      <c r="H1" s="225"/>
      <c r="I1" s="225"/>
      <c r="J1" s="225"/>
      <c r="K1" s="225"/>
      <c r="L1" s="225"/>
      <c r="M1" s="16" t="s">
        <v>4</v>
      </c>
      <c r="N1" s="16" t="s">
        <v>86</v>
      </c>
      <c r="O1" s="16" t="s">
        <v>5</v>
      </c>
      <c r="P1" s="226" t="s">
        <v>6</v>
      </c>
      <c r="Q1" s="227"/>
      <c r="R1" s="16" t="s">
        <v>7</v>
      </c>
      <c r="S1" s="16" t="s">
        <v>92</v>
      </c>
      <c r="T1" s="16" t="s">
        <v>93</v>
      </c>
      <c r="U1" s="16" t="s">
        <v>94</v>
      </c>
      <c r="V1" s="16" t="s">
        <v>95</v>
      </c>
      <c r="W1" s="228" t="s">
        <v>91</v>
      </c>
      <c r="X1" s="228"/>
      <c r="Y1" s="228"/>
      <c r="Z1" s="228"/>
      <c r="AA1" s="28" t="s">
        <v>8</v>
      </c>
    </row>
    <row r="2" spans="1:27" ht="17.399999999999999" x14ac:dyDescent="0.25">
      <c r="A2" s="29" t="s">
        <v>10</v>
      </c>
      <c r="B2" s="29" t="s">
        <v>11</v>
      </c>
      <c r="C2" s="29"/>
      <c r="D2" s="213" t="s">
        <v>12</v>
      </c>
      <c r="E2" s="213"/>
      <c r="F2" s="213"/>
      <c r="G2" s="213"/>
      <c r="H2" s="213"/>
      <c r="I2" s="213"/>
      <c r="J2" s="213"/>
      <c r="K2" s="213"/>
      <c r="L2" s="213"/>
      <c r="M2" s="29" t="s">
        <v>13</v>
      </c>
      <c r="N2" s="29" t="s">
        <v>96</v>
      </c>
      <c r="O2" s="29" t="s">
        <v>14</v>
      </c>
      <c r="P2" s="221" t="s">
        <v>15</v>
      </c>
      <c r="Q2" s="221"/>
      <c r="R2" s="29" t="s">
        <v>16</v>
      </c>
      <c r="S2" s="29">
        <v>180</v>
      </c>
      <c r="T2" s="31">
        <v>1000</v>
      </c>
      <c r="U2" s="29"/>
      <c r="V2" s="29"/>
      <c r="W2" s="214"/>
      <c r="X2" s="214"/>
      <c r="Y2" s="214"/>
      <c r="Z2" s="214"/>
      <c r="AA2" s="30" t="s">
        <v>17</v>
      </c>
    </row>
    <row r="3" spans="1:27" ht="17.399999999999999" x14ac:dyDescent="0.25">
      <c r="A3" s="32" t="s">
        <v>11</v>
      </c>
      <c r="B3" s="32" t="s">
        <v>10</v>
      </c>
      <c r="C3" s="32"/>
      <c r="D3" s="182" t="s">
        <v>18</v>
      </c>
      <c r="E3" s="182"/>
      <c r="F3" s="182"/>
      <c r="G3" s="182"/>
      <c r="H3" s="182"/>
      <c r="I3" s="182"/>
      <c r="J3" s="182"/>
      <c r="K3" s="182"/>
      <c r="L3" s="182"/>
      <c r="M3" s="32" t="s">
        <v>13</v>
      </c>
      <c r="N3" s="32" t="s">
        <v>96</v>
      </c>
      <c r="O3" s="32" t="s">
        <v>14</v>
      </c>
      <c r="P3" s="203" t="s">
        <v>15</v>
      </c>
      <c r="Q3" s="203"/>
      <c r="R3" s="32" t="s">
        <v>16</v>
      </c>
      <c r="S3" s="32">
        <v>180</v>
      </c>
      <c r="T3" s="34">
        <v>10000</v>
      </c>
      <c r="U3" s="32"/>
      <c r="V3" s="32"/>
      <c r="W3" s="180"/>
      <c r="X3" s="180"/>
      <c r="Y3" s="180"/>
      <c r="Z3" s="180"/>
      <c r="AA3" s="33" t="s">
        <v>17</v>
      </c>
    </row>
    <row r="4" spans="1:27" ht="17.399999999999999" x14ac:dyDescent="0.25">
      <c r="A4" s="32" t="s">
        <v>10</v>
      </c>
      <c r="B4" s="32" t="s">
        <v>11</v>
      </c>
      <c r="C4" s="32"/>
      <c r="D4" s="182" t="s">
        <v>26</v>
      </c>
      <c r="E4" s="182"/>
      <c r="F4" s="182"/>
      <c r="G4" s="182"/>
      <c r="H4" s="182"/>
      <c r="I4" s="182"/>
      <c r="J4" s="182"/>
      <c r="K4" s="182"/>
      <c r="L4" s="182"/>
      <c r="M4" s="32" t="s">
        <v>13</v>
      </c>
      <c r="N4" s="32" t="s">
        <v>96</v>
      </c>
      <c r="O4" s="32" t="s">
        <v>20</v>
      </c>
      <c r="P4" s="203" t="s">
        <v>127</v>
      </c>
      <c r="Q4" s="203"/>
      <c r="R4" s="32" t="s">
        <v>16</v>
      </c>
      <c r="S4" s="32">
        <v>18</v>
      </c>
      <c r="T4" s="34">
        <v>20</v>
      </c>
      <c r="U4" s="32"/>
      <c r="V4" s="32"/>
      <c r="W4" s="180"/>
      <c r="X4" s="180"/>
      <c r="Y4" s="180"/>
      <c r="Z4" s="180"/>
      <c r="AA4" s="33" t="s">
        <v>23</v>
      </c>
    </row>
    <row r="5" spans="1:27" ht="17.399999999999999" x14ac:dyDescent="0.25">
      <c r="A5" s="32" t="s">
        <v>10</v>
      </c>
      <c r="B5" s="32" t="s">
        <v>10</v>
      </c>
      <c r="C5" s="32"/>
      <c r="D5" s="182" t="s">
        <v>33</v>
      </c>
      <c r="E5" s="182"/>
      <c r="F5" s="182"/>
      <c r="G5" s="182"/>
      <c r="H5" s="182"/>
      <c r="I5" s="182"/>
      <c r="J5" s="182"/>
      <c r="K5" s="182"/>
      <c r="L5" s="182"/>
      <c r="M5" s="32" t="s">
        <v>13</v>
      </c>
      <c r="N5" s="32" t="s">
        <v>96</v>
      </c>
      <c r="O5" s="32" t="s">
        <v>20</v>
      </c>
      <c r="P5" s="203" t="s">
        <v>127</v>
      </c>
      <c r="Q5" s="203"/>
      <c r="R5" s="32" t="s">
        <v>16</v>
      </c>
      <c r="S5" s="32">
        <v>9</v>
      </c>
      <c r="T5" s="34">
        <v>10</v>
      </c>
      <c r="U5" s="32"/>
      <c r="V5" s="32"/>
      <c r="W5" s="180"/>
      <c r="X5" s="180"/>
      <c r="Y5" s="180"/>
      <c r="Z5" s="180"/>
      <c r="AA5" s="33" t="s">
        <v>23</v>
      </c>
    </row>
    <row r="6" spans="1:27" ht="17.399999999999999" x14ac:dyDescent="0.25">
      <c r="A6" s="32" t="s">
        <v>10</v>
      </c>
      <c r="B6" s="32" t="s">
        <v>11</v>
      </c>
      <c r="C6" s="32"/>
      <c r="D6" s="182" t="s">
        <v>39</v>
      </c>
      <c r="E6" s="182"/>
      <c r="F6" s="182"/>
      <c r="G6" s="182"/>
      <c r="H6" s="182"/>
      <c r="I6" s="182"/>
      <c r="J6" s="182"/>
      <c r="K6" s="182"/>
      <c r="L6" s="182"/>
      <c r="M6" s="32" t="s">
        <v>13</v>
      </c>
      <c r="N6" s="32" t="s">
        <v>96</v>
      </c>
      <c r="O6" s="32" t="s">
        <v>20</v>
      </c>
      <c r="P6" s="203" t="s">
        <v>127</v>
      </c>
      <c r="Q6" s="203"/>
      <c r="R6" s="32" t="s">
        <v>16</v>
      </c>
      <c r="S6" s="32">
        <v>18</v>
      </c>
      <c r="T6" s="34">
        <v>20</v>
      </c>
      <c r="U6" s="32"/>
      <c r="V6" s="32"/>
      <c r="W6" s="180"/>
      <c r="X6" s="180"/>
      <c r="Y6" s="180"/>
      <c r="Z6" s="180"/>
      <c r="AA6" s="33" t="s">
        <v>23</v>
      </c>
    </row>
    <row r="7" spans="1:27" ht="17.399999999999999" x14ac:dyDescent="0.25">
      <c r="A7" s="32" t="s">
        <v>10</v>
      </c>
      <c r="B7" s="32" t="s">
        <v>10</v>
      </c>
      <c r="C7" s="32"/>
      <c r="D7" s="182" t="s">
        <v>43</v>
      </c>
      <c r="E7" s="182"/>
      <c r="F7" s="182"/>
      <c r="G7" s="182"/>
      <c r="H7" s="182"/>
      <c r="I7" s="182"/>
      <c r="J7" s="182"/>
      <c r="K7" s="182"/>
      <c r="L7" s="182"/>
      <c r="M7" s="32" t="s">
        <v>13</v>
      </c>
      <c r="N7" s="32" t="s">
        <v>96</v>
      </c>
      <c r="O7" s="32" t="s">
        <v>20</v>
      </c>
      <c r="P7" s="203" t="s">
        <v>127</v>
      </c>
      <c r="Q7" s="203"/>
      <c r="R7" s="32" t="s">
        <v>16</v>
      </c>
      <c r="S7" s="32" t="s">
        <v>25</v>
      </c>
      <c r="T7" s="34">
        <v>840</v>
      </c>
      <c r="U7" s="32"/>
      <c r="V7" s="32"/>
      <c r="W7" s="180" t="s">
        <v>97</v>
      </c>
      <c r="X7" s="180"/>
      <c r="Y7" s="180"/>
      <c r="Z7" s="180"/>
      <c r="AA7" s="33" t="s">
        <v>23</v>
      </c>
    </row>
    <row r="8" spans="1:27" ht="17.399999999999999" x14ac:dyDescent="0.25">
      <c r="A8" s="32" t="s">
        <v>10</v>
      </c>
      <c r="B8" s="32" t="s">
        <v>10</v>
      </c>
      <c r="C8" s="32"/>
      <c r="D8" s="182" t="s">
        <v>45</v>
      </c>
      <c r="E8" s="182"/>
      <c r="F8" s="182"/>
      <c r="G8" s="182"/>
      <c r="H8" s="182"/>
      <c r="I8" s="182"/>
      <c r="J8" s="182"/>
      <c r="K8" s="182"/>
      <c r="L8" s="182"/>
      <c r="M8" s="32" t="s">
        <v>19</v>
      </c>
      <c r="N8" s="32" t="s">
        <v>96</v>
      </c>
      <c r="O8" s="32" t="s">
        <v>28</v>
      </c>
      <c r="P8" s="203" t="s">
        <v>29</v>
      </c>
      <c r="Q8" s="203"/>
      <c r="R8" s="32" t="s">
        <v>16</v>
      </c>
      <c r="S8" s="32">
        <v>54</v>
      </c>
      <c r="T8" s="34">
        <v>1000</v>
      </c>
      <c r="U8" s="32"/>
      <c r="V8" s="32"/>
      <c r="W8" s="180"/>
      <c r="X8" s="180"/>
      <c r="Y8" s="180"/>
      <c r="Z8" s="180"/>
      <c r="AA8" s="33" t="s">
        <v>31</v>
      </c>
    </row>
    <row r="9" spans="1:27" ht="17.399999999999999" x14ac:dyDescent="0.25">
      <c r="A9" s="32" t="s">
        <v>10</v>
      </c>
      <c r="B9" s="32" t="s">
        <v>10</v>
      </c>
      <c r="C9" s="32"/>
      <c r="D9" s="182" t="s">
        <v>46</v>
      </c>
      <c r="E9" s="182"/>
      <c r="F9" s="182"/>
      <c r="G9" s="182"/>
      <c r="H9" s="182"/>
      <c r="I9" s="182"/>
      <c r="J9" s="182"/>
      <c r="K9" s="182"/>
      <c r="L9" s="182"/>
      <c r="M9" s="32" t="s">
        <v>19</v>
      </c>
      <c r="N9" s="32" t="s">
        <v>96</v>
      </c>
      <c r="O9" s="32" t="s">
        <v>28</v>
      </c>
      <c r="P9" s="203" t="s">
        <v>29</v>
      </c>
      <c r="Q9" s="203"/>
      <c r="R9" s="32" t="s">
        <v>16</v>
      </c>
      <c r="S9" s="32">
        <v>54</v>
      </c>
      <c r="T9" s="34">
        <v>1</v>
      </c>
      <c r="U9" s="32"/>
      <c r="V9" s="32"/>
      <c r="W9" s="180"/>
      <c r="X9" s="180"/>
      <c r="Y9" s="180"/>
      <c r="Z9" s="180"/>
      <c r="AA9" s="33" t="s">
        <v>31</v>
      </c>
    </row>
    <row r="10" spans="1:27" ht="17.399999999999999" x14ac:dyDescent="0.25">
      <c r="A10" s="32" t="s">
        <v>10</v>
      </c>
      <c r="B10" s="32" t="s">
        <v>10</v>
      </c>
      <c r="C10" s="32"/>
      <c r="D10" s="182" t="s">
        <v>47</v>
      </c>
      <c r="E10" s="182"/>
      <c r="F10" s="182"/>
      <c r="G10" s="182"/>
      <c r="H10" s="182"/>
      <c r="I10" s="182"/>
      <c r="J10" s="182"/>
      <c r="K10" s="182"/>
      <c r="L10" s="182"/>
      <c r="M10" s="32" t="s">
        <v>13</v>
      </c>
      <c r="N10" s="32" t="s">
        <v>96</v>
      </c>
      <c r="O10" s="32" t="s">
        <v>20</v>
      </c>
      <c r="P10" s="203" t="s">
        <v>127</v>
      </c>
      <c r="Q10" s="203"/>
      <c r="R10" s="32" t="s">
        <v>16</v>
      </c>
      <c r="S10" s="32">
        <v>18</v>
      </c>
      <c r="T10" s="34">
        <v>20</v>
      </c>
      <c r="U10" s="32"/>
      <c r="V10" s="32"/>
      <c r="W10" s="180"/>
      <c r="X10" s="180"/>
      <c r="Y10" s="180"/>
      <c r="Z10" s="180"/>
      <c r="AA10" s="33" t="s">
        <v>23</v>
      </c>
    </row>
    <row r="11" spans="1:27" ht="17.399999999999999" x14ac:dyDescent="0.25">
      <c r="A11" s="32" t="s">
        <v>10</v>
      </c>
      <c r="B11" s="32" t="s">
        <v>10</v>
      </c>
      <c r="C11" s="32"/>
      <c r="D11" s="182" t="s">
        <v>48</v>
      </c>
      <c r="E11" s="182"/>
      <c r="F11" s="182"/>
      <c r="G11" s="182"/>
      <c r="H11" s="182"/>
      <c r="I11" s="182"/>
      <c r="J11" s="182"/>
      <c r="K11" s="182"/>
      <c r="L11" s="182"/>
      <c r="M11" s="32" t="s">
        <v>19</v>
      </c>
      <c r="N11" s="32" t="s">
        <v>96</v>
      </c>
      <c r="O11" s="32" t="s">
        <v>20</v>
      </c>
      <c r="P11" s="203" t="s">
        <v>127</v>
      </c>
      <c r="Q11" s="203"/>
      <c r="R11" s="32" t="s">
        <v>16</v>
      </c>
      <c r="S11" s="32">
        <v>108</v>
      </c>
      <c r="T11" s="34">
        <v>120</v>
      </c>
      <c r="U11" s="32"/>
      <c r="V11" s="32"/>
      <c r="W11" s="180"/>
      <c r="X11" s="180"/>
      <c r="Y11" s="180"/>
      <c r="Z11" s="180"/>
      <c r="AA11" s="33" t="s">
        <v>23</v>
      </c>
    </row>
    <row r="12" spans="1:27" ht="17.399999999999999" x14ac:dyDescent="0.25">
      <c r="A12" s="32" t="s">
        <v>10</v>
      </c>
      <c r="B12" s="32" t="s">
        <v>10</v>
      </c>
      <c r="C12" s="32"/>
      <c r="D12" s="182" t="s">
        <v>49</v>
      </c>
      <c r="E12" s="182"/>
      <c r="F12" s="182"/>
      <c r="G12" s="182"/>
      <c r="H12" s="182"/>
      <c r="I12" s="182"/>
      <c r="J12" s="182"/>
      <c r="K12" s="182"/>
      <c r="L12" s="182"/>
      <c r="M12" s="32" t="s">
        <v>27</v>
      </c>
      <c r="N12" s="32" t="s">
        <v>96</v>
      </c>
      <c r="O12" s="32" t="s">
        <v>20</v>
      </c>
      <c r="P12" s="203" t="s">
        <v>127</v>
      </c>
      <c r="Q12" s="203"/>
      <c r="R12" s="32" t="s">
        <v>16</v>
      </c>
      <c r="S12" s="32">
        <v>63</v>
      </c>
      <c r="T12" s="34">
        <v>70</v>
      </c>
      <c r="U12" s="32"/>
      <c r="V12" s="32"/>
      <c r="W12" s="180"/>
      <c r="X12" s="180"/>
      <c r="Y12" s="180"/>
      <c r="Z12" s="180"/>
      <c r="AA12" s="33" t="s">
        <v>23</v>
      </c>
    </row>
    <row r="13" spans="1:27" ht="17.399999999999999" x14ac:dyDescent="0.25">
      <c r="A13" s="32" t="s">
        <v>10</v>
      </c>
      <c r="B13" s="32" t="s">
        <v>10</v>
      </c>
      <c r="C13" s="32"/>
      <c r="D13" s="182" t="s">
        <v>50</v>
      </c>
      <c r="E13" s="182"/>
      <c r="F13" s="182"/>
      <c r="G13" s="182"/>
      <c r="H13" s="182"/>
      <c r="I13" s="182"/>
      <c r="J13" s="182"/>
      <c r="K13" s="182"/>
      <c r="L13" s="182"/>
      <c r="M13" s="32" t="s">
        <v>34</v>
      </c>
      <c r="N13" s="32" t="s">
        <v>96</v>
      </c>
      <c r="O13" s="32" t="s">
        <v>20</v>
      </c>
      <c r="P13" s="203" t="s">
        <v>127</v>
      </c>
      <c r="Q13" s="203"/>
      <c r="R13" s="32" t="s">
        <v>16</v>
      </c>
      <c r="S13" s="32">
        <v>27</v>
      </c>
      <c r="T13" s="34">
        <v>1000</v>
      </c>
      <c r="U13" s="32"/>
      <c r="V13" s="32"/>
      <c r="W13" s="180"/>
      <c r="X13" s="180"/>
      <c r="Y13" s="180"/>
      <c r="Z13" s="180"/>
      <c r="AA13" s="33" t="s">
        <v>23</v>
      </c>
    </row>
    <row r="14" spans="1:27" ht="17.399999999999999" x14ac:dyDescent="0.25">
      <c r="A14" s="32" t="s">
        <v>10</v>
      </c>
      <c r="B14" s="32" t="s">
        <v>10</v>
      </c>
      <c r="C14" s="32"/>
      <c r="D14" s="182" t="s">
        <v>51</v>
      </c>
      <c r="E14" s="182"/>
      <c r="F14" s="182"/>
      <c r="G14" s="182"/>
      <c r="H14" s="182"/>
      <c r="I14" s="182"/>
      <c r="J14" s="182"/>
      <c r="K14" s="182"/>
      <c r="L14" s="182"/>
      <c r="M14" s="32" t="s">
        <v>19</v>
      </c>
      <c r="N14" s="32" t="s">
        <v>96</v>
      </c>
      <c r="O14" s="32" t="s">
        <v>28</v>
      </c>
      <c r="P14" s="203" t="s">
        <v>29</v>
      </c>
      <c r="Q14" s="203"/>
      <c r="R14" s="32" t="s">
        <v>16</v>
      </c>
      <c r="S14" s="32">
        <v>945</v>
      </c>
      <c r="T14" s="34">
        <v>100000</v>
      </c>
      <c r="U14" s="32"/>
      <c r="V14" s="32"/>
      <c r="W14" s="180" t="s">
        <v>98</v>
      </c>
      <c r="X14" s="180"/>
      <c r="Y14" s="180"/>
      <c r="Z14" s="180"/>
      <c r="AA14" s="33" t="s">
        <v>31</v>
      </c>
    </row>
    <row r="15" spans="1:27" ht="17.399999999999999" x14ac:dyDescent="0.25">
      <c r="A15" s="32" t="s">
        <v>10</v>
      </c>
      <c r="B15" s="32" t="s">
        <v>10</v>
      </c>
      <c r="C15" s="32"/>
      <c r="D15" s="182" t="s">
        <v>52</v>
      </c>
      <c r="E15" s="182"/>
      <c r="F15" s="182"/>
      <c r="G15" s="182"/>
      <c r="H15" s="182"/>
      <c r="I15" s="182"/>
      <c r="J15" s="182"/>
      <c r="K15" s="182"/>
      <c r="L15" s="182"/>
      <c r="M15" s="32" t="s">
        <v>19</v>
      </c>
      <c r="N15" s="32" t="s">
        <v>96</v>
      </c>
      <c r="O15" s="32" t="s">
        <v>28</v>
      </c>
      <c r="P15" s="203" t="s">
        <v>29</v>
      </c>
      <c r="Q15" s="203"/>
      <c r="R15" s="32" t="s">
        <v>16</v>
      </c>
      <c r="S15" s="32" t="s">
        <v>25</v>
      </c>
      <c r="T15" s="34">
        <v>400</v>
      </c>
      <c r="U15" s="32"/>
      <c r="V15" s="32"/>
      <c r="W15" s="180" t="s">
        <v>99</v>
      </c>
      <c r="X15" s="180"/>
      <c r="Y15" s="180"/>
      <c r="Z15" s="180"/>
      <c r="AA15" s="33" t="s">
        <v>31</v>
      </c>
    </row>
    <row r="16" spans="1:27" ht="17.399999999999999" x14ac:dyDescent="0.25">
      <c r="A16" s="32" t="s">
        <v>10</v>
      </c>
      <c r="B16" s="32" t="s">
        <v>10</v>
      </c>
      <c r="C16" s="32"/>
      <c r="D16" s="182" t="s">
        <v>53</v>
      </c>
      <c r="E16" s="182"/>
      <c r="F16" s="182"/>
      <c r="G16" s="182"/>
      <c r="H16" s="182"/>
      <c r="I16" s="182"/>
      <c r="J16" s="182"/>
      <c r="K16" s="182"/>
      <c r="L16" s="182"/>
      <c r="M16" s="32" t="s">
        <v>19</v>
      </c>
      <c r="N16" s="32" t="s">
        <v>96</v>
      </c>
      <c r="O16" s="32" t="s">
        <v>28</v>
      </c>
      <c r="P16" s="203" t="s">
        <v>29</v>
      </c>
      <c r="Q16" s="203"/>
      <c r="R16" s="32" t="s">
        <v>16</v>
      </c>
      <c r="S16" s="32" t="s">
        <v>100</v>
      </c>
      <c r="T16" s="34">
        <v>0</v>
      </c>
      <c r="U16" s="32"/>
      <c r="V16" s="32"/>
      <c r="W16" s="180" t="s">
        <v>99</v>
      </c>
      <c r="X16" s="180"/>
      <c r="Y16" s="180"/>
      <c r="Z16" s="180"/>
      <c r="AA16" s="33" t="s">
        <v>31</v>
      </c>
    </row>
    <row r="17" spans="1:27" ht="17.399999999999999" x14ac:dyDescent="0.25">
      <c r="A17" s="32" t="s">
        <v>10</v>
      </c>
      <c r="B17" s="32" t="s">
        <v>10</v>
      </c>
      <c r="C17" s="32"/>
      <c r="D17" s="182" t="s">
        <v>54</v>
      </c>
      <c r="E17" s="182"/>
      <c r="F17" s="182"/>
      <c r="G17" s="182"/>
      <c r="H17" s="182"/>
      <c r="I17" s="182"/>
      <c r="J17" s="182"/>
      <c r="K17" s="182"/>
      <c r="L17" s="182"/>
      <c r="M17" s="32" t="s">
        <v>19</v>
      </c>
      <c r="N17" s="32" t="s">
        <v>96</v>
      </c>
      <c r="O17" s="32" t="s">
        <v>14</v>
      </c>
      <c r="P17" s="203" t="s">
        <v>36</v>
      </c>
      <c r="Q17" s="203"/>
      <c r="R17" s="32" t="s">
        <v>16</v>
      </c>
      <c r="S17" s="32">
        <v>54</v>
      </c>
      <c r="T17" s="34">
        <v>60</v>
      </c>
      <c r="U17" s="32"/>
      <c r="V17" s="32"/>
      <c r="W17" s="180"/>
      <c r="X17" s="180"/>
      <c r="Y17" s="180"/>
      <c r="Z17" s="180"/>
      <c r="AA17" s="33" t="s">
        <v>23</v>
      </c>
    </row>
    <row r="18" spans="1:27" ht="17.399999999999999" x14ac:dyDescent="0.25">
      <c r="A18" s="32" t="s">
        <v>10</v>
      </c>
      <c r="B18" s="32" t="s">
        <v>10</v>
      </c>
      <c r="C18" s="32"/>
      <c r="D18" s="182" t="s">
        <v>55</v>
      </c>
      <c r="E18" s="182"/>
      <c r="F18" s="182"/>
      <c r="G18" s="182"/>
      <c r="H18" s="182"/>
      <c r="I18" s="182"/>
      <c r="J18" s="182"/>
      <c r="K18" s="182"/>
      <c r="L18" s="182"/>
      <c r="M18" s="32" t="s">
        <v>19</v>
      </c>
      <c r="N18" s="32" t="s">
        <v>96</v>
      </c>
      <c r="O18" s="32" t="s">
        <v>14</v>
      </c>
      <c r="P18" s="203" t="s">
        <v>36</v>
      </c>
      <c r="Q18" s="203"/>
      <c r="R18" s="32" t="s">
        <v>16</v>
      </c>
      <c r="S18" s="32">
        <v>63</v>
      </c>
      <c r="T18" s="34">
        <v>70</v>
      </c>
      <c r="U18" s="32"/>
      <c r="V18" s="32"/>
      <c r="W18" s="180"/>
      <c r="X18" s="180"/>
      <c r="Y18" s="180"/>
      <c r="Z18" s="180"/>
      <c r="AA18" s="33" t="s">
        <v>23</v>
      </c>
    </row>
    <row r="19" spans="1:27" ht="17.399999999999999" x14ac:dyDescent="0.25">
      <c r="A19" s="32" t="s">
        <v>10</v>
      </c>
      <c r="B19" s="32" t="s">
        <v>10</v>
      </c>
      <c r="C19" s="32"/>
      <c r="D19" s="182" t="s">
        <v>56</v>
      </c>
      <c r="E19" s="182"/>
      <c r="F19" s="182"/>
      <c r="G19" s="182"/>
      <c r="H19" s="182"/>
      <c r="I19" s="182"/>
      <c r="J19" s="182"/>
      <c r="K19" s="182"/>
      <c r="L19" s="182"/>
      <c r="M19" s="32" t="s">
        <v>19</v>
      </c>
      <c r="N19" s="32" t="s">
        <v>96</v>
      </c>
      <c r="O19" s="32" t="s">
        <v>28</v>
      </c>
      <c r="P19" s="203" t="s">
        <v>29</v>
      </c>
      <c r="Q19" s="203"/>
      <c r="R19" s="32" t="s">
        <v>16</v>
      </c>
      <c r="S19" s="32">
        <v>54</v>
      </c>
      <c r="T19" s="34">
        <v>100</v>
      </c>
      <c r="U19" s="32"/>
      <c r="V19" s="32"/>
      <c r="W19" s="180" t="s">
        <v>101</v>
      </c>
      <c r="X19" s="180"/>
      <c r="Y19" s="180"/>
      <c r="Z19" s="180"/>
      <c r="AA19" s="33" t="s">
        <v>31</v>
      </c>
    </row>
    <row r="20" spans="1:27" ht="17.399999999999999" x14ac:dyDescent="0.25">
      <c r="A20" s="32" t="s">
        <v>10</v>
      </c>
      <c r="B20" s="32" t="s">
        <v>10</v>
      </c>
      <c r="C20" s="32"/>
      <c r="D20" s="182" t="s">
        <v>57</v>
      </c>
      <c r="E20" s="182"/>
      <c r="F20" s="182"/>
      <c r="G20" s="182"/>
      <c r="H20" s="182"/>
      <c r="I20" s="182"/>
      <c r="J20" s="182"/>
      <c r="K20" s="182"/>
      <c r="L20" s="182"/>
      <c r="M20" s="32" t="s">
        <v>27</v>
      </c>
      <c r="N20" s="32" t="s">
        <v>96</v>
      </c>
      <c r="O20" s="32" t="s">
        <v>28</v>
      </c>
      <c r="P20" s="203" t="s">
        <v>29</v>
      </c>
      <c r="Q20" s="203"/>
      <c r="R20" s="32" t="s">
        <v>16</v>
      </c>
      <c r="S20" s="32">
        <v>63</v>
      </c>
      <c r="T20" s="34">
        <v>70</v>
      </c>
      <c r="U20" s="32"/>
      <c r="V20" s="32"/>
      <c r="W20" s="180"/>
      <c r="X20" s="180"/>
      <c r="Y20" s="180"/>
      <c r="Z20" s="180"/>
      <c r="AA20" s="33" t="s">
        <v>31</v>
      </c>
    </row>
    <row r="21" spans="1:27" ht="17.399999999999999" x14ac:dyDescent="0.25">
      <c r="A21" s="32" t="s">
        <v>10</v>
      </c>
      <c r="B21" s="32" t="s">
        <v>10</v>
      </c>
      <c r="C21" s="32"/>
      <c r="D21" s="182" t="s">
        <v>58</v>
      </c>
      <c r="E21" s="182"/>
      <c r="F21" s="182"/>
      <c r="G21" s="182"/>
      <c r="H21" s="182"/>
      <c r="I21" s="182"/>
      <c r="J21" s="182"/>
      <c r="K21" s="182"/>
      <c r="L21" s="182"/>
      <c r="M21" s="32" t="s">
        <v>19</v>
      </c>
      <c r="N21" s="32" t="s">
        <v>96</v>
      </c>
      <c r="O21" s="32" t="s">
        <v>28</v>
      </c>
      <c r="P21" s="203" t="s">
        <v>29</v>
      </c>
      <c r="Q21" s="203"/>
      <c r="R21" s="32" t="s">
        <v>16</v>
      </c>
      <c r="S21" s="32">
        <v>54</v>
      </c>
      <c r="T21" s="34">
        <v>60</v>
      </c>
      <c r="U21" s="32"/>
      <c r="V21" s="32"/>
      <c r="W21" s="180"/>
      <c r="X21" s="180"/>
      <c r="Y21" s="180"/>
      <c r="Z21" s="180"/>
      <c r="AA21" s="33" t="s">
        <v>31</v>
      </c>
    </row>
    <row r="22" spans="1:27" ht="17.399999999999999" x14ac:dyDescent="0.25">
      <c r="A22" s="32" t="s">
        <v>10</v>
      </c>
      <c r="B22" s="32" t="s">
        <v>10</v>
      </c>
      <c r="C22" s="32"/>
      <c r="D22" s="182" t="s">
        <v>59</v>
      </c>
      <c r="E22" s="182"/>
      <c r="F22" s="182"/>
      <c r="G22" s="182"/>
      <c r="H22" s="182"/>
      <c r="I22" s="182"/>
      <c r="J22" s="182"/>
      <c r="K22" s="182"/>
      <c r="L22" s="182"/>
      <c r="M22" s="32" t="s">
        <v>27</v>
      </c>
      <c r="N22" s="32" t="s">
        <v>96</v>
      </c>
      <c r="O22" s="32" t="s">
        <v>28</v>
      </c>
      <c r="P22" s="203" t="s">
        <v>29</v>
      </c>
      <c r="Q22" s="203"/>
      <c r="R22" s="32" t="s">
        <v>16</v>
      </c>
      <c r="S22" s="32">
        <v>63</v>
      </c>
      <c r="T22" s="34">
        <v>70</v>
      </c>
      <c r="U22" s="32"/>
      <c r="V22" s="32"/>
      <c r="W22" s="180"/>
      <c r="X22" s="180"/>
      <c r="Y22" s="180"/>
      <c r="Z22" s="180"/>
      <c r="AA22" s="33" t="s">
        <v>31</v>
      </c>
    </row>
    <row r="23" spans="1:27" ht="17.399999999999999" x14ac:dyDescent="0.25">
      <c r="A23" s="32" t="s">
        <v>10</v>
      </c>
      <c r="B23" s="32" t="s">
        <v>10</v>
      </c>
      <c r="C23" s="32"/>
      <c r="D23" s="180" t="s">
        <v>60</v>
      </c>
      <c r="E23" s="182"/>
      <c r="F23" s="182"/>
      <c r="G23" s="182"/>
      <c r="H23" s="182"/>
      <c r="I23" s="182"/>
      <c r="J23" s="182"/>
      <c r="K23" s="182"/>
      <c r="L23" s="182"/>
      <c r="M23" s="32" t="s">
        <v>19</v>
      </c>
      <c r="N23" s="32" t="s">
        <v>96</v>
      </c>
      <c r="O23" s="32" t="s">
        <v>28</v>
      </c>
      <c r="P23" s="203" t="s">
        <v>29</v>
      </c>
      <c r="Q23" s="203"/>
      <c r="R23" s="32" t="s">
        <v>16</v>
      </c>
      <c r="S23" s="32">
        <v>54</v>
      </c>
      <c r="T23" s="34">
        <v>60</v>
      </c>
      <c r="U23" s="32"/>
      <c r="V23" s="32"/>
      <c r="W23" s="180"/>
      <c r="X23" s="180"/>
      <c r="Y23" s="180"/>
      <c r="Z23" s="180"/>
      <c r="AA23" s="33" t="s">
        <v>31</v>
      </c>
    </row>
    <row r="24" spans="1:27" ht="17.399999999999999" x14ac:dyDescent="0.25">
      <c r="A24" s="32" t="s">
        <v>10</v>
      </c>
      <c r="B24" s="32" t="s">
        <v>10</v>
      </c>
      <c r="C24" s="32"/>
      <c r="D24" s="182" t="s">
        <v>61</v>
      </c>
      <c r="E24" s="182"/>
      <c r="F24" s="182"/>
      <c r="G24" s="182"/>
      <c r="H24" s="182"/>
      <c r="I24" s="182"/>
      <c r="J24" s="182"/>
      <c r="K24" s="182"/>
      <c r="L24" s="182"/>
      <c r="M24" s="32" t="s">
        <v>27</v>
      </c>
      <c r="N24" s="32" t="s">
        <v>96</v>
      </c>
      <c r="O24" s="32" t="s">
        <v>28</v>
      </c>
      <c r="P24" s="203" t="s">
        <v>29</v>
      </c>
      <c r="Q24" s="203"/>
      <c r="R24" s="32" t="s">
        <v>16</v>
      </c>
      <c r="S24" s="32">
        <v>63</v>
      </c>
      <c r="T24" s="34">
        <v>70</v>
      </c>
      <c r="U24" s="32"/>
      <c r="V24" s="32"/>
      <c r="W24" s="180"/>
      <c r="X24" s="180"/>
      <c r="Y24" s="180"/>
      <c r="Z24" s="180"/>
      <c r="AA24" s="33" t="s">
        <v>31</v>
      </c>
    </row>
    <row r="25" spans="1:27" ht="17.399999999999999" x14ac:dyDescent="0.25">
      <c r="A25" s="32" t="s">
        <v>10</v>
      </c>
      <c r="B25" s="32" t="s">
        <v>10</v>
      </c>
      <c r="C25" s="32"/>
      <c r="D25" s="182" t="s">
        <v>62</v>
      </c>
      <c r="E25" s="182"/>
      <c r="F25" s="182"/>
      <c r="G25" s="182"/>
      <c r="H25" s="182"/>
      <c r="I25" s="182"/>
      <c r="J25" s="182"/>
      <c r="K25" s="182"/>
      <c r="L25" s="182"/>
      <c r="M25" s="32" t="s">
        <v>19</v>
      </c>
      <c r="N25" s="32" t="s">
        <v>96</v>
      </c>
      <c r="O25" s="32" t="s">
        <v>28</v>
      </c>
      <c r="P25" s="203" t="s">
        <v>29</v>
      </c>
      <c r="Q25" s="203"/>
      <c r="R25" s="32" t="s">
        <v>16</v>
      </c>
      <c r="S25" s="32">
        <v>54</v>
      </c>
      <c r="T25" s="34">
        <v>120</v>
      </c>
      <c r="U25" s="32"/>
      <c r="V25" s="32"/>
      <c r="W25" s="180"/>
      <c r="X25" s="180"/>
      <c r="Y25" s="180"/>
      <c r="Z25" s="180"/>
      <c r="AA25" s="33" t="s">
        <v>31</v>
      </c>
    </row>
    <row r="26" spans="1:27" ht="17.399999999999999" x14ac:dyDescent="0.25">
      <c r="A26" s="32" t="s">
        <v>10</v>
      </c>
      <c r="B26" s="32" t="s">
        <v>10</v>
      </c>
      <c r="C26" s="32"/>
      <c r="D26" s="182" t="s">
        <v>63</v>
      </c>
      <c r="E26" s="182"/>
      <c r="F26" s="182"/>
      <c r="G26" s="182"/>
      <c r="H26" s="182"/>
      <c r="I26" s="182"/>
      <c r="J26" s="182"/>
      <c r="K26" s="182"/>
      <c r="L26" s="182"/>
      <c r="M26" s="32" t="s">
        <v>27</v>
      </c>
      <c r="N26" s="32" t="s">
        <v>96</v>
      </c>
      <c r="O26" s="32" t="s">
        <v>28</v>
      </c>
      <c r="P26" s="203" t="s">
        <v>29</v>
      </c>
      <c r="Q26" s="203"/>
      <c r="R26" s="32" t="s">
        <v>16</v>
      </c>
      <c r="S26" s="32">
        <v>63</v>
      </c>
      <c r="T26" s="34">
        <v>70</v>
      </c>
      <c r="U26" s="32"/>
      <c r="V26" s="32"/>
      <c r="W26" s="180"/>
      <c r="X26" s="180"/>
      <c r="Y26" s="180"/>
      <c r="Z26" s="180"/>
      <c r="AA26" s="33" t="s">
        <v>31</v>
      </c>
    </row>
    <row r="27" spans="1:27" ht="17.399999999999999" x14ac:dyDescent="0.25">
      <c r="A27" s="32" t="s">
        <v>10</v>
      </c>
      <c r="B27" s="32" t="s">
        <v>10</v>
      </c>
      <c r="C27" s="32"/>
      <c r="D27" s="182" t="s">
        <v>64</v>
      </c>
      <c r="E27" s="182"/>
      <c r="F27" s="182"/>
      <c r="G27" s="182"/>
      <c r="H27" s="182"/>
      <c r="I27" s="182"/>
      <c r="J27" s="182"/>
      <c r="K27" s="182"/>
      <c r="L27" s="182"/>
      <c r="M27" s="32" t="s">
        <v>19</v>
      </c>
      <c r="N27" s="32" t="s">
        <v>96</v>
      </c>
      <c r="O27" s="32" t="s">
        <v>28</v>
      </c>
      <c r="P27" s="203" t="s">
        <v>29</v>
      </c>
      <c r="Q27" s="203"/>
      <c r="R27" s="32" t="s">
        <v>16</v>
      </c>
      <c r="S27" s="32">
        <v>54</v>
      </c>
      <c r="T27" s="34">
        <v>60</v>
      </c>
      <c r="U27" s="32"/>
      <c r="V27" s="32"/>
      <c r="W27" s="180" t="s">
        <v>101</v>
      </c>
      <c r="X27" s="180"/>
      <c r="Y27" s="180"/>
      <c r="Z27" s="180"/>
      <c r="AA27" s="33" t="s">
        <v>31</v>
      </c>
    </row>
    <row r="28" spans="1:27" ht="17.399999999999999" x14ac:dyDescent="0.25">
      <c r="A28" s="32" t="s">
        <v>10</v>
      </c>
      <c r="B28" s="32" t="s">
        <v>10</v>
      </c>
      <c r="C28" s="32"/>
      <c r="D28" s="182" t="s">
        <v>65</v>
      </c>
      <c r="E28" s="182"/>
      <c r="F28" s="182"/>
      <c r="G28" s="182"/>
      <c r="H28" s="182"/>
      <c r="I28" s="182"/>
      <c r="J28" s="182"/>
      <c r="K28" s="182"/>
      <c r="L28" s="182"/>
      <c r="M28" s="32" t="s">
        <v>27</v>
      </c>
      <c r="N28" s="32" t="s">
        <v>96</v>
      </c>
      <c r="O28" s="32" t="s">
        <v>28</v>
      </c>
      <c r="P28" s="203" t="s">
        <v>29</v>
      </c>
      <c r="Q28" s="203"/>
      <c r="R28" s="32" t="s">
        <v>16</v>
      </c>
      <c r="S28" s="32">
        <v>63</v>
      </c>
      <c r="T28" s="34">
        <v>70</v>
      </c>
      <c r="U28" s="32"/>
      <c r="V28" s="32"/>
      <c r="W28" s="180"/>
      <c r="X28" s="180"/>
      <c r="Y28" s="180"/>
      <c r="Z28" s="180"/>
      <c r="AA28" s="33" t="s">
        <v>31</v>
      </c>
    </row>
    <row r="29" spans="1:27" ht="17.399999999999999" x14ac:dyDescent="0.25">
      <c r="A29" s="32" t="s">
        <v>10</v>
      </c>
      <c r="B29" s="32" t="s">
        <v>10</v>
      </c>
      <c r="C29" s="32"/>
      <c r="D29" s="182" t="s">
        <v>66</v>
      </c>
      <c r="E29" s="182"/>
      <c r="F29" s="182"/>
      <c r="G29" s="182"/>
      <c r="H29" s="182"/>
      <c r="I29" s="182"/>
      <c r="J29" s="182"/>
      <c r="K29" s="182"/>
      <c r="L29" s="182"/>
      <c r="M29" s="32" t="s">
        <v>19</v>
      </c>
      <c r="N29" s="32" t="s">
        <v>96</v>
      </c>
      <c r="O29" s="32" t="s">
        <v>28</v>
      </c>
      <c r="P29" s="203" t="s">
        <v>29</v>
      </c>
      <c r="Q29" s="203"/>
      <c r="R29" s="32" t="s">
        <v>16</v>
      </c>
      <c r="S29" s="32">
        <v>54</v>
      </c>
      <c r="T29" s="34">
        <v>60</v>
      </c>
      <c r="U29" s="32"/>
      <c r="V29" s="32"/>
      <c r="W29" s="180"/>
      <c r="X29" s="180"/>
      <c r="Y29" s="180"/>
      <c r="Z29" s="180"/>
      <c r="AA29" s="33" t="s">
        <v>31</v>
      </c>
    </row>
    <row r="30" spans="1:27" ht="17.399999999999999" x14ac:dyDescent="0.25">
      <c r="A30" s="32" t="s">
        <v>10</v>
      </c>
      <c r="B30" s="32" t="s">
        <v>10</v>
      </c>
      <c r="C30" s="32"/>
      <c r="D30" s="182" t="s">
        <v>67</v>
      </c>
      <c r="E30" s="182"/>
      <c r="F30" s="182"/>
      <c r="G30" s="182"/>
      <c r="H30" s="182"/>
      <c r="I30" s="182"/>
      <c r="J30" s="182"/>
      <c r="K30" s="182"/>
      <c r="L30" s="182"/>
      <c r="M30" s="32" t="s">
        <v>27</v>
      </c>
      <c r="N30" s="32" t="s">
        <v>96</v>
      </c>
      <c r="O30" s="32" t="s">
        <v>28</v>
      </c>
      <c r="P30" s="203" t="s">
        <v>29</v>
      </c>
      <c r="Q30" s="203"/>
      <c r="R30" s="32" t="s">
        <v>16</v>
      </c>
      <c r="S30" s="32">
        <v>63</v>
      </c>
      <c r="T30" s="34">
        <v>70</v>
      </c>
      <c r="U30" s="32"/>
      <c r="V30" s="32"/>
      <c r="W30" s="180"/>
      <c r="X30" s="180"/>
      <c r="Y30" s="180"/>
      <c r="Z30" s="180"/>
      <c r="AA30" s="33" t="s">
        <v>31</v>
      </c>
    </row>
    <row r="31" spans="1:27" ht="17.399999999999999" x14ac:dyDescent="0.25">
      <c r="A31" s="32" t="s">
        <v>10</v>
      </c>
      <c r="B31" s="32" t="s">
        <v>10</v>
      </c>
      <c r="C31" s="32"/>
      <c r="D31" s="182" t="s">
        <v>68</v>
      </c>
      <c r="E31" s="182"/>
      <c r="F31" s="182"/>
      <c r="G31" s="182"/>
      <c r="H31" s="182"/>
      <c r="I31" s="182"/>
      <c r="J31" s="182"/>
      <c r="K31" s="182"/>
      <c r="L31" s="182"/>
      <c r="M31" s="32" t="s">
        <v>19</v>
      </c>
      <c r="N31" s="32" t="s">
        <v>96</v>
      </c>
      <c r="O31" s="32" t="s">
        <v>28</v>
      </c>
      <c r="P31" s="203" t="s">
        <v>29</v>
      </c>
      <c r="Q31" s="203"/>
      <c r="R31" s="32" t="s">
        <v>16</v>
      </c>
      <c r="S31" s="32">
        <v>54</v>
      </c>
      <c r="T31" s="34">
        <v>60</v>
      </c>
      <c r="U31" s="32"/>
      <c r="V31" s="32"/>
      <c r="W31" s="180"/>
      <c r="X31" s="180"/>
      <c r="Y31" s="180"/>
      <c r="Z31" s="180"/>
      <c r="AA31" s="33" t="s">
        <v>31</v>
      </c>
    </row>
    <row r="32" spans="1:27" ht="17.399999999999999" x14ac:dyDescent="0.25">
      <c r="A32" s="32" t="s">
        <v>10</v>
      </c>
      <c r="B32" s="32" t="s">
        <v>10</v>
      </c>
      <c r="C32" s="32"/>
      <c r="D32" s="182" t="s">
        <v>69</v>
      </c>
      <c r="E32" s="182"/>
      <c r="F32" s="182"/>
      <c r="G32" s="182"/>
      <c r="H32" s="182"/>
      <c r="I32" s="182"/>
      <c r="J32" s="182"/>
      <c r="K32" s="182"/>
      <c r="L32" s="182"/>
      <c r="M32" s="32" t="s">
        <v>27</v>
      </c>
      <c r="N32" s="32" t="s">
        <v>96</v>
      </c>
      <c r="O32" s="32" t="s">
        <v>35</v>
      </c>
      <c r="P32" s="203" t="s">
        <v>41</v>
      </c>
      <c r="Q32" s="203"/>
      <c r="R32" s="32" t="s">
        <v>16</v>
      </c>
      <c r="S32" s="32">
        <v>63</v>
      </c>
      <c r="T32" s="34">
        <v>600</v>
      </c>
      <c r="U32" s="32"/>
      <c r="V32" s="32"/>
      <c r="W32" s="180"/>
      <c r="X32" s="180"/>
      <c r="Y32" s="180"/>
      <c r="Z32" s="180"/>
      <c r="AA32" s="33" t="s">
        <v>37</v>
      </c>
    </row>
    <row r="33" spans="1:27" ht="17.399999999999999" x14ac:dyDescent="0.25">
      <c r="A33" s="32" t="s">
        <v>10</v>
      </c>
      <c r="B33" s="32" t="s">
        <v>10</v>
      </c>
      <c r="C33" s="32"/>
      <c r="D33" s="182" t="s">
        <v>70</v>
      </c>
      <c r="E33" s="182"/>
      <c r="F33" s="182"/>
      <c r="G33" s="182"/>
      <c r="H33" s="182"/>
      <c r="I33" s="182"/>
      <c r="J33" s="182"/>
      <c r="K33" s="182"/>
      <c r="L33" s="182"/>
      <c r="M33" s="32" t="s">
        <v>19</v>
      </c>
      <c r="N33" s="32" t="s">
        <v>96</v>
      </c>
      <c r="O33" s="32" t="s">
        <v>28</v>
      </c>
      <c r="P33" s="203" t="s">
        <v>29</v>
      </c>
      <c r="Q33" s="203"/>
      <c r="R33" s="32" t="s">
        <v>16</v>
      </c>
      <c r="S33" s="32">
        <v>54</v>
      </c>
      <c r="T33" s="34">
        <v>60</v>
      </c>
      <c r="U33" s="32"/>
      <c r="V33" s="32"/>
      <c r="W33" s="180"/>
      <c r="X33" s="180"/>
      <c r="Y33" s="180"/>
      <c r="Z33" s="180"/>
      <c r="AA33" s="33" t="s">
        <v>31</v>
      </c>
    </row>
    <row r="34" spans="1:27" ht="17.399999999999999" x14ac:dyDescent="0.25">
      <c r="A34" s="32" t="s">
        <v>10</v>
      </c>
      <c r="B34" s="32" t="s">
        <v>10</v>
      </c>
      <c r="C34" s="32"/>
      <c r="D34" s="182" t="s">
        <v>71</v>
      </c>
      <c r="E34" s="182"/>
      <c r="F34" s="182"/>
      <c r="G34" s="182"/>
      <c r="H34" s="182"/>
      <c r="I34" s="182"/>
      <c r="J34" s="182"/>
      <c r="K34" s="182"/>
      <c r="L34" s="182"/>
      <c r="M34" s="32" t="s">
        <v>27</v>
      </c>
      <c r="N34" s="32" t="s">
        <v>96</v>
      </c>
      <c r="O34" s="32" t="s">
        <v>35</v>
      </c>
      <c r="P34" s="203" t="s">
        <v>41</v>
      </c>
      <c r="Q34" s="203"/>
      <c r="R34" s="32" t="s">
        <v>16</v>
      </c>
      <c r="S34" s="32">
        <v>63</v>
      </c>
      <c r="T34" s="34">
        <v>70</v>
      </c>
      <c r="U34" s="32"/>
      <c r="V34" s="32"/>
      <c r="W34" s="180"/>
      <c r="X34" s="180"/>
      <c r="Y34" s="180"/>
      <c r="Z34" s="180"/>
      <c r="AA34" s="33" t="s">
        <v>37</v>
      </c>
    </row>
    <row r="35" spans="1:27" ht="17.399999999999999" x14ac:dyDescent="0.25">
      <c r="A35" s="32" t="s">
        <v>10</v>
      </c>
      <c r="B35" s="32" t="s">
        <v>10</v>
      </c>
      <c r="C35" s="32"/>
      <c r="D35" s="182" t="s">
        <v>72</v>
      </c>
      <c r="E35" s="182"/>
      <c r="F35" s="182"/>
      <c r="G35" s="182"/>
      <c r="H35" s="182"/>
      <c r="I35" s="182"/>
      <c r="J35" s="182"/>
      <c r="K35" s="182"/>
      <c r="L35" s="182"/>
      <c r="M35" s="32" t="s">
        <v>19</v>
      </c>
      <c r="N35" s="32" t="s">
        <v>96</v>
      </c>
      <c r="O35" s="32" t="s">
        <v>28</v>
      </c>
      <c r="P35" s="203" t="s">
        <v>29</v>
      </c>
      <c r="Q35" s="203"/>
      <c r="R35" s="32" t="s">
        <v>16</v>
      </c>
      <c r="S35" s="32">
        <v>54</v>
      </c>
      <c r="T35" s="34">
        <v>60</v>
      </c>
      <c r="U35" s="32"/>
      <c r="V35" s="32"/>
      <c r="W35" s="180"/>
      <c r="X35" s="180"/>
      <c r="Y35" s="180"/>
      <c r="Z35" s="180"/>
      <c r="AA35" s="33" t="s">
        <v>31</v>
      </c>
    </row>
    <row r="36" spans="1:27" ht="17.399999999999999" x14ac:dyDescent="0.25">
      <c r="A36" s="32" t="s">
        <v>10</v>
      </c>
      <c r="B36" s="32" t="s">
        <v>10</v>
      </c>
      <c r="C36" s="32"/>
      <c r="D36" s="182" t="s">
        <v>73</v>
      </c>
      <c r="E36" s="182"/>
      <c r="F36" s="182"/>
      <c r="G36" s="182"/>
      <c r="H36" s="182"/>
      <c r="I36" s="182"/>
      <c r="J36" s="182"/>
      <c r="K36" s="182"/>
      <c r="L36" s="182"/>
      <c r="M36" s="32" t="s">
        <v>27</v>
      </c>
      <c r="N36" s="32" t="s">
        <v>96</v>
      </c>
      <c r="O36" s="32" t="s">
        <v>35</v>
      </c>
      <c r="P36" s="203" t="s">
        <v>41</v>
      </c>
      <c r="Q36" s="203"/>
      <c r="R36" s="32" t="s">
        <v>16</v>
      </c>
      <c r="S36" s="32">
        <v>63</v>
      </c>
      <c r="T36" s="34">
        <v>70</v>
      </c>
      <c r="U36" s="32"/>
      <c r="V36" s="32"/>
      <c r="W36" s="180"/>
      <c r="X36" s="180"/>
      <c r="Y36" s="180"/>
      <c r="Z36" s="180"/>
      <c r="AA36" s="33" t="s">
        <v>37</v>
      </c>
    </row>
    <row r="37" spans="1:27" ht="17.399999999999999" x14ac:dyDescent="0.25">
      <c r="A37" s="32" t="s">
        <v>10</v>
      </c>
      <c r="B37" s="32" t="s">
        <v>10</v>
      </c>
      <c r="C37" s="32"/>
      <c r="D37" s="182" t="s">
        <v>74</v>
      </c>
      <c r="E37" s="182"/>
      <c r="F37" s="182"/>
      <c r="G37" s="182"/>
      <c r="H37" s="182"/>
      <c r="I37" s="182"/>
      <c r="J37" s="182"/>
      <c r="K37" s="182"/>
      <c r="L37" s="182"/>
      <c r="M37" s="32" t="s">
        <v>34</v>
      </c>
      <c r="N37" s="32" t="s">
        <v>96</v>
      </c>
      <c r="O37" s="32" t="s">
        <v>35</v>
      </c>
      <c r="P37" s="203" t="s">
        <v>41</v>
      </c>
      <c r="Q37" s="203"/>
      <c r="R37" s="32" t="s">
        <v>16</v>
      </c>
      <c r="S37" s="32">
        <v>27</v>
      </c>
      <c r="T37" s="34">
        <v>40</v>
      </c>
      <c r="U37" s="32"/>
      <c r="V37" s="32"/>
      <c r="W37" s="180"/>
      <c r="X37" s="180"/>
      <c r="Y37" s="180"/>
      <c r="Z37" s="180"/>
      <c r="AA37" s="33" t="s">
        <v>37</v>
      </c>
    </row>
    <row r="38" spans="1:27" ht="17.399999999999999" x14ac:dyDescent="0.25">
      <c r="A38" s="32" t="s">
        <v>10</v>
      </c>
      <c r="B38" s="32" t="s">
        <v>10</v>
      </c>
      <c r="C38" s="32"/>
      <c r="D38" s="182" t="s">
        <v>75</v>
      </c>
      <c r="E38" s="182"/>
      <c r="F38" s="182"/>
      <c r="G38" s="182"/>
      <c r="H38" s="182"/>
      <c r="I38" s="182"/>
      <c r="J38" s="182"/>
      <c r="K38" s="182"/>
      <c r="L38" s="182"/>
      <c r="M38" s="32" t="s">
        <v>34</v>
      </c>
      <c r="N38" s="32" t="s">
        <v>96</v>
      </c>
      <c r="O38" s="32" t="s">
        <v>35</v>
      </c>
      <c r="P38" s="203" t="s">
        <v>41</v>
      </c>
      <c r="Q38" s="203"/>
      <c r="R38" s="32" t="s">
        <v>16</v>
      </c>
      <c r="S38" s="32">
        <v>27</v>
      </c>
      <c r="T38" s="34">
        <v>40</v>
      </c>
      <c r="U38" s="32"/>
      <c r="V38" s="32"/>
      <c r="W38" s="180"/>
      <c r="X38" s="180"/>
      <c r="Y38" s="180"/>
      <c r="Z38" s="180"/>
      <c r="AA38" s="33" t="s">
        <v>37</v>
      </c>
    </row>
    <row r="39" spans="1:27" ht="17.399999999999999" x14ac:dyDescent="0.25">
      <c r="A39" s="32" t="s">
        <v>10</v>
      </c>
      <c r="B39" s="32" t="s">
        <v>10</v>
      </c>
      <c r="C39" s="32"/>
      <c r="D39" s="182" t="s">
        <v>76</v>
      </c>
      <c r="E39" s="182"/>
      <c r="F39" s="182"/>
      <c r="G39" s="182"/>
      <c r="H39" s="182"/>
      <c r="I39" s="182"/>
      <c r="J39" s="182"/>
      <c r="K39" s="182"/>
      <c r="L39" s="182"/>
      <c r="M39" s="32" t="s">
        <v>34</v>
      </c>
      <c r="N39" s="32" t="s">
        <v>96</v>
      </c>
      <c r="O39" s="32" t="s">
        <v>35</v>
      </c>
      <c r="P39" s="203" t="s">
        <v>41</v>
      </c>
      <c r="Q39" s="203"/>
      <c r="R39" s="32" t="s">
        <v>16</v>
      </c>
      <c r="S39" s="32">
        <v>27</v>
      </c>
      <c r="T39" s="34">
        <v>40</v>
      </c>
      <c r="U39" s="32"/>
      <c r="V39" s="32"/>
      <c r="W39" s="180"/>
      <c r="X39" s="180"/>
      <c r="Y39" s="180"/>
      <c r="Z39" s="180"/>
      <c r="AA39" s="33" t="s">
        <v>37</v>
      </c>
    </row>
    <row r="40" spans="1:27" ht="17.399999999999999" x14ac:dyDescent="0.25">
      <c r="A40" s="32" t="s">
        <v>10</v>
      </c>
      <c r="B40" s="32" t="s">
        <v>10</v>
      </c>
      <c r="C40" s="32"/>
      <c r="D40" s="182" t="s">
        <v>77</v>
      </c>
      <c r="E40" s="182"/>
      <c r="F40" s="182"/>
      <c r="G40" s="182"/>
      <c r="H40" s="182"/>
      <c r="I40" s="182"/>
      <c r="J40" s="182"/>
      <c r="K40" s="182"/>
      <c r="L40" s="182"/>
      <c r="M40" s="32" t="s">
        <v>34</v>
      </c>
      <c r="N40" s="32" t="s">
        <v>96</v>
      </c>
      <c r="O40" s="32" t="s">
        <v>35</v>
      </c>
      <c r="P40" s="203" t="s">
        <v>41</v>
      </c>
      <c r="Q40" s="203"/>
      <c r="R40" s="32" t="s">
        <v>16</v>
      </c>
      <c r="S40" s="32">
        <v>36</v>
      </c>
      <c r="T40" s="34">
        <v>40</v>
      </c>
      <c r="U40" s="32"/>
      <c r="V40" s="32"/>
      <c r="W40" s="180"/>
      <c r="X40" s="180"/>
      <c r="Y40" s="180"/>
      <c r="Z40" s="180"/>
      <c r="AA40" s="33" t="s">
        <v>37</v>
      </c>
    </row>
    <row r="41" spans="1:27" ht="17.399999999999999" x14ac:dyDescent="0.25">
      <c r="A41" s="32" t="s">
        <v>10</v>
      </c>
      <c r="B41" s="32" t="s">
        <v>10</v>
      </c>
      <c r="C41" s="32"/>
      <c r="D41" s="182" t="s">
        <v>78</v>
      </c>
      <c r="E41" s="182"/>
      <c r="F41" s="182"/>
      <c r="G41" s="182"/>
      <c r="H41" s="182"/>
      <c r="I41" s="182"/>
      <c r="J41" s="182"/>
      <c r="K41" s="182"/>
      <c r="L41" s="182"/>
      <c r="M41" s="32" t="s">
        <v>34</v>
      </c>
      <c r="N41" s="32" t="s">
        <v>96</v>
      </c>
      <c r="O41" s="32" t="s">
        <v>35</v>
      </c>
      <c r="P41" s="203" t="s">
        <v>41</v>
      </c>
      <c r="Q41" s="203"/>
      <c r="R41" s="32" t="s">
        <v>16</v>
      </c>
      <c r="S41" s="32">
        <v>27</v>
      </c>
      <c r="T41" s="34">
        <v>40</v>
      </c>
      <c r="U41" s="32"/>
      <c r="V41" s="32"/>
      <c r="W41" s="180"/>
      <c r="X41" s="180"/>
      <c r="Y41" s="180"/>
      <c r="Z41" s="180"/>
      <c r="AA41" s="33" t="s">
        <v>37</v>
      </c>
    </row>
    <row r="42" spans="1:27" ht="17.399999999999999" x14ac:dyDescent="0.25">
      <c r="A42" s="32" t="s">
        <v>11</v>
      </c>
      <c r="B42" s="32" t="s">
        <v>10</v>
      </c>
      <c r="C42" s="32"/>
      <c r="D42" s="182" t="s">
        <v>79</v>
      </c>
      <c r="E42" s="182"/>
      <c r="F42" s="182"/>
      <c r="G42" s="182"/>
      <c r="H42" s="182"/>
      <c r="I42" s="182"/>
      <c r="J42" s="182"/>
      <c r="K42" s="182"/>
      <c r="L42" s="182"/>
      <c r="M42" s="32" t="s">
        <v>34</v>
      </c>
      <c r="N42" s="32" t="s">
        <v>96</v>
      </c>
      <c r="O42" s="32" t="s">
        <v>35</v>
      </c>
      <c r="P42" s="203" t="s">
        <v>41</v>
      </c>
      <c r="Q42" s="203"/>
      <c r="R42" s="32" t="s">
        <v>16</v>
      </c>
      <c r="S42" s="32">
        <v>63</v>
      </c>
      <c r="T42" s="34">
        <v>65</v>
      </c>
      <c r="U42" s="32"/>
      <c r="V42" s="32"/>
      <c r="W42" s="180"/>
      <c r="X42" s="180"/>
      <c r="Y42" s="180"/>
      <c r="Z42" s="180"/>
      <c r="AA42" s="33" t="s">
        <v>37</v>
      </c>
    </row>
    <row r="43" spans="1:27" ht="17.399999999999999" x14ac:dyDescent="0.25">
      <c r="A43" s="32" t="s">
        <v>10</v>
      </c>
      <c r="B43" s="32" t="s">
        <v>11</v>
      </c>
      <c r="C43" s="32"/>
      <c r="D43" s="180" t="s">
        <v>80</v>
      </c>
      <c r="E43" s="182"/>
      <c r="F43" s="182"/>
      <c r="G43" s="182"/>
      <c r="H43" s="182"/>
      <c r="I43" s="182"/>
      <c r="J43" s="182"/>
      <c r="K43" s="182"/>
      <c r="L43" s="182"/>
      <c r="M43" s="32" t="s">
        <v>34</v>
      </c>
      <c r="N43" s="32" t="s">
        <v>96</v>
      </c>
      <c r="O43" s="32" t="s">
        <v>35</v>
      </c>
      <c r="P43" s="203" t="s">
        <v>44</v>
      </c>
      <c r="Q43" s="203"/>
      <c r="R43" s="32" t="s">
        <v>16</v>
      </c>
      <c r="S43" s="32" t="s">
        <v>25</v>
      </c>
      <c r="T43" s="34">
        <v>1092</v>
      </c>
      <c r="U43" s="32"/>
      <c r="V43" s="32"/>
      <c r="W43" s="180" t="s">
        <v>102</v>
      </c>
      <c r="X43" s="180"/>
      <c r="Y43" s="180"/>
      <c r="Z43" s="180"/>
      <c r="AA43" s="33" t="s">
        <v>23</v>
      </c>
    </row>
    <row r="44" spans="1:27" ht="17.399999999999999" x14ac:dyDescent="0.25">
      <c r="A44" s="32" t="s">
        <v>10</v>
      </c>
      <c r="B44" s="32" t="s">
        <v>11</v>
      </c>
      <c r="C44" s="32"/>
      <c r="D44" s="182" t="s">
        <v>81</v>
      </c>
      <c r="E44" s="182"/>
      <c r="F44" s="182"/>
      <c r="G44" s="182"/>
      <c r="H44" s="182"/>
      <c r="I44" s="182"/>
      <c r="J44" s="182"/>
      <c r="K44" s="182"/>
      <c r="L44" s="182"/>
      <c r="M44" s="32" t="s">
        <v>34</v>
      </c>
      <c r="N44" s="32" t="s">
        <v>96</v>
      </c>
      <c r="O44" s="32" t="s">
        <v>35</v>
      </c>
      <c r="P44" s="203" t="s">
        <v>36</v>
      </c>
      <c r="Q44" s="203"/>
      <c r="R44" s="32" t="s">
        <v>16</v>
      </c>
      <c r="S44" s="32" t="s">
        <v>25</v>
      </c>
      <c r="T44" s="34">
        <v>2457</v>
      </c>
      <c r="U44" s="32"/>
      <c r="V44" s="32"/>
      <c r="W44" s="180" t="s">
        <v>102</v>
      </c>
      <c r="X44" s="180"/>
      <c r="Y44" s="180"/>
      <c r="Z44" s="180"/>
      <c r="AA44" s="33" t="s">
        <v>23</v>
      </c>
    </row>
    <row r="45" spans="1:27" ht="17.399999999999999" x14ac:dyDescent="0.25">
      <c r="A45" s="32" t="s">
        <v>10</v>
      </c>
      <c r="B45" s="32" t="s">
        <v>11</v>
      </c>
      <c r="C45" s="32"/>
      <c r="D45" s="180" t="s">
        <v>82</v>
      </c>
      <c r="E45" s="182"/>
      <c r="F45" s="182"/>
      <c r="G45" s="182"/>
      <c r="H45" s="182"/>
      <c r="I45" s="182"/>
      <c r="J45" s="182"/>
      <c r="K45" s="182"/>
      <c r="L45" s="182"/>
      <c r="M45" s="32" t="s">
        <v>34</v>
      </c>
      <c r="N45" s="32" t="s">
        <v>96</v>
      </c>
      <c r="O45" s="32" t="s">
        <v>35</v>
      </c>
      <c r="P45" s="203" t="s">
        <v>44</v>
      </c>
      <c r="Q45" s="203"/>
      <c r="R45" s="32" t="s">
        <v>16</v>
      </c>
      <c r="S45" s="32" t="s">
        <v>25</v>
      </c>
      <c r="T45" s="34">
        <v>1638</v>
      </c>
      <c r="U45" s="32"/>
      <c r="V45" s="32"/>
      <c r="W45" s="180" t="s">
        <v>102</v>
      </c>
      <c r="X45" s="180"/>
      <c r="Y45" s="180"/>
      <c r="Z45" s="180"/>
      <c r="AA45" s="33" t="s">
        <v>23</v>
      </c>
    </row>
    <row r="46" spans="1:27" ht="17.399999999999999" x14ac:dyDescent="0.25">
      <c r="A46" s="32" t="s">
        <v>10</v>
      </c>
      <c r="B46" s="32" t="s">
        <v>10</v>
      </c>
      <c r="C46" s="32"/>
      <c r="D46" s="182" t="s">
        <v>83</v>
      </c>
      <c r="E46" s="182"/>
      <c r="F46" s="182"/>
      <c r="G46" s="182"/>
      <c r="H46" s="182"/>
      <c r="I46" s="182"/>
      <c r="J46" s="182"/>
      <c r="K46" s="182"/>
      <c r="L46" s="182"/>
      <c r="M46" s="32" t="s">
        <v>40</v>
      </c>
      <c r="N46" s="32" t="s">
        <v>96</v>
      </c>
      <c r="O46" s="32" t="s">
        <v>14</v>
      </c>
      <c r="P46" s="203" t="s">
        <v>44</v>
      </c>
      <c r="Q46" s="203"/>
      <c r="R46" s="32" t="s">
        <v>16</v>
      </c>
      <c r="S46" s="32" t="s">
        <v>25</v>
      </c>
      <c r="T46" s="34">
        <v>720</v>
      </c>
      <c r="U46" s="32"/>
      <c r="V46" s="32"/>
      <c r="W46" s="180" t="s">
        <v>103</v>
      </c>
      <c r="X46" s="180"/>
      <c r="Y46" s="180"/>
      <c r="Z46" s="180"/>
      <c r="AA46" s="33" t="s">
        <v>23</v>
      </c>
    </row>
    <row r="47" spans="1:27" ht="17.399999999999999" x14ac:dyDescent="0.25">
      <c r="A47" s="32" t="s">
        <v>25</v>
      </c>
      <c r="B47" s="32" t="s">
        <v>25</v>
      </c>
      <c r="C47" s="32"/>
      <c r="D47" s="182" t="s">
        <v>84</v>
      </c>
      <c r="E47" s="182"/>
      <c r="F47" s="182"/>
      <c r="G47" s="182"/>
      <c r="H47" s="182"/>
      <c r="I47" s="182"/>
      <c r="J47" s="182"/>
      <c r="K47" s="182"/>
      <c r="L47" s="182"/>
      <c r="M47" s="32" t="s">
        <v>25</v>
      </c>
      <c r="N47" s="32" t="s">
        <v>25</v>
      </c>
      <c r="O47" s="32" t="s">
        <v>25</v>
      </c>
      <c r="P47" s="203" t="s">
        <v>25</v>
      </c>
      <c r="Q47" s="203"/>
      <c r="R47" s="32" t="s">
        <v>25</v>
      </c>
      <c r="S47" s="32"/>
      <c r="T47" s="34"/>
      <c r="U47" s="32"/>
      <c r="V47" s="32"/>
      <c r="W47" s="180"/>
      <c r="X47" s="180"/>
      <c r="Y47" s="180"/>
      <c r="Z47" s="180"/>
      <c r="AA47" s="33"/>
    </row>
  </sheetData>
  <autoFilter ref="A1:O1" xr:uid="{06BDB6AF-D00C-4565-B28D-808BD760AC36}"/>
  <mergeCells count="141">
    <mergeCell ref="D47:L47"/>
    <mergeCell ref="P47:Q47"/>
    <mergeCell ref="W47:Z47"/>
    <mergeCell ref="D45:L45"/>
    <mergeCell ref="P45:Q45"/>
    <mergeCell ref="W45:Z45"/>
    <mergeCell ref="D46:L46"/>
    <mergeCell ref="P46:Q46"/>
    <mergeCell ref="W46:Z46"/>
    <mergeCell ref="D43:L43"/>
    <mergeCell ref="P43:Q43"/>
    <mergeCell ref="W43:Z43"/>
    <mergeCell ref="D44:L44"/>
    <mergeCell ref="P44:Q44"/>
    <mergeCell ref="W44:Z44"/>
    <mergeCell ref="D41:L41"/>
    <mergeCell ref="P41:Q41"/>
    <mergeCell ref="W41:Z41"/>
    <mergeCell ref="D42:L42"/>
    <mergeCell ref="P42:Q42"/>
    <mergeCell ref="W42:Z42"/>
    <mergeCell ref="D39:L39"/>
    <mergeCell ref="P39:Q39"/>
    <mergeCell ref="W39:Z39"/>
    <mergeCell ref="D40:L40"/>
    <mergeCell ref="P40:Q40"/>
    <mergeCell ref="W40:Z40"/>
    <mergeCell ref="D37:L37"/>
    <mergeCell ref="P37:Q37"/>
    <mergeCell ref="W37:Z37"/>
    <mergeCell ref="D38:L38"/>
    <mergeCell ref="P38:Q38"/>
    <mergeCell ref="W38:Z38"/>
    <mergeCell ref="D35:L35"/>
    <mergeCell ref="P35:Q35"/>
    <mergeCell ref="W35:Z35"/>
    <mergeCell ref="D36:L36"/>
    <mergeCell ref="P36:Q36"/>
    <mergeCell ref="W36:Z36"/>
    <mergeCell ref="D33:L33"/>
    <mergeCell ref="P33:Q33"/>
    <mergeCell ref="W33:Z33"/>
    <mergeCell ref="D34:L34"/>
    <mergeCell ref="P34:Q34"/>
    <mergeCell ref="W34:Z34"/>
    <mergeCell ref="D31:L31"/>
    <mergeCell ref="P31:Q31"/>
    <mergeCell ref="W31:Z31"/>
    <mergeCell ref="D32:L32"/>
    <mergeCell ref="P32:Q32"/>
    <mergeCell ref="W32:Z32"/>
    <mergeCell ref="D29:L29"/>
    <mergeCell ref="P29:Q29"/>
    <mergeCell ref="W29:Z29"/>
    <mergeCell ref="D30:L30"/>
    <mergeCell ref="P30:Q30"/>
    <mergeCell ref="W30:Z30"/>
    <mergeCell ref="D27:L27"/>
    <mergeCell ref="P27:Q27"/>
    <mergeCell ref="W27:Z27"/>
    <mergeCell ref="D28:L28"/>
    <mergeCell ref="P28:Q28"/>
    <mergeCell ref="W28:Z28"/>
    <mergeCell ref="D25:L25"/>
    <mergeCell ref="P25:Q25"/>
    <mergeCell ref="W25:Z25"/>
    <mergeCell ref="D26:L26"/>
    <mergeCell ref="P26:Q26"/>
    <mergeCell ref="W26:Z26"/>
    <mergeCell ref="D23:L23"/>
    <mergeCell ref="P23:Q23"/>
    <mergeCell ref="W23:Z23"/>
    <mergeCell ref="D24:L24"/>
    <mergeCell ref="P24:Q24"/>
    <mergeCell ref="W24:Z24"/>
    <mergeCell ref="D21:L21"/>
    <mergeCell ref="P21:Q21"/>
    <mergeCell ref="W21:Z21"/>
    <mergeCell ref="D22:L22"/>
    <mergeCell ref="P22:Q22"/>
    <mergeCell ref="W22:Z22"/>
    <mergeCell ref="D19:L19"/>
    <mergeCell ref="P19:Q19"/>
    <mergeCell ref="W19:Z19"/>
    <mergeCell ref="D20:L20"/>
    <mergeCell ref="P20:Q20"/>
    <mergeCell ref="W20:Z20"/>
    <mergeCell ref="D17:L17"/>
    <mergeCell ref="P17:Q17"/>
    <mergeCell ref="W17:Z17"/>
    <mergeCell ref="D18:L18"/>
    <mergeCell ref="P18:Q18"/>
    <mergeCell ref="W18:Z18"/>
    <mergeCell ref="D15:L15"/>
    <mergeCell ref="P15:Q15"/>
    <mergeCell ref="W15:Z15"/>
    <mergeCell ref="D16:L16"/>
    <mergeCell ref="P16:Q16"/>
    <mergeCell ref="W16:Z16"/>
    <mergeCell ref="D13:L13"/>
    <mergeCell ref="P13:Q13"/>
    <mergeCell ref="W13:Z13"/>
    <mergeCell ref="D14:L14"/>
    <mergeCell ref="P14:Q14"/>
    <mergeCell ref="W14:Z14"/>
    <mergeCell ref="D11:L11"/>
    <mergeCell ref="P11:Q11"/>
    <mergeCell ref="W11:Z11"/>
    <mergeCell ref="D12:L12"/>
    <mergeCell ref="P12:Q12"/>
    <mergeCell ref="W12:Z12"/>
    <mergeCell ref="D9:L9"/>
    <mergeCell ref="P9:Q9"/>
    <mergeCell ref="W9:Z9"/>
    <mergeCell ref="D10:L10"/>
    <mergeCell ref="P10:Q10"/>
    <mergeCell ref="W10:Z10"/>
    <mergeCell ref="D7:L7"/>
    <mergeCell ref="P7:Q7"/>
    <mergeCell ref="W7:Z7"/>
    <mergeCell ref="D8:L8"/>
    <mergeCell ref="P8:Q8"/>
    <mergeCell ref="W8:Z8"/>
    <mergeCell ref="D5:L5"/>
    <mergeCell ref="P5:Q5"/>
    <mergeCell ref="W5:Z5"/>
    <mergeCell ref="D6:L6"/>
    <mergeCell ref="P6:Q6"/>
    <mergeCell ref="W6:Z6"/>
    <mergeCell ref="D3:L3"/>
    <mergeCell ref="P3:Q3"/>
    <mergeCell ref="W3:Z3"/>
    <mergeCell ref="D4:L4"/>
    <mergeCell ref="P4:Q4"/>
    <mergeCell ref="W4:Z4"/>
    <mergeCell ref="D1:L1"/>
    <mergeCell ref="P1:Q1"/>
    <mergeCell ref="W1:Z1"/>
    <mergeCell ref="D2:L2"/>
    <mergeCell ref="P2:Q2"/>
    <mergeCell ref="W2:Z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43818-9739-4330-85D8-3A395B5A0DA5}">
  <sheetPr codeName="Sheet11"/>
  <dimension ref="A1:O47"/>
  <sheetViews>
    <sheetView zoomScale="70" zoomScaleNormal="70" workbookViewId="0"/>
  </sheetViews>
  <sheetFormatPr defaultRowHeight="13.8" x14ac:dyDescent="0.25"/>
  <cols>
    <col min="1" max="1" width="14.8984375" bestFit="1" customWidth="1"/>
    <col min="2" max="2" width="12.296875" bestFit="1" customWidth="1"/>
    <col min="3" max="3" width="23" bestFit="1" customWidth="1"/>
    <col min="4" max="4" width="63.09765625" bestFit="1" customWidth="1"/>
    <col min="5" max="5" width="11.296875" bestFit="1" customWidth="1"/>
    <col min="6" max="6" width="16.3984375" bestFit="1" customWidth="1"/>
    <col min="7" max="7" width="22.296875" bestFit="1" customWidth="1"/>
    <col min="8" max="8" width="19.69921875" bestFit="1" customWidth="1"/>
    <col min="9" max="9" width="13.3984375" bestFit="1" customWidth="1"/>
    <col min="10" max="10" width="29.59765625" bestFit="1" customWidth="1"/>
    <col min="11" max="11" width="30.09765625" bestFit="1" customWidth="1"/>
    <col min="12" max="12" width="14.296875" bestFit="1" customWidth="1"/>
    <col min="13" max="13" width="13.69921875" bestFit="1" customWidth="1"/>
    <col min="14" max="14" width="47" bestFit="1" customWidth="1"/>
    <col min="15" max="15" width="36.3984375" bestFit="1" customWidth="1"/>
  </cols>
  <sheetData>
    <row r="1" spans="1:15" x14ac:dyDescent="0.25">
      <c r="A1" s="27" t="s">
        <v>1</v>
      </c>
      <c r="B1" s="27" t="s">
        <v>2</v>
      </c>
      <c r="C1" s="27" t="s">
        <v>85</v>
      </c>
      <c r="D1" s="27" t="s">
        <v>3</v>
      </c>
      <c r="E1" s="27" t="s">
        <v>4</v>
      </c>
      <c r="F1" s="27" t="s">
        <v>86</v>
      </c>
      <c r="G1" s="27" t="s">
        <v>5</v>
      </c>
      <c r="H1" s="27" t="s">
        <v>6</v>
      </c>
      <c r="I1" s="27" t="s">
        <v>7</v>
      </c>
      <c r="J1" s="27" t="s">
        <v>92</v>
      </c>
      <c r="K1" s="27" t="s">
        <v>93</v>
      </c>
      <c r="L1" s="27" t="s">
        <v>94</v>
      </c>
      <c r="M1" s="27" t="s">
        <v>95</v>
      </c>
      <c r="N1" s="27" t="s">
        <v>91</v>
      </c>
      <c r="O1" s="27" t="s">
        <v>8</v>
      </c>
    </row>
    <row r="2" spans="1:15" x14ac:dyDescent="0.25">
      <c r="A2" t="s">
        <v>10</v>
      </c>
      <c r="B2" t="s">
        <v>11</v>
      </c>
      <c r="D2" t="s">
        <v>12</v>
      </c>
      <c r="E2" t="s">
        <v>13</v>
      </c>
      <c r="F2" t="s">
        <v>96</v>
      </c>
      <c r="G2" t="s">
        <v>14</v>
      </c>
      <c r="H2" t="s">
        <v>15</v>
      </c>
      <c r="I2" t="s">
        <v>16</v>
      </c>
      <c r="J2">
        <v>180</v>
      </c>
      <c r="K2">
        <v>200</v>
      </c>
      <c r="O2" t="s">
        <v>17</v>
      </c>
    </row>
    <row r="3" spans="1:15" x14ac:dyDescent="0.25">
      <c r="A3" t="s">
        <v>11</v>
      </c>
      <c r="B3" t="s">
        <v>10</v>
      </c>
      <c r="D3" t="s">
        <v>18</v>
      </c>
      <c r="E3" t="s">
        <v>13</v>
      </c>
      <c r="F3" t="s">
        <v>96</v>
      </c>
      <c r="G3" t="s">
        <v>14</v>
      </c>
      <c r="H3" t="s">
        <v>15</v>
      </c>
      <c r="I3" t="s">
        <v>16</v>
      </c>
      <c r="J3">
        <v>180</v>
      </c>
      <c r="K3">
        <v>200</v>
      </c>
      <c r="O3" t="s">
        <v>17</v>
      </c>
    </row>
    <row r="4" spans="1:15" x14ac:dyDescent="0.25">
      <c r="A4" t="s">
        <v>10</v>
      </c>
      <c r="B4" t="s">
        <v>11</v>
      </c>
      <c r="D4" t="s">
        <v>26</v>
      </c>
      <c r="E4" t="s">
        <v>13</v>
      </c>
      <c r="F4" t="s">
        <v>96</v>
      </c>
      <c r="G4" t="s">
        <v>20</v>
      </c>
      <c r="H4" t="s">
        <v>21</v>
      </c>
      <c r="I4" t="s">
        <v>16</v>
      </c>
      <c r="J4">
        <v>18</v>
      </c>
      <c r="K4">
        <v>20</v>
      </c>
      <c r="O4" t="s">
        <v>23</v>
      </c>
    </row>
    <row r="5" spans="1:15" x14ac:dyDescent="0.25">
      <c r="A5" t="s">
        <v>10</v>
      </c>
      <c r="B5" t="s">
        <v>10</v>
      </c>
      <c r="D5" t="s">
        <v>33</v>
      </c>
      <c r="E5" t="s">
        <v>13</v>
      </c>
      <c r="F5" t="s">
        <v>96</v>
      </c>
      <c r="G5" t="s">
        <v>20</v>
      </c>
      <c r="H5" t="s">
        <v>21</v>
      </c>
      <c r="I5" t="s">
        <v>16</v>
      </c>
      <c r="J5">
        <v>9</v>
      </c>
      <c r="K5">
        <v>10</v>
      </c>
      <c r="O5" t="s">
        <v>23</v>
      </c>
    </row>
    <row r="6" spans="1:15" x14ac:dyDescent="0.25">
      <c r="A6" t="s">
        <v>10</v>
      </c>
      <c r="B6" t="s">
        <v>11</v>
      </c>
      <c r="D6" t="s">
        <v>39</v>
      </c>
      <c r="E6" t="s">
        <v>13</v>
      </c>
      <c r="F6" t="s">
        <v>96</v>
      </c>
      <c r="G6" t="s">
        <v>20</v>
      </c>
      <c r="H6" t="s">
        <v>21</v>
      </c>
      <c r="I6" t="s">
        <v>16</v>
      </c>
      <c r="J6">
        <v>18</v>
      </c>
      <c r="K6">
        <v>20</v>
      </c>
      <c r="O6" t="s">
        <v>23</v>
      </c>
    </row>
    <row r="7" spans="1:15" x14ac:dyDescent="0.25">
      <c r="A7" t="s">
        <v>10</v>
      </c>
      <c r="B7" t="s">
        <v>10</v>
      </c>
      <c r="D7" t="s">
        <v>43</v>
      </c>
      <c r="E7" t="s">
        <v>13</v>
      </c>
      <c r="F7" t="s">
        <v>96</v>
      </c>
      <c r="G7" t="s">
        <v>20</v>
      </c>
      <c r="H7" t="s">
        <v>21</v>
      </c>
      <c r="I7" t="s">
        <v>16</v>
      </c>
      <c r="J7" t="s">
        <v>25</v>
      </c>
      <c r="K7">
        <v>840</v>
      </c>
      <c r="N7" t="s">
        <v>97</v>
      </c>
      <c r="O7" t="s">
        <v>23</v>
      </c>
    </row>
    <row r="8" spans="1:15" x14ac:dyDescent="0.25">
      <c r="A8" t="s">
        <v>10</v>
      </c>
      <c r="B8" t="s">
        <v>10</v>
      </c>
      <c r="D8" t="s">
        <v>45</v>
      </c>
      <c r="E8" t="s">
        <v>19</v>
      </c>
      <c r="F8" t="s">
        <v>96</v>
      </c>
      <c r="G8" t="s">
        <v>28</v>
      </c>
      <c r="H8" t="s">
        <v>29</v>
      </c>
      <c r="I8" t="s">
        <v>16</v>
      </c>
      <c r="J8">
        <v>54</v>
      </c>
      <c r="K8">
        <v>60</v>
      </c>
      <c r="O8" t="s">
        <v>31</v>
      </c>
    </row>
    <row r="9" spans="1:15" x14ac:dyDescent="0.25">
      <c r="A9" t="s">
        <v>10</v>
      </c>
      <c r="B9" t="s">
        <v>10</v>
      </c>
      <c r="D9" t="s">
        <v>46</v>
      </c>
      <c r="E9" t="s">
        <v>19</v>
      </c>
      <c r="F9" t="s">
        <v>96</v>
      </c>
      <c r="G9" t="s">
        <v>28</v>
      </c>
      <c r="H9" t="s">
        <v>29</v>
      </c>
      <c r="I9" t="s">
        <v>16</v>
      </c>
      <c r="J9">
        <v>54</v>
      </c>
      <c r="K9">
        <v>60</v>
      </c>
      <c r="O9" t="s">
        <v>31</v>
      </c>
    </row>
    <row r="10" spans="1:15" x14ac:dyDescent="0.25">
      <c r="A10" t="s">
        <v>10</v>
      </c>
      <c r="B10" t="s">
        <v>10</v>
      </c>
      <c r="D10" t="s">
        <v>47</v>
      </c>
      <c r="E10" t="s">
        <v>13</v>
      </c>
      <c r="F10" t="s">
        <v>96</v>
      </c>
      <c r="G10" t="s">
        <v>20</v>
      </c>
      <c r="H10" t="s">
        <v>21</v>
      </c>
      <c r="I10" t="s">
        <v>16</v>
      </c>
      <c r="J10">
        <v>18</v>
      </c>
      <c r="K10">
        <v>20</v>
      </c>
      <c r="O10" t="s">
        <v>23</v>
      </c>
    </row>
    <row r="11" spans="1:15" x14ac:dyDescent="0.25">
      <c r="A11" t="s">
        <v>10</v>
      </c>
      <c r="B11" t="s">
        <v>10</v>
      </c>
      <c r="D11" t="s">
        <v>48</v>
      </c>
      <c r="E11" t="s">
        <v>19</v>
      </c>
      <c r="F11" t="s">
        <v>96</v>
      </c>
      <c r="G11" t="s">
        <v>20</v>
      </c>
      <c r="H11" t="s">
        <v>21</v>
      </c>
      <c r="I11" t="s">
        <v>16</v>
      </c>
      <c r="J11">
        <v>108</v>
      </c>
      <c r="K11">
        <v>120</v>
      </c>
      <c r="O11" t="s">
        <v>23</v>
      </c>
    </row>
    <row r="12" spans="1:15" x14ac:dyDescent="0.25">
      <c r="A12" t="s">
        <v>10</v>
      </c>
      <c r="B12" t="s">
        <v>10</v>
      </c>
      <c r="D12" t="s">
        <v>49</v>
      </c>
      <c r="E12" t="s">
        <v>27</v>
      </c>
      <c r="F12" t="s">
        <v>96</v>
      </c>
      <c r="G12" t="s">
        <v>20</v>
      </c>
      <c r="H12" t="s">
        <v>21</v>
      </c>
      <c r="I12" t="s">
        <v>16</v>
      </c>
      <c r="J12">
        <v>63</v>
      </c>
      <c r="K12">
        <v>70</v>
      </c>
      <c r="O12" t="s">
        <v>23</v>
      </c>
    </row>
    <row r="13" spans="1:15" x14ac:dyDescent="0.25">
      <c r="A13" t="s">
        <v>10</v>
      </c>
      <c r="B13" t="s">
        <v>10</v>
      </c>
      <c r="D13" t="s">
        <v>50</v>
      </c>
      <c r="E13" t="s">
        <v>34</v>
      </c>
      <c r="F13" t="s">
        <v>96</v>
      </c>
      <c r="G13" t="s">
        <v>20</v>
      </c>
      <c r="H13" t="s">
        <v>21</v>
      </c>
      <c r="I13" t="s">
        <v>16</v>
      </c>
      <c r="J13">
        <v>27</v>
      </c>
      <c r="K13">
        <v>40</v>
      </c>
      <c r="O13" t="s">
        <v>23</v>
      </c>
    </row>
    <row r="14" spans="1:15" x14ac:dyDescent="0.25">
      <c r="A14" t="s">
        <v>10</v>
      </c>
      <c r="B14" t="s">
        <v>10</v>
      </c>
      <c r="D14" t="s">
        <v>51</v>
      </c>
      <c r="E14" t="s">
        <v>19</v>
      </c>
      <c r="F14" t="s">
        <v>96</v>
      </c>
      <c r="G14" t="s">
        <v>28</v>
      </c>
      <c r="H14" t="s">
        <v>29</v>
      </c>
      <c r="I14" t="s">
        <v>16</v>
      </c>
      <c r="J14">
        <v>945</v>
      </c>
      <c r="K14">
        <v>2500</v>
      </c>
      <c r="N14" t="s">
        <v>98</v>
      </c>
      <c r="O14" t="s">
        <v>31</v>
      </c>
    </row>
    <row r="15" spans="1:15" x14ac:dyDescent="0.25">
      <c r="A15" t="s">
        <v>10</v>
      </c>
      <c r="B15" t="s">
        <v>10</v>
      </c>
      <c r="D15" t="s">
        <v>52</v>
      </c>
      <c r="E15" t="s">
        <v>19</v>
      </c>
      <c r="F15" t="s">
        <v>96</v>
      </c>
      <c r="G15" t="s">
        <v>28</v>
      </c>
      <c r="H15" t="s">
        <v>29</v>
      </c>
      <c r="I15" t="s">
        <v>16</v>
      </c>
      <c r="J15" t="s">
        <v>25</v>
      </c>
      <c r="K15">
        <v>400</v>
      </c>
      <c r="N15" t="s">
        <v>99</v>
      </c>
      <c r="O15" t="s">
        <v>31</v>
      </c>
    </row>
    <row r="16" spans="1:15" x14ac:dyDescent="0.25">
      <c r="A16" t="s">
        <v>10</v>
      </c>
      <c r="B16" t="s">
        <v>10</v>
      </c>
      <c r="D16" t="s">
        <v>53</v>
      </c>
      <c r="E16" t="s">
        <v>19</v>
      </c>
      <c r="F16" t="s">
        <v>96</v>
      </c>
      <c r="G16" t="s">
        <v>28</v>
      </c>
      <c r="H16" t="s">
        <v>29</v>
      </c>
      <c r="I16" t="s">
        <v>16</v>
      </c>
      <c r="J16" t="s">
        <v>100</v>
      </c>
      <c r="K16">
        <v>0</v>
      </c>
      <c r="N16" t="s">
        <v>99</v>
      </c>
      <c r="O16" t="s">
        <v>31</v>
      </c>
    </row>
    <row r="17" spans="1:15" x14ac:dyDescent="0.25">
      <c r="A17" t="s">
        <v>10</v>
      </c>
      <c r="B17" t="s">
        <v>10</v>
      </c>
      <c r="D17" t="s">
        <v>54</v>
      </c>
      <c r="E17" t="s">
        <v>19</v>
      </c>
      <c r="F17" t="s">
        <v>96</v>
      </c>
      <c r="G17" t="s">
        <v>14</v>
      </c>
      <c r="H17" t="s">
        <v>36</v>
      </c>
      <c r="I17" t="s">
        <v>16</v>
      </c>
      <c r="J17">
        <v>54</v>
      </c>
      <c r="K17">
        <v>60</v>
      </c>
      <c r="O17" t="s">
        <v>23</v>
      </c>
    </row>
    <row r="18" spans="1:15" x14ac:dyDescent="0.25">
      <c r="A18" t="s">
        <v>10</v>
      </c>
      <c r="B18" t="s">
        <v>10</v>
      </c>
      <c r="D18" t="s">
        <v>55</v>
      </c>
      <c r="E18" t="s">
        <v>19</v>
      </c>
      <c r="F18" t="s">
        <v>96</v>
      </c>
      <c r="G18" t="s">
        <v>14</v>
      </c>
      <c r="H18" t="s">
        <v>36</v>
      </c>
      <c r="I18" t="s">
        <v>16</v>
      </c>
      <c r="J18">
        <v>63</v>
      </c>
      <c r="K18">
        <v>70</v>
      </c>
      <c r="O18" t="s">
        <v>23</v>
      </c>
    </row>
    <row r="19" spans="1:15" x14ac:dyDescent="0.25">
      <c r="A19" t="s">
        <v>10</v>
      </c>
      <c r="B19" t="s">
        <v>10</v>
      </c>
      <c r="D19" t="s">
        <v>56</v>
      </c>
      <c r="E19" t="s">
        <v>19</v>
      </c>
      <c r="F19" t="s">
        <v>96</v>
      </c>
      <c r="G19" t="s">
        <v>28</v>
      </c>
      <c r="H19" t="s">
        <v>29</v>
      </c>
      <c r="I19" t="s">
        <v>16</v>
      </c>
      <c r="J19">
        <v>54</v>
      </c>
      <c r="K19">
        <v>60</v>
      </c>
      <c r="N19" t="s">
        <v>101</v>
      </c>
      <c r="O19" t="s">
        <v>31</v>
      </c>
    </row>
    <row r="20" spans="1:15" x14ac:dyDescent="0.25">
      <c r="A20" t="s">
        <v>10</v>
      </c>
      <c r="B20" t="s">
        <v>10</v>
      </c>
      <c r="D20" t="s">
        <v>57</v>
      </c>
      <c r="E20" t="s">
        <v>27</v>
      </c>
      <c r="F20" t="s">
        <v>96</v>
      </c>
      <c r="G20" t="s">
        <v>28</v>
      </c>
      <c r="H20" t="s">
        <v>29</v>
      </c>
      <c r="I20" t="s">
        <v>16</v>
      </c>
      <c r="J20">
        <v>63</v>
      </c>
      <c r="K20">
        <v>70</v>
      </c>
      <c r="O20" t="s">
        <v>31</v>
      </c>
    </row>
    <row r="21" spans="1:15" x14ac:dyDescent="0.25">
      <c r="A21" t="s">
        <v>10</v>
      </c>
      <c r="B21" t="s">
        <v>10</v>
      </c>
      <c r="D21" t="s">
        <v>58</v>
      </c>
      <c r="E21" t="s">
        <v>19</v>
      </c>
      <c r="F21" t="s">
        <v>96</v>
      </c>
      <c r="G21" t="s">
        <v>28</v>
      </c>
      <c r="H21" t="s">
        <v>29</v>
      </c>
      <c r="I21" t="s">
        <v>16</v>
      </c>
      <c r="J21">
        <v>54</v>
      </c>
      <c r="K21">
        <v>60</v>
      </c>
      <c r="O21" t="s">
        <v>31</v>
      </c>
    </row>
    <row r="22" spans="1:15" x14ac:dyDescent="0.25">
      <c r="A22" t="s">
        <v>10</v>
      </c>
      <c r="B22" t="s">
        <v>10</v>
      </c>
      <c r="D22" t="s">
        <v>59</v>
      </c>
      <c r="E22" t="s">
        <v>27</v>
      </c>
      <c r="F22" t="s">
        <v>96</v>
      </c>
      <c r="G22" t="s">
        <v>28</v>
      </c>
      <c r="H22" t="s">
        <v>29</v>
      </c>
      <c r="I22" t="s">
        <v>16</v>
      </c>
      <c r="J22">
        <v>63</v>
      </c>
      <c r="K22">
        <v>70</v>
      </c>
      <c r="O22" t="s">
        <v>31</v>
      </c>
    </row>
    <row r="23" spans="1:15" x14ac:dyDescent="0.25">
      <c r="A23" t="s">
        <v>10</v>
      </c>
      <c r="B23" t="s">
        <v>10</v>
      </c>
      <c r="D23" t="s">
        <v>60</v>
      </c>
      <c r="E23" t="s">
        <v>19</v>
      </c>
      <c r="F23" t="s">
        <v>96</v>
      </c>
      <c r="G23" t="s">
        <v>28</v>
      </c>
      <c r="H23" t="s">
        <v>29</v>
      </c>
      <c r="I23" t="s">
        <v>16</v>
      </c>
      <c r="J23">
        <v>54</v>
      </c>
      <c r="K23">
        <v>60</v>
      </c>
      <c r="O23" t="s">
        <v>31</v>
      </c>
    </row>
    <row r="24" spans="1:15" x14ac:dyDescent="0.25">
      <c r="A24" t="s">
        <v>10</v>
      </c>
      <c r="B24" t="s">
        <v>10</v>
      </c>
      <c r="D24" t="s">
        <v>61</v>
      </c>
      <c r="E24" t="s">
        <v>27</v>
      </c>
      <c r="F24" t="s">
        <v>96</v>
      </c>
      <c r="G24" t="s">
        <v>28</v>
      </c>
      <c r="H24" t="s">
        <v>29</v>
      </c>
      <c r="I24" t="s">
        <v>16</v>
      </c>
      <c r="J24">
        <v>63</v>
      </c>
      <c r="K24">
        <v>70</v>
      </c>
      <c r="O24" t="s">
        <v>31</v>
      </c>
    </row>
    <row r="25" spans="1:15" x14ac:dyDescent="0.25">
      <c r="A25" t="s">
        <v>10</v>
      </c>
      <c r="B25" t="s">
        <v>10</v>
      </c>
      <c r="D25" t="s">
        <v>62</v>
      </c>
      <c r="E25" t="s">
        <v>19</v>
      </c>
      <c r="F25" t="s">
        <v>96</v>
      </c>
      <c r="G25" t="s">
        <v>28</v>
      </c>
      <c r="H25" t="s">
        <v>29</v>
      </c>
      <c r="I25" t="s">
        <v>16</v>
      </c>
      <c r="J25">
        <v>54</v>
      </c>
      <c r="K25">
        <v>120</v>
      </c>
      <c r="O25" t="s">
        <v>31</v>
      </c>
    </row>
    <row r="26" spans="1:15" x14ac:dyDescent="0.25">
      <c r="A26" t="s">
        <v>10</v>
      </c>
      <c r="B26" t="s">
        <v>10</v>
      </c>
      <c r="D26" t="s">
        <v>63</v>
      </c>
      <c r="E26" t="s">
        <v>27</v>
      </c>
      <c r="F26" t="s">
        <v>96</v>
      </c>
      <c r="G26" t="s">
        <v>28</v>
      </c>
      <c r="H26" t="s">
        <v>29</v>
      </c>
      <c r="I26" t="s">
        <v>16</v>
      </c>
      <c r="J26">
        <v>63</v>
      </c>
      <c r="K26">
        <v>70</v>
      </c>
      <c r="O26" t="s">
        <v>31</v>
      </c>
    </row>
    <row r="27" spans="1:15" x14ac:dyDescent="0.25">
      <c r="A27" t="s">
        <v>10</v>
      </c>
      <c r="B27" t="s">
        <v>10</v>
      </c>
      <c r="D27" t="s">
        <v>64</v>
      </c>
      <c r="E27" t="s">
        <v>19</v>
      </c>
      <c r="F27" t="s">
        <v>96</v>
      </c>
      <c r="G27" t="s">
        <v>28</v>
      </c>
      <c r="H27" t="s">
        <v>29</v>
      </c>
      <c r="I27" t="s">
        <v>16</v>
      </c>
      <c r="J27">
        <v>54</v>
      </c>
      <c r="K27">
        <v>60</v>
      </c>
      <c r="N27" t="s">
        <v>101</v>
      </c>
      <c r="O27" t="s">
        <v>31</v>
      </c>
    </row>
    <row r="28" spans="1:15" x14ac:dyDescent="0.25">
      <c r="A28" t="s">
        <v>10</v>
      </c>
      <c r="B28" t="s">
        <v>10</v>
      </c>
      <c r="D28" t="s">
        <v>65</v>
      </c>
      <c r="E28" t="s">
        <v>27</v>
      </c>
      <c r="F28" t="s">
        <v>96</v>
      </c>
      <c r="G28" t="s">
        <v>28</v>
      </c>
      <c r="H28" t="s">
        <v>29</v>
      </c>
      <c r="I28" t="s">
        <v>16</v>
      </c>
      <c r="J28">
        <v>63</v>
      </c>
      <c r="K28">
        <v>70</v>
      </c>
      <c r="O28" t="s">
        <v>31</v>
      </c>
    </row>
    <row r="29" spans="1:15" x14ac:dyDescent="0.25">
      <c r="A29" t="s">
        <v>10</v>
      </c>
      <c r="B29" t="s">
        <v>10</v>
      </c>
      <c r="D29" t="s">
        <v>66</v>
      </c>
      <c r="E29" t="s">
        <v>19</v>
      </c>
      <c r="F29" t="s">
        <v>96</v>
      </c>
      <c r="G29" t="s">
        <v>28</v>
      </c>
      <c r="H29" t="s">
        <v>29</v>
      </c>
      <c r="I29" t="s">
        <v>16</v>
      </c>
      <c r="J29">
        <v>54</v>
      </c>
      <c r="K29">
        <v>60</v>
      </c>
      <c r="O29" t="s">
        <v>31</v>
      </c>
    </row>
    <row r="30" spans="1:15" x14ac:dyDescent="0.25">
      <c r="A30" t="s">
        <v>10</v>
      </c>
      <c r="B30" t="s">
        <v>10</v>
      </c>
      <c r="D30" t="s">
        <v>67</v>
      </c>
      <c r="E30" t="s">
        <v>27</v>
      </c>
      <c r="F30" t="s">
        <v>96</v>
      </c>
      <c r="G30" t="s">
        <v>28</v>
      </c>
      <c r="H30" t="s">
        <v>29</v>
      </c>
      <c r="I30" t="s">
        <v>16</v>
      </c>
      <c r="J30">
        <v>63</v>
      </c>
      <c r="K30">
        <v>70</v>
      </c>
      <c r="O30" t="s">
        <v>31</v>
      </c>
    </row>
    <row r="31" spans="1:15" x14ac:dyDescent="0.25">
      <c r="A31" t="s">
        <v>10</v>
      </c>
      <c r="B31" t="s">
        <v>10</v>
      </c>
      <c r="D31" t="s">
        <v>68</v>
      </c>
      <c r="E31" t="s">
        <v>19</v>
      </c>
      <c r="F31" t="s">
        <v>96</v>
      </c>
      <c r="G31" t="s">
        <v>28</v>
      </c>
      <c r="H31" t="s">
        <v>29</v>
      </c>
      <c r="I31" t="s">
        <v>16</v>
      </c>
      <c r="J31">
        <v>54</v>
      </c>
      <c r="K31">
        <v>60</v>
      </c>
      <c r="O31" t="s">
        <v>31</v>
      </c>
    </row>
    <row r="32" spans="1:15" x14ac:dyDescent="0.25">
      <c r="A32" t="s">
        <v>10</v>
      </c>
      <c r="B32" t="s">
        <v>10</v>
      </c>
      <c r="D32" t="s">
        <v>69</v>
      </c>
      <c r="E32" t="s">
        <v>27</v>
      </c>
      <c r="F32" t="s">
        <v>96</v>
      </c>
      <c r="G32" t="s">
        <v>35</v>
      </c>
      <c r="H32" t="s">
        <v>41</v>
      </c>
      <c r="I32" t="s">
        <v>16</v>
      </c>
      <c r="J32">
        <v>63</v>
      </c>
      <c r="K32">
        <v>70</v>
      </c>
      <c r="O32" t="s">
        <v>37</v>
      </c>
    </row>
    <row r="33" spans="1:15" x14ac:dyDescent="0.25">
      <c r="A33" t="s">
        <v>10</v>
      </c>
      <c r="B33" t="s">
        <v>10</v>
      </c>
      <c r="D33" t="s">
        <v>70</v>
      </c>
      <c r="E33" t="s">
        <v>19</v>
      </c>
      <c r="F33" t="s">
        <v>96</v>
      </c>
      <c r="G33" t="s">
        <v>28</v>
      </c>
      <c r="H33" t="s">
        <v>29</v>
      </c>
      <c r="I33" t="s">
        <v>16</v>
      </c>
      <c r="J33">
        <v>54</v>
      </c>
      <c r="K33">
        <v>60</v>
      </c>
      <c r="O33" t="s">
        <v>31</v>
      </c>
    </row>
    <row r="34" spans="1:15" x14ac:dyDescent="0.25">
      <c r="A34" t="s">
        <v>10</v>
      </c>
      <c r="B34" t="s">
        <v>10</v>
      </c>
      <c r="D34" t="s">
        <v>71</v>
      </c>
      <c r="E34" t="s">
        <v>27</v>
      </c>
      <c r="F34" t="s">
        <v>96</v>
      </c>
      <c r="G34" t="s">
        <v>35</v>
      </c>
      <c r="H34" t="s">
        <v>41</v>
      </c>
      <c r="I34" t="s">
        <v>16</v>
      </c>
      <c r="J34">
        <v>63</v>
      </c>
      <c r="K34">
        <v>70</v>
      </c>
      <c r="O34" t="s">
        <v>37</v>
      </c>
    </row>
    <row r="35" spans="1:15" x14ac:dyDescent="0.25">
      <c r="A35" t="s">
        <v>10</v>
      </c>
      <c r="B35" t="s">
        <v>10</v>
      </c>
      <c r="D35" t="s">
        <v>72</v>
      </c>
      <c r="E35" t="s">
        <v>19</v>
      </c>
      <c r="F35" t="s">
        <v>96</v>
      </c>
      <c r="G35" t="s">
        <v>28</v>
      </c>
      <c r="H35" t="s">
        <v>29</v>
      </c>
      <c r="I35" t="s">
        <v>16</v>
      </c>
      <c r="J35">
        <v>54</v>
      </c>
      <c r="K35">
        <v>60</v>
      </c>
      <c r="O35" t="s">
        <v>31</v>
      </c>
    </row>
    <row r="36" spans="1:15" x14ac:dyDescent="0.25">
      <c r="A36" t="s">
        <v>10</v>
      </c>
      <c r="B36" t="s">
        <v>10</v>
      </c>
      <c r="D36" t="s">
        <v>73</v>
      </c>
      <c r="E36" t="s">
        <v>27</v>
      </c>
      <c r="F36" t="s">
        <v>96</v>
      </c>
      <c r="G36" t="s">
        <v>35</v>
      </c>
      <c r="H36" t="s">
        <v>41</v>
      </c>
      <c r="I36" t="s">
        <v>16</v>
      </c>
      <c r="J36">
        <v>63</v>
      </c>
      <c r="K36">
        <v>70</v>
      </c>
      <c r="O36" t="s">
        <v>37</v>
      </c>
    </row>
    <row r="37" spans="1:15" x14ac:dyDescent="0.25">
      <c r="A37" t="s">
        <v>10</v>
      </c>
      <c r="B37" t="s">
        <v>10</v>
      </c>
      <c r="D37" t="s">
        <v>74</v>
      </c>
      <c r="E37" t="s">
        <v>34</v>
      </c>
      <c r="F37" t="s">
        <v>96</v>
      </c>
      <c r="G37" t="s">
        <v>35</v>
      </c>
      <c r="H37" t="s">
        <v>41</v>
      </c>
      <c r="I37" t="s">
        <v>16</v>
      </c>
      <c r="J37">
        <v>27</v>
      </c>
      <c r="K37">
        <v>40</v>
      </c>
      <c r="O37" t="s">
        <v>37</v>
      </c>
    </row>
    <row r="38" spans="1:15" x14ac:dyDescent="0.25">
      <c r="A38" t="s">
        <v>10</v>
      </c>
      <c r="B38" t="s">
        <v>10</v>
      </c>
      <c r="D38" t="s">
        <v>75</v>
      </c>
      <c r="E38" t="s">
        <v>34</v>
      </c>
      <c r="F38" t="s">
        <v>96</v>
      </c>
      <c r="G38" t="s">
        <v>35</v>
      </c>
      <c r="H38" t="s">
        <v>41</v>
      </c>
      <c r="I38" t="s">
        <v>16</v>
      </c>
      <c r="J38">
        <v>27</v>
      </c>
      <c r="K38">
        <v>40</v>
      </c>
      <c r="O38" t="s">
        <v>37</v>
      </c>
    </row>
    <row r="39" spans="1:15" x14ac:dyDescent="0.25">
      <c r="A39" t="s">
        <v>10</v>
      </c>
      <c r="B39" t="s">
        <v>10</v>
      </c>
      <c r="D39" t="s">
        <v>76</v>
      </c>
      <c r="E39" t="s">
        <v>34</v>
      </c>
      <c r="F39" t="s">
        <v>96</v>
      </c>
      <c r="G39" t="s">
        <v>35</v>
      </c>
      <c r="H39" t="s">
        <v>41</v>
      </c>
      <c r="I39" t="s">
        <v>16</v>
      </c>
      <c r="J39">
        <v>27</v>
      </c>
      <c r="K39">
        <v>40</v>
      </c>
      <c r="O39" t="s">
        <v>37</v>
      </c>
    </row>
    <row r="40" spans="1:15" x14ac:dyDescent="0.25">
      <c r="A40" t="s">
        <v>10</v>
      </c>
      <c r="B40" t="s">
        <v>10</v>
      </c>
      <c r="D40" t="s">
        <v>77</v>
      </c>
      <c r="E40" t="s">
        <v>34</v>
      </c>
      <c r="F40" t="s">
        <v>96</v>
      </c>
      <c r="G40" t="s">
        <v>35</v>
      </c>
      <c r="H40" t="s">
        <v>41</v>
      </c>
      <c r="I40" t="s">
        <v>16</v>
      </c>
      <c r="J40">
        <v>36</v>
      </c>
      <c r="K40">
        <v>40</v>
      </c>
      <c r="O40" t="s">
        <v>37</v>
      </c>
    </row>
    <row r="41" spans="1:15" x14ac:dyDescent="0.25">
      <c r="A41" t="s">
        <v>10</v>
      </c>
      <c r="B41" t="s">
        <v>10</v>
      </c>
      <c r="D41" t="s">
        <v>78</v>
      </c>
      <c r="E41" t="s">
        <v>34</v>
      </c>
      <c r="F41" t="s">
        <v>96</v>
      </c>
      <c r="G41" t="s">
        <v>35</v>
      </c>
      <c r="H41" t="s">
        <v>41</v>
      </c>
      <c r="I41" t="s">
        <v>16</v>
      </c>
      <c r="J41">
        <v>27</v>
      </c>
      <c r="K41">
        <v>40</v>
      </c>
      <c r="O41" t="s">
        <v>37</v>
      </c>
    </row>
    <row r="42" spans="1:15" x14ac:dyDescent="0.25">
      <c r="A42" t="s">
        <v>11</v>
      </c>
      <c r="B42" t="s">
        <v>10</v>
      </c>
      <c r="D42" t="s">
        <v>79</v>
      </c>
      <c r="E42" t="s">
        <v>34</v>
      </c>
      <c r="F42" t="s">
        <v>96</v>
      </c>
      <c r="G42" t="s">
        <v>35</v>
      </c>
      <c r="H42" t="s">
        <v>41</v>
      </c>
      <c r="I42" t="s">
        <v>16</v>
      </c>
      <c r="J42">
        <v>63</v>
      </c>
      <c r="K42">
        <v>65</v>
      </c>
      <c r="O42" t="s">
        <v>37</v>
      </c>
    </row>
    <row r="43" spans="1:15" x14ac:dyDescent="0.25">
      <c r="A43" t="s">
        <v>10</v>
      </c>
      <c r="B43" t="s">
        <v>11</v>
      </c>
      <c r="D43" t="s">
        <v>80</v>
      </c>
      <c r="E43" t="s">
        <v>34</v>
      </c>
      <c r="F43" t="s">
        <v>96</v>
      </c>
      <c r="G43" t="s">
        <v>35</v>
      </c>
      <c r="H43" t="s">
        <v>44</v>
      </c>
      <c r="I43" t="s">
        <v>16</v>
      </c>
      <c r="J43" t="s">
        <v>25</v>
      </c>
      <c r="K43">
        <v>1092</v>
      </c>
      <c r="N43" t="s">
        <v>102</v>
      </c>
      <c r="O43" t="s">
        <v>23</v>
      </c>
    </row>
    <row r="44" spans="1:15" x14ac:dyDescent="0.25">
      <c r="A44" t="s">
        <v>10</v>
      </c>
      <c r="B44" t="s">
        <v>11</v>
      </c>
      <c r="D44" t="s">
        <v>81</v>
      </c>
      <c r="E44" t="s">
        <v>34</v>
      </c>
      <c r="F44" t="s">
        <v>96</v>
      </c>
      <c r="G44" t="s">
        <v>35</v>
      </c>
      <c r="H44" t="s">
        <v>36</v>
      </c>
      <c r="I44" t="s">
        <v>16</v>
      </c>
      <c r="J44" t="s">
        <v>25</v>
      </c>
      <c r="K44">
        <v>2457</v>
      </c>
      <c r="N44" t="s">
        <v>102</v>
      </c>
      <c r="O44" t="s">
        <v>23</v>
      </c>
    </row>
    <row r="45" spans="1:15" x14ac:dyDescent="0.25">
      <c r="A45" t="s">
        <v>10</v>
      </c>
      <c r="B45" t="s">
        <v>11</v>
      </c>
      <c r="D45" t="s">
        <v>82</v>
      </c>
      <c r="E45" t="s">
        <v>34</v>
      </c>
      <c r="F45" t="s">
        <v>96</v>
      </c>
      <c r="G45" t="s">
        <v>35</v>
      </c>
      <c r="H45" t="s">
        <v>44</v>
      </c>
      <c r="I45" t="s">
        <v>16</v>
      </c>
      <c r="J45" t="s">
        <v>25</v>
      </c>
      <c r="K45">
        <v>1638</v>
      </c>
      <c r="N45" t="s">
        <v>102</v>
      </c>
      <c r="O45" t="s">
        <v>23</v>
      </c>
    </row>
    <row r="46" spans="1:15" x14ac:dyDescent="0.25">
      <c r="A46" t="s">
        <v>10</v>
      </c>
      <c r="B46" t="s">
        <v>10</v>
      </c>
      <c r="D46" t="s">
        <v>83</v>
      </c>
      <c r="E46" t="s">
        <v>40</v>
      </c>
      <c r="F46" t="s">
        <v>96</v>
      </c>
      <c r="G46" t="s">
        <v>14</v>
      </c>
      <c r="H46" t="s">
        <v>44</v>
      </c>
      <c r="I46" t="s">
        <v>16</v>
      </c>
      <c r="J46" t="s">
        <v>25</v>
      </c>
      <c r="K46">
        <v>720</v>
      </c>
      <c r="N46" t="s">
        <v>103</v>
      </c>
      <c r="O46" t="s">
        <v>23</v>
      </c>
    </row>
    <row r="47" spans="1:15" x14ac:dyDescent="0.25">
      <c r="A47" t="s">
        <v>25</v>
      </c>
      <c r="B47" t="s">
        <v>25</v>
      </c>
      <c r="D47" t="s">
        <v>84</v>
      </c>
      <c r="E47" t="s">
        <v>25</v>
      </c>
      <c r="F47" t="s">
        <v>25</v>
      </c>
      <c r="G47" t="s">
        <v>25</v>
      </c>
      <c r="H47" t="s">
        <v>25</v>
      </c>
      <c r="I47" t="s">
        <v>25</v>
      </c>
    </row>
  </sheetData>
  <autoFilter ref="A1:O1" xr:uid="{0C843818-9739-4330-85D8-3A395B5A0DA5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5921BA0-536E-403F-8ECE-0B0DE375851E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797eb324-6c8f-4366-ba47-706b295f9115}" enabled="1" method="Standard" siteId="{7a823e81-3527-485c-a629-67235afb2fa8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List of Service</vt:lpstr>
      <vt:lpstr>BookingManHours</vt:lpstr>
      <vt:lpstr>Pivot_Booking Hours</vt:lpstr>
      <vt:lpstr>TemplateList</vt:lpstr>
      <vt:lpstr>General</vt:lpstr>
      <vt:lpstr>Anadarko</vt:lpstr>
      <vt:lpstr>Kutei</vt:lpstr>
      <vt:lpstr>Shah Gas</vt:lpstr>
      <vt:lpstr>Venezia</vt:lpstr>
      <vt:lpstr>Liverpool</vt:lpstr>
      <vt:lpstr>Canada</vt:lpstr>
      <vt:lpstr>Marjan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Dominguez Marco Antonio</dc:creator>
  <cp:lastModifiedBy>Osman Youssef (External)</cp:lastModifiedBy>
  <dcterms:created xsi:type="dcterms:W3CDTF">2025-07-30T04:43:22Z</dcterms:created>
  <dcterms:modified xsi:type="dcterms:W3CDTF">2025-08-27T07:22:48Z</dcterms:modified>
</cp:coreProperties>
</file>